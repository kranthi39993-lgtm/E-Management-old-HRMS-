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 activeTab="2"/>
  </bookViews>
  <sheets>
    <sheet name="BTF" sheetId="2" r:id="rId1"/>
    <sheet name="Forecast" sheetId="3" r:id="rId2"/>
    <sheet name="KM Price" sheetId="4" r:id="rId3"/>
    <sheet name="KJ Price" sheetId="5" r:id="rId4"/>
  </sheets>
  <definedNames>
    <definedName name="_xlnm.Print_Area" localSheetId="0">BTF!$B$1:$AX$71</definedName>
    <definedName name="_xlnm.Print_Area" localSheetId="1">Forecast!$B$1:$S$59</definedName>
    <definedName name="_xlnm.Print_Area" localSheetId="3">'KJ Price'!$A$1:$AS$82</definedName>
    <definedName name="_xlnm.Print_Area" localSheetId="2">'KM Price'!$A$1:$AS$84</definedName>
    <definedName name="_xlnm.Print_Are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42" i="4" l="1"/>
  <c r="AG56" i="5" l="1"/>
  <c r="AG55" i="5"/>
  <c r="AG54" i="5"/>
  <c r="AG53" i="5"/>
  <c r="AG52" i="5"/>
  <c r="AG51" i="5"/>
  <c r="AG50" i="5"/>
  <c r="AG49" i="5"/>
  <c r="AG48" i="5"/>
  <c r="AG47" i="5"/>
  <c r="AG46" i="5"/>
  <c r="AG45" i="5"/>
  <c r="AG44" i="5"/>
  <c r="AG43" i="5"/>
  <c r="AG42" i="5"/>
  <c r="T65" i="4"/>
  <c r="AT52" i="4"/>
  <c r="AT51" i="4"/>
  <c r="AT50" i="4"/>
  <c r="AT49" i="4"/>
  <c r="AU48" i="4"/>
  <c r="AT48" i="4"/>
  <c r="AU47" i="4"/>
  <c r="AT47" i="4"/>
  <c r="AU46" i="4"/>
  <c r="AT46" i="4"/>
  <c r="AU45" i="4"/>
  <c r="AT45" i="4"/>
  <c r="AU44" i="4"/>
  <c r="AT44" i="4"/>
  <c r="AU43" i="4"/>
  <c r="AT43" i="4"/>
  <c r="AT42" i="4"/>
  <c r="AU41" i="4"/>
  <c r="AT41" i="4"/>
  <c r="S52" i="3" l="1"/>
  <c r="S53" i="3" s="1"/>
  <c r="R52" i="3"/>
  <c r="R53" i="3" s="1"/>
  <c r="Q52" i="3"/>
  <c r="Q53" i="3" s="1"/>
  <c r="P52" i="3"/>
  <c r="P53" i="3" s="1"/>
  <c r="O52" i="3"/>
  <c r="O53" i="3" s="1"/>
  <c r="N52" i="3"/>
  <c r="N53" i="3" s="1"/>
  <c r="M52" i="3"/>
  <c r="M53" i="3" s="1"/>
  <c r="L52" i="3"/>
  <c r="L53" i="3" s="1"/>
  <c r="K52" i="3"/>
  <c r="K53" i="3" s="1"/>
  <c r="J52" i="3"/>
  <c r="J53" i="3" s="1"/>
  <c r="I52" i="3"/>
  <c r="I53" i="3" s="1"/>
  <c r="H52" i="3"/>
  <c r="H53" i="3" s="1"/>
  <c r="G52" i="3"/>
  <c r="G53" i="3" s="1"/>
  <c r="F52" i="3"/>
  <c r="F53" i="3" s="1"/>
  <c r="E52" i="3"/>
  <c r="E53" i="3" s="1"/>
  <c r="D52" i="3"/>
  <c r="D53" i="3" s="1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S11" i="3"/>
  <c r="R11" i="3"/>
  <c r="Q11" i="3"/>
  <c r="P11" i="3"/>
  <c r="O11" i="3"/>
  <c r="N11" i="3"/>
  <c r="M11" i="3"/>
  <c r="L11" i="3"/>
  <c r="K11" i="3"/>
  <c r="J11" i="3"/>
  <c r="I11" i="3"/>
  <c r="H11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</calcChain>
</file>

<file path=xl/sharedStrings.xml><?xml version="1.0" encoding="utf-8"?>
<sst xmlns="http://schemas.openxmlformats.org/spreadsheetml/2006/main" count="543" uniqueCount="296">
  <si>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</si>
  <si>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</si>
  <si>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</si>
  <si>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</si>
  <si>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</si>
  <si>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</si>
  <si>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</si>
  <si>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</si>
  <si>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</si>
  <si>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</si>
  <si>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</si>
  <si>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</si>
  <si>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</si>
  <si>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</si>
  <si>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</si>
  <si>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</si>
  <si>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</si>
  <si>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</si>
  <si>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</si>
  <si>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</si>
  <si>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</si>
  <si>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</si>
  <si>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</si>
  <si>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</si>
  <si>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</si>
  <si>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</si>
  <si>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</si>
  <si>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</si>
  <si>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</si>
  <si>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</si>
  <si>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KAMAYA Electric [M] Sdn.Bhd</t>
  </si>
  <si>
    <t>Substrate quantity Sep-18 to Dec-19</t>
  </si>
  <si>
    <t>Price increase</t>
  </si>
  <si>
    <t>Pink box dirty</t>
  </si>
  <si>
    <t>KA0201, 60*49.5*0.10T &amp; 60*70*0.28T</t>
  </si>
  <si>
    <t>1632AM [HR70ARW] back slit</t>
  </si>
  <si>
    <t>Mr. Amirol [QA Plant 8]</t>
  </si>
  <si>
    <t>MARUWA [M] COMMITMENT QUANTITY TO KAMAYA [M]</t>
  </si>
  <si>
    <t>Unit = Pcs</t>
  </si>
  <si>
    <t>Product</t>
  </si>
  <si>
    <t>Q1 2019</t>
  </si>
  <si>
    <t>Q2 2019</t>
  </si>
  <si>
    <t>Q3 2019</t>
  </si>
  <si>
    <t>Q4 2019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</si>
  <si>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</si>
  <si>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</si>
  <si>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</si>
  <si>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</si>
  <si>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</si>
  <si>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</si>
  <si>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</si>
  <si>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</si>
  <si>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</si>
  <si>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</si>
  <si>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</si>
  <si>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</si>
  <si>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</si>
  <si>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7910M [1.4K/Box]</t>
  </si>
  <si>
    <t>Demand</t>
  </si>
  <si>
    <t>Reply</t>
  </si>
  <si>
    <t>(±)</t>
  </si>
  <si>
    <t>3080M [1/5K/Box]</t>
  </si>
  <si>
    <t>1598M [1.5K/Box]</t>
  </si>
  <si>
    <t>874M [1.5K/Box]</t>
  </si>
  <si>
    <t>YA1020 [1.5K/Box</t>
  </si>
  <si>
    <t>YA2010 [1.5K/Box]</t>
  </si>
  <si>
    <t>YA2512 [1.5K/Box]</t>
  </si>
  <si>
    <t>KA0201 [1.0K/Box]</t>
  </si>
  <si>
    <t>60*70*0.28T [SA-28A]</t>
  </si>
  <si>
    <t>60*49.5*0.10T [0402C]</t>
  </si>
  <si>
    <t>60*70*0.10T [SA-10A]</t>
  </si>
  <si>
    <t>T1005-4AMK [R1020KRW]</t>
  </si>
  <si>
    <t>T1608-4AML [R1532LRW]</t>
  </si>
  <si>
    <t>T1005-4AMM [R1020MRW]</t>
  </si>
  <si>
    <t>1632AM [HR75ARW]</t>
  </si>
  <si>
    <t>Total</t>
  </si>
  <si>
    <t>MARUWA [M]</t>
  </si>
  <si>
    <t>KAMAYA [M]</t>
  </si>
  <si>
    <t>Rosli</t>
  </si>
  <si>
    <t>Suresh</t>
  </si>
  <si>
    <t>Yana</t>
  </si>
  <si>
    <t>Theva</t>
  </si>
  <si>
    <t>Sinna</t>
  </si>
  <si>
    <t>Ogawa</t>
  </si>
  <si>
    <t>Tony</t>
  </si>
  <si>
    <t>Miyashita</t>
  </si>
  <si>
    <t>MARUWA (MALAYSIA) SDN.BHD. (191424-X)</t>
  </si>
  <si>
    <t>Lot 27 &amp; 28 Batu Berendam Industrial Estate</t>
  </si>
  <si>
    <t>Phase 3 , FTZ , 75350 Melaka , Malaysia</t>
  </si>
  <si>
    <t xml:space="preserve">Tel : (606) 2883398 , 2884473 </t>
  </si>
  <si>
    <t>Website :  http://www.maruwa-g.com   http://www.maruwa.com.my</t>
  </si>
  <si>
    <t xml:space="preserve">MM-IN-RD-9100A-P01-27 Rev.1 </t>
  </si>
  <si>
    <t>QUOTATION</t>
  </si>
  <si>
    <t xml:space="preserve">Ref. No. </t>
  </si>
  <si>
    <t>:</t>
  </si>
  <si>
    <t>180905-KM</t>
  </si>
  <si>
    <t>Date</t>
  </si>
  <si>
    <t xml:space="preserve">Sold To   </t>
  </si>
  <si>
    <t>KAMAYA ELECTRIC [M] SDN.BHD.</t>
  </si>
  <si>
    <t>No.2 Jalan Klebang 1/5</t>
  </si>
  <si>
    <t>Shipment terms</t>
  </si>
  <si>
    <t>CIF</t>
  </si>
  <si>
    <t>Zon Perindustrian Bebas Kinta</t>
  </si>
  <si>
    <t xml:space="preserve">Destination       </t>
  </si>
  <si>
    <t>Ipoh</t>
  </si>
  <si>
    <t>Jalan Kuala Kangsar</t>
  </si>
  <si>
    <t>31200 Chemor Perak, MALAYSIA</t>
  </si>
  <si>
    <t xml:space="preserve">Payment Terms </t>
  </si>
  <si>
    <t>TT 120 Days</t>
  </si>
  <si>
    <t xml:space="preserve">Bank Name    </t>
  </si>
  <si>
    <t>Malayan Banking Berhad</t>
  </si>
  <si>
    <t xml:space="preserve">Attn       </t>
  </si>
  <si>
    <t>Mr. Tony Shum</t>
  </si>
  <si>
    <t>Bank Address</t>
  </si>
  <si>
    <t>114 &amp; 114-A Graha Peladang</t>
  </si>
  <si>
    <t xml:space="preserve">Tel        </t>
  </si>
  <si>
    <t>+606-2915522</t>
  </si>
  <si>
    <t>Jalan Hang Tuah</t>
  </si>
  <si>
    <t xml:space="preserve">Fax       </t>
  </si>
  <si>
    <t>+606-2912600</t>
  </si>
  <si>
    <t>75350 Melaka</t>
  </si>
  <si>
    <t xml:space="preserve">E-Mail    </t>
  </si>
  <si>
    <t>tonyshum@kamaya.com.my</t>
  </si>
  <si>
    <t>Telephone No.</t>
  </si>
  <si>
    <t>+606 2822 477 / 426</t>
  </si>
  <si>
    <t xml:space="preserve">Cust. Code     </t>
  </si>
  <si>
    <t>K00001</t>
  </si>
  <si>
    <t>Fax No.</t>
  </si>
  <si>
    <t>+606 2836 393</t>
  </si>
  <si>
    <t xml:space="preserve">Account No  </t>
  </si>
  <si>
    <t>704021-45752-1</t>
  </si>
  <si>
    <t xml:space="preserve">Ship To   </t>
  </si>
  <si>
    <t>Currency</t>
  </si>
  <si>
    <t>MYR</t>
  </si>
  <si>
    <t xml:space="preserve">Swift Code          </t>
  </si>
  <si>
    <t>MBB E my KL</t>
  </si>
  <si>
    <t xml:space="preserve">Shipping Marks </t>
  </si>
  <si>
    <t xml:space="preserve">Attn        </t>
  </si>
  <si>
    <t xml:space="preserve">Tel         </t>
  </si>
  <si>
    <t xml:space="preserve">Sales Office    </t>
  </si>
  <si>
    <t>Maruwa [Malaysia] Sdn.Bhd</t>
  </si>
  <si>
    <t xml:space="preserve">Fax        </t>
  </si>
  <si>
    <t>Person Incharge</t>
  </si>
  <si>
    <t>Rosli Ahmad</t>
  </si>
  <si>
    <t xml:space="preserve">E-Mail     </t>
  </si>
  <si>
    <t>Forwarder</t>
  </si>
  <si>
    <t>KWE</t>
  </si>
  <si>
    <t>Period</t>
  </si>
  <si>
    <t>From</t>
  </si>
  <si>
    <t>To</t>
  </si>
  <si>
    <t>Type Of Quotation</t>
  </si>
  <si>
    <t>Sample No Value</t>
  </si>
  <si>
    <t>Sample Value</t>
  </si>
  <si>
    <t>Mould Cost Value</t>
  </si>
  <si>
    <t>Order</t>
  </si>
  <si>
    <t>Type</t>
  </si>
  <si>
    <t xml:space="preserve">MARUWA Product </t>
  </si>
  <si>
    <t>Packing Standard</t>
  </si>
  <si>
    <t>Capacity</t>
  </si>
  <si>
    <t>PRICE [MYR]</t>
  </si>
  <si>
    <t>Shipment Rank</t>
  </si>
  <si>
    <t>Bundle</t>
  </si>
  <si>
    <t>Pink Box</t>
  </si>
  <si>
    <t>OLD</t>
  </si>
  <si>
    <t xml:space="preserve">NEW </t>
  </si>
  <si>
    <t>0201</t>
  </si>
  <si>
    <t>KA0201</t>
  </si>
  <si>
    <t xml:space="preserve">93 98 </t>
  </si>
  <si>
    <t>0402</t>
  </si>
  <si>
    <t>7910M</t>
  </si>
  <si>
    <t>76 77 85 88 [L/R]</t>
  </si>
  <si>
    <t>0603</t>
  </si>
  <si>
    <t>3080M</t>
  </si>
  <si>
    <t>22 23 24 32  33 43 44 [ABCD]</t>
  </si>
  <si>
    <t>0805</t>
  </si>
  <si>
    <t>1598M</t>
  </si>
  <si>
    <t>45 46 55 56 65 66</t>
  </si>
  <si>
    <t>1206</t>
  </si>
  <si>
    <t>874M</t>
  </si>
  <si>
    <t>45 46 47 55 56 57 65 66 67</t>
  </si>
  <si>
    <t>1210</t>
  </si>
  <si>
    <t>YA1210</t>
  </si>
  <si>
    <t>55 56 [ABCD]</t>
  </si>
  <si>
    <t>2010</t>
  </si>
  <si>
    <t>YA2010</t>
  </si>
  <si>
    <t>33 34 43 44 53 54</t>
  </si>
  <si>
    <t>2512</t>
  </si>
  <si>
    <t>YA2512</t>
  </si>
  <si>
    <t>35 36 45 46 55 56</t>
  </si>
  <si>
    <t>HR75ARW</t>
  </si>
  <si>
    <t>1632AM</t>
  </si>
  <si>
    <t>All rank</t>
  </si>
  <si>
    <t>R1020KRW</t>
  </si>
  <si>
    <t>T1005-4AMK</t>
  </si>
  <si>
    <t>R1532LRW</t>
  </si>
  <si>
    <t>T1608-4AML</t>
  </si>
  <si>
    <t>R1020MRW</t>
  </si>
  <si>
    <t>T1005-4AMM</t>
  </si>
  <si>
    <t>Remarks :</t>
  </si>
  <si>
    <t>New price with 2% discount for pink box packaging.</t>
  </si>
  <si>
    <t>Maruwa (Malaysia) Sdn.Bhd</t>
  </si>
  <si>
    <t>Prepared By</t>
  </si>
  <si>
    <t>Verified By</t>
  </si>
  <si>
    <t>Approved By</t>
  </si>
  <si>
    <t>Mr. Sinnathamby AL Subramanian</t>
  </si>
  <si>
    <t>Mr. Yasuhiro Ogawa</t>
  </si>
  <si>
    <t>Revenue Initiator Division</t>
  </si>
  <si>
    <t>Chief Operation Officer [COO]</t>
  </si>
  <si>
    <t>Managing Director</t>
  </si>
  <si>
    <t>180905-KM-KJ</t>
  </si>
  <si>
    <t>Ex-Factory [FEDEX: 247500367]</t>
  </si>
  <si>
    <t>Hakodate Airport/Tamakomai Port</t>
  </si>
  <si>
    <t>K00001-KJ</t>
  </si>
  <si>
    <t>004021+45752-1</t>
  </si>
  <si>
    <t>RM</t>
  </si>
  <si>
    <t>FEDEX [KJ Account No.: 247500367]</t>
  </si>
  <si>
    <t>Customer Parts No.</t>
  </si>
  <si>
    <t xml:space="preserve">Maruwa Product </t>
  </si>
  <si>
    <t>Customer PO</t>
  </si>
  <si>
    <t>BASE PRICE</t>
  </si>
  <si>
    <t>W/Mth Rate</t>
  </si>
  <si>
    <t>Remarks</t>
  </si>
  <si>
    <t>Old</t>
  </si>
  <si>
    <t>New</t>
  </si>
  <si>
    <t>Example: 0.0363</t>
  </si>
  <si>
    <t>IR27ARW</t>
  </si>
  <si>
    <t xml:space="preserve">2550AM </t>
  </si>
  <si>
    <t xml:space="preserve">1632AM </t>
  </si>
  <si>
    <t>65 x 74 x 0.20T</t>
  </si>
  <si>
    <t>SA-10A</t>
  </si>
  <si>
    <t>60 x 70 x 0.10T</t>
  </si>
  <si>
    <t xml:space="preserve"> </t>
  </si>
  <si>
    <t>SA-28B</t>
  </si>
  <si>
    <t>60 x 70 x 0.28T</t>
  </si>
  <si>
    <t>❶</t>
  </si>
  <si>
    <t>Kamaya [M] billing invoice in JPY. Amount convert to RM by Malaysia Custom Weekly/Monthly Rate</t>
  </si>
  <si>
    <t>❷</t>
  </si>
  <si>
    <t>Kamaya [M] payment base on RM amount stated in each invoice.</t>
  </si>
  <si>
    <t>❸</t>
  </si>
  <si>
    <t>Shipment direct to Kamaya [J], billing CV invoice to Kamaya [M]</t>
  </si>
  <si>
    <t>Sinnatamby SOSubramanian</t>
  </si>
  <si>
    <t>Yasuhiro Ogawa</t>
  </si>
  <si>
    <t>Chief Operaton Officer [COO]</t>
  </si>
  <si>
    <t>Manaiging Director [MD]</t>
  </si>
  <si>
    <t>Mr. Tony</t>
  </si>
  <si>
    <t>Purchasing Manager</t>
  </si>
  <si>
    <t>Purchasing Executive</t>
  </si>
  <si>
    <t>Mr. Emily</t>
  </si>
  <si>
    <t xml:space="preserve">Revised price increase 10% to 8%by Wed 12-Sep. </t>
  </si>
  <si>
    <t>Revised mthly qty 1500Kto 2000K by Wed 12-Sep</t>
  </si>
  <si>
    <t>1.</t>
  </si>
  <si>
    <t>New price increase 10% from Oct shipment was rejected and after negotiation Mr.Tony agreed wih 8%. Ms. Emily  request revised</t>
  </si>
  <si>
    <t>quotation to submit by Wed 12-Sep for Kamaya to issue new p/o for Oct shipment.</t>
  </si>
  <si>
    <t>2.</t>
  </si>
  <si>
    <t>The new price increase fro 7910M, M-Type and YA-Series product.</t>
  </si>
  <si>
    <t>Mr. Tony also request KA0201 to be consider 8% as we quoted 22% increase to match with ROHM SA-18B price.</t>
  </si>
  <si>
    <t>KA0201 will increase from 5.5B 275K to 17.6B 900K by Jun-19, so MARUWA are seriously need to consider to support quantity.</t>
  </si>
  <si>
    <t>As current KA0201 are supply 100% by ECT.</t>
  </si>
  <si>
    <t>reply 1500K same as current supply qty against 4400K usage by KAMAYA by Dec-19.</t>
  </si>
  <si>
    <t>Mr. Tony are very disapointed MARUWA did not increase commitment qty further for 7910M, M-Type and YA-Series. MARUWA</t>
  </si>
  <si>
    <t>Mr. Tony request MARUWA to incrase qty to 2000K/mth and MARUWA will have opportunity of high value product.</t>
  </si>
  <si>
    <t xml:space="preserve">KAMAYA main increase will be high value product for automotive customers such as Continetal, Bosch, Seagate etc. KAMAYA </t>
  </si>
  <si>
    <t>suppling 40% to automotive customer.</t>
  </si>
  <si>
    <t>New Plant 2 [4 storey] will convert to KA0201 production.</t>
  </si>
  <si>
    <t>New Plant 3 will only produce KA0201 and no slit product for automotive customer. KAMAYA invested RM200 million including</t>
  </si>
  <si>
    <t>buying Plant 3 RM60 million for high value product for automotive.</t>
  </si>
  <si>
    <t>3.</t>
  </si>
  <si>
    <t>Current man power also had increase to 1400 and expected to increase to 2000 by Dec 2019[60% foreign workers].</t>
  </si>
  <si>
    <t>4.</t>
  </si>
  <si>
    <t>01005 60*70*0.10T 0.2B production increase to 2B by Dec-19.</t>
  </si>
  <si>
    <t>5.</t>
  </si>
  <si>
    <t>Overall production 9B increase to 26.7B by Dec-19.</t>
  </si>
  <si>
    <t>9B for 7910M, M-Type and YA-Series and 17.6B for KA0201, 01005 and others high value product.</t>
  </si>
  <si>
    <t>OTHERS</t>
  </si>
  <si>
    <t>Mr. Tony request small size 60*49.5 stock list to help to clear MARWA stock.</t>
  </si>
  <si>
    <t>Mrs. Emily complaint small lot qty ship 2/3 times. Request to ship lot by 1 time to reduce IQA inspection frequency.</t>
  </si>
  <si>
    <t>KAMAYA agreed MARUWA proposal for pink box dirty. BUT dust need to wash as pink box use on 1st printing process in</t>
  </si>
  <si>
    <t>clean room [class 10 clean room]</t>
  </si>
  <si>
    <t>Wrong data on MARUWA inspection report for 1632AM, T1005-4AMM, T1005-4AMK and T1608-4AML due to manual key-in.</t>
  </si>
  <si>
    <t>Need to submit countermeasure ASAP.</t>
  </si>
  <si>
    <t>KAMAYA partcode for 7910M does not writtern on invoice. Ms Syakilla checked and key-in the part code today.</t>
  </si>
  <si>
    <t>I requested to increase shipment rank as shipment qty increasing. Proposal will be made through Ms. Emily.</t>
  </si>
  <si>
    <t>Increase shipment rank proposal 7910M, M/YA</t>
  </si>
  <si>
    <t>Small lot qty shipment</t>
  </si>
  <si>
    <t>Old stock 60*49.5for stock clearance</t>
  </si>
  <si>
    <t xml:space="preserve">C/Measure wrong spec </t>
  </si>
  <si>
    <t>1632AM [HR70ARW]</t>
  </si>
  <si>
    <t>Mr. Amirol had saperate meeting with Ms Umai. Proposal to measure back slit with white area as ROHM method. Ms. Umai will</t>
  </si>
  <si>
    <t>re-confirm after discuss with QA management.</t>
  </si>
  <si>
    <t>value production to 17.6B 65% from total capacity 26.7B</t>
  </si>
  <si>
    <t xml:space="preserve">KAMAYA given MARUWA opportunity to increase share and MAUWA should give good respon especialy KAMAYA increase high </t>
  </si>
  <si>
    <t>KAMAYA AUDIT</t>
  </si>
  <si>
    <t>Plan on Dec-18. Actual date will be advice later.</t>
  </si>
  <si>
    <t>PRICE INCREASE OCT-18 10%</t>
  </si>
  <si>
    <t xml:space="preserve">COMMITMENT QUANTITY 1500K TO 2000K </t>
  </si>
  <si>
    <t>KAMAYA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</si>
</sst>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yyyy/m/d;@"/>
    <numFmt numFmtId="165" formatCode="_(* #,##0.00_);_(* \(#,##0.00\);_(* &quot;-&quot;??_);_(@_)"/>
    <numFmt numFmtId="166" formatCode="#,##0_ ;[Red]\-#,##0\ "/>
    <numFmt numFmtId="167" formatCode="[$-409]d\-mmm\-yy;@"/>
    <numFmt numFmtId="168" formatCode="#,##0;[Red]#,##0"/>
    <numFmt numFmtId="169" formatCode="[$-409]dd\-mmm\-yy;@"/>
    <numFmt numFmtId="170" formatCode="#,##0.0000"/>
    <numFmt numFmtId="171" formatCode="0.0000"/>
    <numFmt numFmtId="172" formatCode="[$JPY]\ #,##0.00"/>
    <numFmt numFmtId="173" formatCode="0.0"/>
    <numFmt numFmtId="174" formatCode="[$RM-4409]#,##0.0000"/>
    <numFmt numFmtId="175" formatCode="[$RM-43E]#,##0.0000"/>
  </numFmts>
  <fonts count="5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PMincho"/>
      <family val="1"/>
    </font>
    <font>
      <sz val="12"/>
      <color theme="1"/>
      <name val="MS PMincho"/>
      <family val="1"/>
    </font>
    <font>
      <b/>
      <u val="double"/>
      <sz val="36"/>
      <color theme="1"/>
      <name val="MS PMincho"/>
      <family val="1"/>
    </font>
    <font>
      <b/>
      <sz val="12"/>
      <name val="MS PMincho"/>
      <family val="1"/>
    </font>
    <font>
      <b/>
      <u val="double"/>
      <sz val="12"/>
      <name val="MS PMincho"/>
      <family val="1"/>
    </font>
    <font>
      <b/>
      <u/>
      <sz val="12"/>
      <name val="MS PMincho"/>
      <family val="1"/>
    </font>
    <font>
      <b/>
      <u val="double"/>
      <sz val="12"/>
      <color theme="1"/>
      <name val="MS PMincho"/>
      <family val="1"/>
    </font>
    <font>
      <sz val="12"/>
      <color theme="8"/>
      <name val="MS PMincho"/>
      <family val="1"/>
    </font>
    <font>
      <b/>
      <sz val="20"/>
      <color theme="1"/>
      <name val="MS PMincho"/>
      <family val="1"/>
    </font>
    <font>
      <sz val="10"/>
      <name val="Arial"/>
      <family val="2"/>
    </font>
    <font>
      <b/>
      <sz val="24"/>
      <name val="Arial"/>
      <family val="2"/>
    </font>
    <font>
      <sz val="11"/>
      <color indexed="8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4"/>
      <name val="Arial"/>
      <family val="2"/>
    </font>
    <font>
      <sz val="11"/>
      <name val="ＭＳ Ｐゴシック"/>
      <charset val="128"/>
    </font>
    <font>
      <sz val="1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1"/>
      <color rgb="FFFF0000"/>
      <name val="Arial"/>
      <family val="2"/>
    </font>
    <font>
      <b/>
      <sz val="36"/>
      <name val="Arial"/>
      <family val="2"/>
    </font>
    <font>
      <sz val="24"/>
      <name val="Arial"/>
      <family val="2"/>
    </font>
    <font>
      <sz val="22"/>
      <name val="Arial"/>
      <family val="2"/>
    </font>
    <font>
      <b/>
      <sz val="60"/>
      <name val="Arial"/>
      <family val="2"/>
    </font>
    <font>
      <sz val="22"/>
      <color rgb="FFFF0000"/>
      <name val="Arial"/>
      <family val="2"/>
    </font>
    <font>
      <b/>
      <sz val="22"/>
      <name val="Arial"/>
      <family val="2"/>
    </font>
    <font>
      <u/>
      <sz val="8.25"/>
      <color indexed="12"/>
      <name val="ＭＳ Ｐゴシック"/>
      <charset val="128"/>
    </font>
    <font>
      <u/>
      <sz val="22"/>
      <color indexed="12"/>
      <name val="Arial"/>
      <family val="2"/>
    </font>
    <font>
      <sz val="22"/>
      <color indexed="8"/>
      <name val="Arial"/>
      <family val="2"/>
    </font>
    <font>
      <b/>
      <sz val="22"/>
      <color indexed="8"/>
      <name val="Arial"/>
      <family val="2"/>
    </font>
    <font>
      <b/>
      <sz val="48"/>
      <name val="Arial"/>
      <family val="2"/>
    </font>
    <font>
      <b/>
      <sz val="24"/>
      <color rgb="FFFF0000"/>
      <name val="Arial"/>
      <family val="2"/>
    </font>
    <font>
      <b/>
      <sz val="22"/>
      <color rgb="FFFF0000"/>
      <name val="Arial"/>
      <family val="2"/>
    </font>
    <font>
      <sz val="24"/>
      <color rgb="FFFF0000"/>
      <name val="Arial"/>
      <family val="2"/>
    </font>
    <font>
      <sz val="18"/>
      <name val="Arial"/>
      <family val="2"/>
    </font>
    <font>
      <sz val="18"/>
      <color rgb="FFFF0000"/>
      <name val="Arial"/>
      <family val="2"/>
    </font>
    <font>
      <sz val="11"/>
      <name val="MS UI Gothic"/>
      <family val="2"/>
    </font>
    <font>
      <sz val="20"/>
      <name val="MS UI Gothic"/>
      <family val="2"/>
    </font>
    <font>
      <b/>
      <sz val="20"/>
      <name val="MS UI Gothic"/>
      <family val="2"/>
    </font>
    <font>
      <b/>
      <sz val="36"/>
      <name val="MS UI Gothic"/>
      <family val="2"/>
    </font>
    <font>
      <sz val="24"/>
      <name val="MS UI Gothic"/>
      <family val="2"/>
    </font>
    <font>
      <sz val="22"/>
      <name val="MS UI Gothic"/>
      <family val="2"/>
    </font>
    <font>
      <b/>
      <sz val="60"/>
      <name val="MS UI Gothic"/>
      <family val="2"/>
    </font>
    <font>
      <b/>
      <sz val="22"/>
      <name val="MS UI Gothic"/>
      <family val="2"/>
    </font>
    <font>
      <u/>
      <sz val="22"/>
      <color indexed="12"/>
      <name val="MS UI Gothic"/>
      <family val="2"/>
    </font>
    <font>
      <sz val="22"/>
      <color rgb="FFFF0000"/>
      <name val="MS UI Gothic"/>
      <family val="2"/>
    </font>
    <font>
      <b/>
      <sz val="22"/>
      <color indexed="8"/>
      <name val="MS UI Gothic"/>
      <family val="2"/>
    </font>
    <font>
      <sz val="18"/>
      <name val="MS UI Gothic"/>
      <family val="2"/>
    </font>
    <font>
      <sz val="22"/>
      <color indexed="8"/>
      <name val="MS UI Gothic"/>
      <family val="2"/>
    </font>
    <font>
      <b/>
      <sz val="24"/>
      <name val="MS UI Gothic"/>
      <family val="2"/>
    </font>
    <font>
      <b/>
      <sz val="48"/>
      <name val="MS UI Gothic"/>
      <family val="2"/>
    </font>
    <font>
      <b/>
      <sz val="12"/>
      <color theme="1"/>
      <name val="MS PMincho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9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0" fontId="11" fillId="0" borderId="0"/>
    <xf numFmtId="165" fontId="13" fillId="0" borderId="0" applyFont="0" applyFill="0" applyBorder="0" applyAlignment="0" applyProtection="0"/>
    <xf numFmtId="0" fontId="17" fillId="0" borderId="0"/>
    <xf numFmtId="9" fontId="11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40" fontId="17" fillId="0" borderId="0" applyFont="0" applyFill="0" applyBorder="0" applyAlignment="0" applyProtection="0"/>
  </cellStyleXfs>
  <cellXfs count="433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4" xfId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lef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1" xfId="1" quotePrefix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66" fontId="14" fillId="0" borderId="0" xfId="4" quotePrefix="1" applyNumberFormat="1" applyFont="1" applyFill="1" applyBorder="1" applyAlignment="1">
      <alignment vertical="top"/>
    </xf>
    <xf numFmtId="167" fontId="14" fillId="0" borderId="0" xfId="4" applyNumberFormat="1" applyFont="1" applyFill="1" applyBorder="1" applyAlignment="1">
      <alignment vertical="top" wrapText="1"/>
    </xf>
    <xf numFmtId="0" fontId="14" fillId="0" borderId="0" xfId="3" applyFont="1" applyFill="1" applyBorder="1" applyAlignment="1">
      <alignment vertical="top"/>
    </xf>
    <xf numFmtId="0" fontId="15" fillId="0" borderId="0" xfId="3" applyFont="1" applyFill="1" applyBorder="1" applyAlignment="1">
      <alignment horizontal="left" vertical="center"/>
    </xf>
    <xf numFmtId="0" fontId="15" fillId="0" borderId="1" xfId="3" applyFont="1" applyFill="1" applyBorder="1" applyAlignment="1">
      <alignment horizontal="left" vertical="center"/>
    </xf>
    <xf numFmtId="0" fontId="14" fillId="0" borderId="1" xfId="3" applyFont="1" applyFill="1" applyBorder="1" applyAlignment="1">
      <alignment horizontal="center" vertical="center" wrapText="1"/>
    </xf>
    <xf numFmtId="0" fontId="14" fillId="0" borderId="12" xfId="3" applyFont="1" applyFill="1" applyBorder="1" applyAlignment="1">
      <alignment horizontal="center" vertical="center" wrapText="1"/>
    </xf>
    <xf numFmtId="0" fontId="14" fillId="0" borderId="13" xfId="3" applyFont="1" applyFill="1" applyBorder="1" applyAlignment="1">
      <alignment horizontal="center" vertical="center" wrapText="1"/>
    </xf>
    <xf numFmtId="166" fontId="14" fillId="0" borderId="14" xfId="3" applyNumberFormat="1" applyFont="1" applyFill="1" applyBorder="1" applyAlignment="1">
      <alignment horizontal="center" vertical="center" wrapText="1"/>
    </xf>
    <xf numFmtId="166" fontId="14" fillId="0" borderId="15" xfId="3" applyNumberFormat="1" applyFont="1" applyFill="1" applyBorder="1" applyAlignment="1">
      <alignment horizontal="center" vertical="center" wrapText="1"/>
    </xf>
    <xf numFmtId="166" fontId="14" fillId="0" borderId="16" xfId="3" applyNumberFormat="1" applyFont="1" applyFill="1" applyBorder="1" applyAlignment="1">
      <alignment horizontal="center" vertical="center" wrapText="1"/>
    </xf>
    <xf numFmtId="166" fontId="14" fillId="0" borderId="17" xfId="3" applyNumberFormat="1" applyFont="1" applyFill="1" applyBorder="1" applyAlignment="1">
      <alignment horizontal="center" vertical="center" wrapText="1"/>
    </xf>
    <xf numFmtId="0" fontId="14" fillId="0" borderId="19" xfId="3" quotePrefix="1" applyFont="1" applyFill="1" applyBorder="1" applyAlignment="1">
      <alignment vertical="top" wrapText="1"/>
    </xf>
    <xf numFmtId="168" fontId="14" fillId="0" borderId="2" xfId="3" quotePrefix="1" applyNumberFormat="1" applyFont="1" applyFill="1" applyBorder="1" applyAlignment="1">
      <alignment vertical="top" wrapText="1"/>
    </xf>
    <xf numFmtId="168" fontId="14" fillId="0" borderId="20" xfId="3" quotePrefix="1" applyNumberFormat="1" applyFont="1" applyFill="1" applyBorder="1" applyAlignment="1">
      <alignment vertical="top" wrapText="1"/>
    </xf>
    <xf numFmtId="168" fontId="14" fillId="0" borderId="3" xfId="3" quotePrefix="1" applyNumberFormat="1" applyFont="1" applyFill="1" applyBorder="1" applyAlignment="1">
      <alignment vertical="top" wrapText="1"/>
    </xf>
    <xf numFmtId="168" fontId="14" fillId="0" borderId="21" xfId="3" quotePrefix="1" applyNumberFormat="1" applyFont="1" applyFill="1" applyBorder="1" applyAlignment="1">
      <alignment vertical="top" wrapText="1"/>
    </xf>
    <xf numFmtId="168" fontId="14" fillId="0" borderId="22" xfId="4" quotePrefix="1" applyNumberFormat="1" applyFont="1" applyFill="1" applyBorder="1" applyAlignment="1">
      <alignment horizontal="right" vertical="center"/>
    </xf>
    <xf numFmtId="168" fontId="14" fillId="0" borderId="20" xfId="4" quotePrefix="1" applyNumberFormat="1" applyFont="1" applyFill="1" applyBorder="1" applyAlignment="1">
      <alignment horizontal="right" vertical="center"/>
    </xf>
    <xf numFmtId="168" fontId="14" fillId="0" borderId="21" xfId="4" quotePrefix="1" applyNumberFormat="1" applyFont="1" applyFill="1" applyBorder="1" applyAlignment="1">
      <alignment horizontal="right" vertical="center"/>
    </xf>
    <xf numFmtId="168" fontId="14" fillId="0" borderId="23" xfId="4" quotePrefix="1" applyNumberFormat="1" applyFont="1" applyFill="1" applyBorder="1" applyAlignment="1">
      <alignment horizontal="right" vertical="center"/>
    </xf>
    <xf numFmtId="0" fontId="16" fillId="3" borderId="19" xfId="3" quotePrefix="1" applyFont="1" applyFill="1" applyBorder="1" applyAlignment="1">
      <alignment vertical="top" wrapText="1"/>
    </xf>
    <xf numFmtId="168" fontId="16" fillId="3" borderId="5" xfId="3" quotePrefix="1" applyNumberFormat="1" applyFont="1" applyFill="1" applyBorder="1" applyAlignment="1">
      <alignment vertical="top" wrapText="1"/>
    </xf>
    <xf numFmtId="168" fontId="16" fillId="3" borderId="24" xfId="3" quotePrefix="1" applyNumberFormat="1" applyFont="1" applyFill="1" applyBorder="1" applyAlignment="1">
      <alignment vertical="top" wrapText="1"/>
    </xf>
    <xf numFmtId="168" fontId="16" fillId="3" borderId="0" xfId="3" quotePrefix="1" applyNumberFormat="1" applyFont="1" applyFill="1" applyBorder="1" applyAlignment="1">
      <alignment vertical="top" wrapText="1"/>
    </xf>
    <xf numFmtId="168" fontId="16" fillId="3" borderId="19" xfId="3" quotePrefix="1" applyNumberFormat="1" applyFont="1" applyFill="1" applyBorder="1" applyAlignment="1">
      <alignment vertical="top" wrapText="1"/>
    </xf>
    <xf numFmtId="168" fontId="16" fillId="3" borderId="25" xfId="4" applyNumberFormat="1" applyFont="1" applyFill="1" applyBorder="1" applyAlignment="1">
      <alignment horizontal="right" vertical="center" wrapText="1"/>
    </xf>
    <xf numFmtId="168" fontId="16" fillId="3" borderId="24" xfId="4" applyNumberFormat="1" applyFont="1" applyFill="1" applyBorder="1" applyAlignment="1">
      <alignment horizontal="right" vertical="center" wrapText="1"/>
    </xf>
    <xf numFmtId="168" fontId="16" fillId="3" borderId="19" xfId="4" applyNumberFormat="1" applyFont="1" applyFill="1" applyBorder="1" applyAlignment="1">
      <alignment horizontal="right" vertical="center" wrapText="1"/>
    </xf>
    <xf numFmtId="168" fontId="16" fillId="3" borderId="18" xfId="4" applyNumberFormat="1" applyFont="1" applyFill="1" applyBorder="1" applyAlignment="1">
      <alignment horizontal="right" vertical="center" wrapText="1"/>
    </xf>
    <xf numFmtId="0" fontId="14" fillId="5" borderId="19" xfId="3" quotePrefix="1" applyFont="1" applyFill="1" applyBorder="1" applyAlignment="1">
      <alignment vertical="top" wrapText="1"/>
    </xf>
    <xf numFmtId="168" fontId="14" fillId="5" borderId="26" xfId="3" quotePrefix="1" applyNumberFormat="1" applyFont="1" applyFill="1" applyBorder="1" applyAlignment="1">
      <alignment vertical="top" wrapText="1"/>
    </xf>
    <xf numFmtId="168" fontId="14" fillId="5" borderId="27" xfId="3" quotePrefix="1" applyNumberFormat="1" applyFont="1" applyFill="1" applyBorder="1" applyAlignment="1">
      <alignment vertical="top" wrapText="1"/>
    </xf>
    <xf numFmtId="168" fontId="14" fillId="5" borderId="28" xfId="3" quotePrefix="1" applyNumberFormat="1" applyFont="1" applyFill="1" applyBorder="1" applyAlignment="1">
      <alignment vertical="top" wrapText="1"/>
    </xf>
    <xf numFmtId="168" fontId="14" fillId="5" borderId="29" xfId="3" quotePrefix="1" applyNumberFormat="1" applyFont="1" applyFill="1" applyBorder="1" applyAlignment="1">
      <alignment vertical="top" wrapText="1"/>
    </xf>
    <xf numFmtId="168" fontId="14" fillId="5" borderId="25" xfId="4" applyNumberFormat="1" applyFont="1" applyFill="1" applyBorder="1" applyAlignment="1">
      <alignment horizontal="right" vertical="center" wrapText="1"/>
    </xf>
    <xf numFmtId="168" fontId="14" fillId="5" borderId="24" xfId="4" applyNumberFormat="1" applyFont="1" applyFill="1" applyBorder="1" applyAlignment="1">
      <alignment horizontal="right" vertical="center" wrapText="1"/>
    </xf>
    <xf numFmtId="168" fontId="14" fillId="5" borderId="19" xfId="4" applyNumberFormat="1" applyFont="1" applyFill="1" applyBorder="1" applyAlignment="1">
      <alignment horizontal="right" vertical="center" wrapText="1"/>
    </xf>
    <xf numFmtId="168" fontId="14" fillId="5" borderId="18" xfId="4" applyNumberFormat="1" applyFont="1" applyFill="1" applyBorder="1" applyAlignment="1">
      <alignment horizontal="right" vertical="center" wrapText="1"/>
    </xf>
    <xf numFmtId="0" fontId="14" fillId="0" borderId="31" xfId="3" quotePrefix="1" applyFont="1" applyFill="1" applyBorder="1" applyAlignment="1">
      <alignment vertical="top" wrapText="1"/>
    </xf>
    <xf numFmtId="168" fontId="14" fillId="0" borderId="32" xfId="3" quotePrefix="1" applyNumberFormat="1" applyFont="1" applyFill="1" applyBorder="1" applyAlignment="1">
      <alignment vertical="top" wrapText="1"/>
    </xf>
    <xf numFmtId="168" fontId="14" fillId="0" borderId="33" xfId="3" quotePrefix="1" applyNumberFormat="1" applyFont="1" applyFill="1" applyBorder="1" applyAlignment="1">
      <alignment vertical="top" wrapText="1"/>
    </xf>
    <xf numFmtId="168" fontId="14" fillId="0" borderId="34" xfId="3" quotePrefix="1" applyNumberFormat="1" applyFont="1" applyFill="1" applyBorder="1" applyAlignment="1">
      <alignment vertical="top" wrapText="1"/>
    </xf>
    <xf numFmtId="168" fontId="14" fillId="0" borderId="31" xfId="3" quotePrefix="1" applyNumberFormat="1" applyFont="1" applyFill="1" applyBorder="1" applyAlignment="1">
      <alignment vertical="top" wrapText="1"/>
    </xf>
    <xf numFmtId="168" fontId="14" fillId="0" borderId="35" xfId="4" quotePrefix="1" applyNumberFormat="1" applyFont="1" applyFill="1" applyBorder="1" applyAlignment="1">
      <alignment horizontal="right" vertical="center"/>
    </xf>
    <xf numFmtId="168" fontId="14" fillId="0" borderId="33" xfId="4" quotePrefix="1" applyNumberFormat="1" applyFont="1" applyFill="1" applyBorder="1" applyAlignment="1">
      <alignment horizontal="right" vertical="center"/>
    </xf>
    <xf numFmtId="168" fontId="14" fillId="0" borderId="31" xfId="4" quotePrefix="1" applyNumberFormat="1" applyFont="1" applyFill="1" applyBorder="1" applyAlignment="1">
      <alignment horizontal="right" vertical="center"/>
    </xf>
    <xf numFmtId="168" fontId="14" fillId="0" borderId="30" xfId="4" quotePrefix="1" applyNumberFormat="1" applyFont="1" applyFill="1" applyBorder="1" applyAlignment="1">
      <alignment horizontal="right" vertical="center"/>
    </xf>
    <xf numFmtId="0" fontId="14" fillId="5" borderId="29" xfId="3" quotePrefix="1" applyFont="1" applyFill="1" applyBorder="1" applyAlignment="1">
      <alignment vertical="top" wrapText="1"/>
    </xf>
    <xf numFmtId="168" fontId="14" fillId="5" borderId="37" xfId="4" applyNumberFormat="1" applyFont="1" applyFill="1" applyBorder="1" applyAlignment="1">
      <alignment horizontal="right" vertical="center" wrapText="1"/>
    </xf>
    <xf numFmtId="168" fontId="14" fillId="5" borderId="27" xfId="4" applyNumberFormat="1" applyFont="1" applyFill="1" applyBorder="1" applyAlignment="1">
      <alignment horizontal="right" vertical="center" wrapText="1"/>
    </xf>
    <xf numFmtId="168" fontId="14" fillId="5" borderId="29" xfId="4" applyNumberFormat="1" applyFont="1" applyFill="1" applyBorder="1" applyAlignment="1">
      <alignment horizontal="right" vertical="center" wrapText="1"/>
    </xf>
    <xf numFmtId="168" fontId="14" fillId="5" borderId="36" xfId="4" applyNumberFormat="1" applyFont="1" applyFill="1" applyBorder="1" applyAlignment="1">
      <alignment horizontal="right" vertical="center" wrapText="1"/>
    </xf>
    <xf numFmtId="168" fontId="14" fillId="0" borderId="5" xfId="3" quotePrefix="1" applyNumberFormat="1" applyFont="1" applyFill="1" applyBorder="1" applyAlignment="1">
      <alignment vertical="top" wrapText="1"/>
    </xf>
    <xf numFmtId="168" fontId="14" fillId="0" borderId="24" xfId="3" quotePrefix="1" applyNumberFormat="1" applyFont="1" applyFill="1" applyBorder="1" applyAlignment="1">
      <alignment vertical="top" wrapText="1"/>
    </xf>
    <xf numFmtId="168" fontId="14" fillId="0" borderId="0" xfId="3" quotePrefix="1" applyNumberFormat="1" applyFont="1" applyFill="1" applyBorder="1" applyAlignment="1">
      <alignment vertical="top" wrapText="1"/>
    </xf>
    <xf numFmtId="168" fontId="14" fillId="0" borderId="19" xfId="3" quotePrefix="1" applyNumberFormat="1" applyFont="1" applyFill="1" applyBorder="1" applyAlignment="1">
      <alignment vertical="top" wrapText="1"/>
    </xf>
    <xf numFmtId="168" fontId="14" fillId="0" borderId="25" xfId="4" quotePrefix="1" applyNumberFormat="1" applyFont="1" applyFill="1" applyBorder="1" applyAlignment="1">
      <alignment horizontal="right" vertical="center"/>
    </xf>
    <xf numFmtId="168" fontId="14" fillId="0" borderId="24" xfId="4" quotePrefix="1" applyNumberFormat="1" applyFont="1" applyFill="1" applyBorder="1" applyAlignment="1">
      <alignment horizontal="right" vertical="center"/>
    </xf>
    <xf numFmtId="168" fontId="14" fillId="0" borderId="19" xfId="4" quotePrefix="1" applyNumberFormat="1" applyFont="1" applyFill="1" applyBorder="1" applyAlignment="1">
      <alignment horizontal="right" vertical="center"/>
    </xf>
    <xf numFmtId="168" fontId="14" fillId="0" borderId="18" xfId="4" quotePrefix="1" applyNumberFormat="1" applyFont="1" applyFill="1" applyBorder="1" applyAlignment="1">
      <alignment horizontal="right" vertical="center"/>
    </xf>
    <xf numFmtId="168" fontId="14" fillId="5" borderId="5" xfId="3" quotePrefix="1" applyNumberFormat="1" applyFont="1" applyFill="1" applyBorder="1" applyAlignment="1">
      <alignment vertical="top" wrapText="1"/>
    </xf>
    <xf numFmtId="168" fontId="14" fillId="5" borderId="24" xfId="3" quotePrefix="1" applyNumberFormat="1" applyFont="1" applyFill="1" applyBorder="1" applyAlignment="1">
      <alignment vertical="top" wrapText="1"/>
    </xf>
    <xf numFmtId="168" fontId="14" fillId="5" borderId="0" xfId="3" quotePrefix="1" applyNumberFormat="1" applyFont="1" applyFill="1" applyBorder="1" applyAlignment="1">
      <alignment vertical="top" wrapText="1"/>
    </xf>
    <xf numFmtId="168" fontId="14" fillId="5" borderId="19" xfId="3" quotePrefix="1" applyNumberFormat="1" applyFont="1" applyFill="1" applyBorder="1" applyAlignment="1">
      <alignment vertical="top" wrapText="1"/>
    </xf>
    <xf numFmtId="168" fontId="14" fillId="5" borderId="7" xfId="3" quotePrefix="1" applyNumberFormat="1" applyFont="1" applyFill="1" applyBorder="1" applyAlignment="1">
      <alignment vertical="top" wrapText="1"/>
    </xf>
    <xf numFmtId="168" fontId="14" fillId="5" borderId="15" xfId="3" quotePrefix="1" applyNumberFormat="1" applyFont="1" applyFill="1" applyBorder="1" applyAlignment="1">
      <alignment vertical="top" wrapText="1"/>
    </xf>
    <xf numFmtId="168" fontId="14" fillId="5" borderId="1" xfId="3" quotePrefix="1" applyNumberFormat="1" applyFont="1" applyFill="1" applyBorder="1" applyAlignment="1">
      <alignment vertical="top" wrapText="1"/>
    </xf>
    <xf numFmtId="168" fontId="14" fillId="5" borderId="16" xfId="3" quotePrefix="1" applyNumberFormat="1" applyFont="1" applyFill="1" applyBorder="1" applyAlignment="1">
      <alignment vertical="top" wrapText="1"/>
    </xf>
    <xf numFmtId="168" fontId="14" fillId="5" borderId="14" xfId="4" applyNumberFormat="1" applyFont="1" applyFill="1" applyBorder="1" applyAlignment="1">
      <alignment horizontal="right" vertical="center" wrapText="1"/>
    </xf>
    <xf numFmtId="168" fontId="14" fillId="5" borderId="15" xfId="4" applyNumberFormat="1" applyFont="1" applyFill="1" applyBorder="1" applyAlignment="1">
      <alignment horizontal="right" vertical="center" wrapText="1"/>
    </xf>
    <xf numFmtId="168" fontId="14" fillId="5" borderId="16" xfId="4" applyNumberFormat="1" applyFont="1" applyFill="1" applyBorder="1" applyAlignment="1">
      <alignment horizontal="right" vertical="center" wrapText="1"/>
    </xf>
    <xf numFmtId="168" fontId="14" fillId="5" borderId="17" xfId="4" applyNumberFormat="1" applyFont="1" applyFill="1" applyBorder="1" applyAlignment="1">
      <alignment horizontal="right" vertical="center" wrapText="1"/>
    </xf>
    <xf numFmtId="0" fontId="14" fillId="0" borderId="21" xfId="3" quotePrefix="1" applyFont="1" applyFill="1" applyBorder="1" applyAlignment="1">
      <alignment vertical="top" wrapText="1"/>
    </xf>
    <xf numFmtId="168" fontId="14" fillId="0" borderId="23" xfId="3" applyNumberFormat="1" applyFont="1" applyFill="1" applyBorder="1" applyAlignment="1">
      <alignment horizontal="right" vertical="center"/>
    </xf>
    <xf numFmtId="168" fontId="14" fillId="0" borderId="20" xfId="3" applyNumberFormat="1" applyFont="1" applyFill="1" applyBorder="1" applyAlignment="1">
      <alignment horizontal="right" vertical="center"/>
    </xf>
    <xf numFmtId="168" fontId="14" fillId="0" borderId="21" xfId="3" applyNumberFormat="1" applyFont="1" applyFill="1" applyBorder="1" applyAlignment="1">
      <alignment horizontal="right" vertical="center"/>
    </xf>
    <xf numFmtId="168" fontId="14" fillId="0" borderId="22" xfId="3" applyNumberFormat="1" applyFont="1" applyFill="1" applyBorder="1" applyAlignment="1">
      <alignment horizontal="right" vertical="center"/>
    </xf>
    <xf numFmtId="168" fontId="14" fillId="0" borderId="39" xfId="3" applyNumberFormat="1" applyFont="1" applyFill="1" applyBorder="1" applyAlignment="1">
      <alignment horizontal="right" vertical="center"/>
    </xf>
    <xf numFmtId="168" fontId="16" fillId="3" borderId="18" xfId="3" applyNumberFormat="1" applyFont="1" applyFill="1" applyBorder="1" applyAlignment="1">
      <alignment horizontal="right" vertical="center"/>
    </xf>
    <xf numFmtId="168" fontId="16" fillId="3" borderId="24" xfId="3" applyNumberFormat="1" applyFont="1" applyFill="1" applyBorder="1" applyAlignment="1">
      <alignment horizontal="right" vertical="center"/>
    </xf>
    <xf numFmtId="168" fontId="16" fillId="3" borderId="19" xfId="3" applyNumberFormat="1" applyFont="1" applyFill="1" applyBorder="1" applyAlignment="1">
      <alignment horizontal="right" vertical="center"/>
    </xf>
    <xf numFmtId="168" fontId="16" fillId="3" borderId="25" xfId="3" applyNumberFormat="1" applyFont="1" applyFill="1" applyBorder="1" applyAlignment="1">
      <alignment horizontal="right" vertical="center"/>
    </xf>
    <xf numFmtId="168" fontId="16" fillId="3" borderId="41" xfId="3" applyNumberFormat="1" applyFont="1" applyFill="1" applyBorder="1" applyAlignment="1">
      <alignment horizontal="right" vertical="center"/>
    </xf>
    <xf numFmtId="0" fontId="14" fillId="5" borderId="16" xfId="3" quotePrefix="1" applyFont="1" applyFill="1" applyBorder="1" applyAlignment="1">
      <alignment vertical="top" wrapText="1"/>
    </xf>
    <xf numFmtId="166" fontId="14" fillId="0" borderId="0" xfId="3" applyNumberFormat="1" applyFont="1" applyFill="1" applyBorder="1" applyAlignment="1">
      <alignment vertical="top"/>
    </xf>
    <xf numFmtId="166" fontId="14" fillId="0" borderId="32" xfId="3" applyNumberFormat="1" applyFont="1" applyFill="1" applyBorder="1" applyAlignment="1">
      <alignment horizontal="center" vertical="top"/>
    </xf>
    <xf numFmtId="166" fontId="14" fillId="0" borderId="33" xfId="3" applyNumberFormat="1" applyFont="1" applyFill="1" applyBorder="1" applyAlignment="1">
      <alignment horizontal="center" vertical="top"/>
    </xf>
    <xf numFmtId="166" fontId="14" fillId="0" borderId="43" xfId="3" applyNumberFormat="1" applyFont="1" applyFill="1" applyBorder="1" applyAlignment="1">
      <alignment horizontal="center" vertical="top"/>
    </xf>
    <xf numFmtId="166" fontId="14" fillId="0" borderId="5" xfId="3" applyNumberFormat="1" applyFont="1" applyFill="1" applyBorder="1" applyAlignment="1">
      <alignment horizontal="center" vertical="top"/>
    </xf>
    <xf numFmtId="166" fontId="14" fillId="0" borderId="24" xfId="3" applyNumberFormat="1" applyFont="1" applyFill="1" applyBorder="1" applyAlignment="1">
      <alignment horizontal="center" vertical="top"/>
    </xf>
    <xf numFmtId="166" fontId="14" fillId="0" borderId="41" xfId="3" applyNumberFormat="1" applyFont="1" applyFill="1" applyBorder="1" applyAlignment="1">
      <alignment horizontal="center" vertical="top"/>
    </xf>
    <xf numFmtId="166" fontId="14" fillId="0" borderId="26" xfId="3" applyNumberFormat="1" applyFont="1" applyFill="1" applyBorder="1" applyAlignment="1">
      <alignment horizontal="center" vertical="top"/>
    </xf>
    <xf numFmtId="166" fontId="14" fillId="0" borderId="27" xfId="3" applyNumberFormat="1" applyFont="1" applyFill="1" applyBorder="1" applyAlignment="1">
      <alignment horizontal="center" vertical="top"/>
    </xf>
    <xf numFmtId="166" fontId="14" fillId="0" borderId="45" xfId="3" applyNumberFormat="1" applyFont="1" applyFill="1" applyBorder="1" applyAlignment="1">
      <alignment horizontal="center" vertical="top"/>
    </xf>
    <xf numFmtId="166" fontId="14" fillId="0" borderId="47" xfId="3" applyNumberFormat="1" applyFont="1" applyFill="1" applyBorder="1" applyAlignment="1">
      <alignment horizontal="center" vertical="top"/>
    </xf>
    <xf numFmtId="166" fontId="14" fillId="0" borderId="12" xfId="3" applyNumberFormat="1" applyFont="1" applyFill="1" applyBorder="1" applyAlignment="1">
      <alignment horizontal="center" vertical="top"/>
    </xf>
    <xf numFmtId="166" fontId="14" fillId="0" borderId="48" xfId="3" applyNumberFormat="1" applyFont="1" applyFill="1" applyBorder="1" applyAlignment="1">
      <alignment horizontal="center" vertical="top"/>
    </xf>
    <xf numFmtId="166" fontId="14" fillId="0" borderId="42" xfId="3" applyNumberFormat="1" applyFont="1" applyFill="1" applyBorder="1" applyAlignment="1">
      <alignment horizontal="center" vertical="top"/>
    </xf>
    <xf numFmtId="166" fontId="14" fillId="0" borderId="49" xfId="3" applyNumberFormat="1" applyFont="1" applyFill="1" applyBorder="1" applyAlignment="1">
      <alignment horizontal="center" vertical="top"/>
    </xf>
    <xf numFmtId="0" fontId="18" fillId="3" borderId="2" xfId="5" applyFont="1" applyFill="1" applyBorder="1"/>
    <xf numFmtId="0" fontId="19" fillId="6" borderId="3" xfId="5" applyFont="1" applyFill="1" applyBorder="1"/>
    <xf numFmtId="0" fontId="19" fillId="6" borderId="3" xfId="5" applyFont="1" applyFill="1" applyBorder="1" applyAlignment="1">
      <alignment horizontal="center"/>
    </xf>
    <xf numFmtId="0" fontId="20" fillId="6" borderId="3" xfId="5" applyFont="1" applyFill="1" applyBorder="1"/>
    <xf numFmtId="0" fontId="19" fillId="6" borderId="3" xfId="5" applyFont="1" applyFill="1" applyBorder="1" applyAlignment="1">
      <alignment horizontal="right"/>
    </xf>
    <xf numFmtId="0" fontId="18" fillId="6" borderId="4" xfId="5" applyFont="1" applyFill="1" applyBorder="1"/>
    <xf numFmtId="4" fontId="21" fillId="6" borderId="0" xfId="5" applyNumberFormat="1" applyFont="1" applyFill="1"/>
    <xf numFmtId="9" fontId="18" fillId="6" borderId="0" xfId="6" applyFont="1" applyFill="1"/>
    <xf numFmtId="0" fontId="18" fillId="6" borderId="0" xfId="5" applyFont="1" applyFill="1" applyAlignment="1">
      <alignment horizontal="center"/>
    </xf>
    <xf numFmtId="0" fontId="18" fillId="6" borderId="0" xfId="5" applyFont="1" applyFill="1"/>
    <xf numFmtId="0" fontId="18" fillId="0" borderId="0" xfId="5" applyFont="1"/>
    <xf numFmtId="0" fontId="18" fillId="3" borderId="5" xfId="5" applyFont="1" applyFill="1" applyBorder="1"/>
    <xf numFmtId="0" fontId="19" fillId="6" borderId="0" xfId="5" applyFont="1" applyFill="1" applyBorder="1"/>
    <xf numFmtId="0" fontId="19" fillId="6" borderId="0" xfId="5" applyFont="1" applyFill="1" applyBorder="1" applyAlignment="1">
      <alignment horizontal="center"/>
    </xf>
    <xf numFmtId="0" fontId="20" fillId="6" borderId="0" xfId="5" applyFont="1" applyFill="1" applyBorder="1"/>
    <xf numFmtId="0" fontId="22" fillId="6" borderId="0" xfId="5" applyFont="1" applyFill="1" applyBorder="1"/>
    <xf numFmtId="0" fontId="19" fillId="6" borderId="0" xfId="5" applyFont="1" applyFill="1" applyBorder="1" applyAlignment="1">
      <alignment horizontal="right"/>
    </xf>
    <xf numFmtId="0" fontId="18" fillId="6" borderId="6" xfId="5" applyFont="1" applyFill="1" applyBorder="1"/>
    <xf numFmtId="0" fontId="23" fillId="6" borderId="0" xfId="5" applyFont="1" applyFill="1" applyBorder="1"/>
    <xf numFmtId="0" fontId="19" fillId="6" borderId="28" xfId="5" applyFont="1" applyFill="1" applyBorder="1"/>
    <xf numFmtId="0" fontId="19" fillId="6" borderId="28" xfId="5" applyFont="1" applyFill="1" applyBorder="1" applyAlignment="1">
      <alignment horizontal="center"/>
    </xf>
    <xf numFmtId="0" fontId="24" fillId="6" borderId="0" xfId="5" applyFont="1" applyFill="1" applyBorder="1" applyAlignment="1">
      <alignment horizontal="right"/>
    </xf>
    <xf numFmtId="0" fontId="24" fillId="3" borderId="5" xfId="5" applyFont="1" applyFill="1" applyBorder="1"/>
    <xf numFmtId="0" fontId="24" fillId="6" borderId="0" xfId="5" applyFont="1" applyFill="1" applyBorder="1"/>
    <xf numFmtId="0" fontId="24" fillId="6" borderId="0" xfId="5" applyFont="1" applyFill="1" applyBorder="1" applyAlignment="1">
      <alignment horizontal="center"/>
    </xf>
    <xf numFmtId="0" fontId="24" fillId="6" borderId="6" xfId="5" applyFont="1" applyFill="1" applyBorder="1"/>
    <xf numFmtId="4" fontId="26" fillId="6" borderId="0" xfId="5" applyNumberFormat="1" applyFont="1" applyFill="1"/>
    <xf numFmtId="9" fontId="24" fillId="6" borderId="0" xfId="6" applyFont="1" applyFill="1"/>
    <xf numFmtId="0" fontId="24" fillId="6" borderId="0" xfId="5" applyFont="1" applyFill="1" applyAlignment="1">
      <alignment horizontal="center"/>
    </xf>
    <xf numFmtId="0" fontId="24" fillId="6" borderId="0" xfId="5" applyFont="1" applyFill="1"/>
    <xf numFmtId="0" fontId="24" fillId="0" borderId="0" xfId="5" applyFont="1"/>
    <xf numFmtId="0" fontId="27" fillId="6" borderId="0" xfId="5" applyFont="1" applyFill="1" applyBorder="1"/>
    <xf numFmtId="0" fontId="24" fillId="6" borderId="0" xfId="5" quotePrefix="1" applyFont="1" applyFill="1" applyBorder="1"/>
    <xf numFmtId="0" fontId="29" fillId="6" borderId="0" xfId="7" applyFont="1" applyFill="1" applyBorder="1" applyAlignment="1" applyProtection="1"/>
    <xf numFmtId="0" fontId="24" fillId="6" borderId="50" xfId="5" applyFont="1" applyFill="1" applyBorder="1" applyAlignment="1">
      <alignment horizontal="center"/>
    </xf>
    <xf numFmtId="0" fontId="24" fillId="7" borderId="50" xfId="5" applyFont="1" applyFill="1" applyBorder="1" applyAlignment="1">
      <alignment horizontal="center"/>
    </xf>
    <xf numFmtId="0" fontId="24" fillId="6" borderId="28" xfId="5" applyFont="1" applyFill="1" applyBorder="1"/>
    <xf numFmtId="0" fontId="24" fillId="6" borderId="28" xfId="5" applyFont="1" applyFill="1" applyBorder="1" applyAlignment="1">
      <alignment horizontal="center"/>
    </xf>
    <xf numFmtId="170" fontId="26" fillId="6" borderId="0" xfId="5" applyNumberFormat="1" applyFont="1" applyFill="1"/>
    <xf numFmtId="9" fontId="24" fillId="6" borderId="0" xfId="6" applyFont="1" applyFill="1" applyAlignment="1">
      <alignment horizontal="center"/>
    </xf>
    <xf numFmtId="171" fontId="24" fillId="6" borderId="0" xfId="5" applyNumberFormat="1" applyFont="1" applyFill="1" applyAlignment="1">
      <alignment horizontal="center"/>
    </xf>
    <xf numFmtId="0" fontId="24" fillId="6" borderId="0" xfId="5" quotePrefix="1" applyFont="1" applyFill="1" applyBorder="1" applyAlignment="1">
      <alignment horizontal="left"/>
    </xf>
    <xf numFmtId="0" fontId="24" fillId="6" borderId="0" xfId="5" quotePrefix="1" applyFont="1" applyFill="1" applyBorder="1" applyAlignment="1">
      <alignment horizontal="center"/>
    </xf>
    <xf numFmtId="0" fontId="24" fillId="6" borderId="0" xfId="5" applyFont="1" applyFill="1" applyBorder="1" applyAlignment="1"/>
    <xf numFmtId="3" fontId="24" fillId="6" borderId="0" xfId="5" applyNumberFormat="1" applyFont="1" applyFill="1" applyBorder="1" applyAlignment="1">
      <alignment horizontal="right"/>
    </xf>
    <xf numFmtId="170" fontId="30" fillId="6" borderId="0" xfId="5" applyNumberFormat="1" applyFont="1" applyFill="1" applyBorder="1" applyAlignment="1">
      <alignment horizontal="center"/>
    </xf>
    <xf numFmtId="170" fontId="24" fillId="6" borderId="0" xfId="5" applyNumberFormat="1" applyFont="1" applyFill="1" applyBorder="1" applyAlignment="1">
      <alignment horizontal="center"/>
    </xf>
    <xf numFmtId="0" fontId="27" fillId="6" borderId="0" xfId="5" applyFont="1" applyFill="1" applyBorder="1" applyAlignment="1">
      <alignment horizontal="center"/>
    </xf>
    <xf numFmtId="0" fontId="24" fillId="6" borderId="0" xfId="5" applyFont="1" applyFill="1" applyBorder="1" applyAlignment="1">
      <alignment horizontal="left"/>
    </xf>
    <xf numFmtId="171" fontId="24" fillId="6" borderId="0" xfId="5" applyNumberFormat="1" applyFont="1" applyFill="1" applyBorder="1"/>
    <xf numFmtId="170" fontId="24" fillId="6" borderId="0" xfId="5" quotePrefix="1" applyNumberFormat="1" applyFont="1" applyFill="1" applyBorder="1" applyAlignment="1">
      <alignment horizontal="center"/>
    </xf>
    <xf numFmtId="0" fontId="12" fillId="3" borderId="5" xfId="5" applyFont="1" applyFill="1" applyBorder="1"/>
    <xf numFmtId="0" fontId="12" fillId="6" borderId="6" xfId="5" applyFont="1" applyFill="1" applyBorder="1"/>
    <xf numFmtId="4" fontId="33" fillId="6" borderId="0" xfId="5" applyNumberFormat="1" applyFont="1" applyFill="1"/>
    <xf numFmtId="9" fontId="12" fillId="6" borderId="0" xfId="6" applyFont="1" applyFill="1"/>
    <xf numFmtId="0" fontId="12" fillId="6" borderId="0" xfId="5" applyFont="1" applyFill="1" applyAlignment="1">
      <alignment horizontal="center"/>
    </xf>
    <xf numFmtId="0" fontId="12" fillId="6" borderId="0" xfId="5" applyFont="1" applyFill="1"/>
    <xf numFmtId="0" fontId="12" fillId="0" borderId="0" xfId="5" applyFont="1"/>
    <xf numFmtId="0" fontId="27" fillId="3" borderId="5" xfId="5" applyFont="1" applyFill="1" applyBorder="1"/>
    <xf numFmtId="0" fontId="27" fillId="6" borderId="0" xfId="5" applyFont="1" applyFill="1" applyBorder="1" applyAlignment="1">
      <alignment horizontal="left"/>
    </xf>
    <xf numFmtId="0" fontId="27" fillId="6" borderId="6" xfId="5" applyFont="1" applyFill="1" applyBorder="1"/>
    <xf numFmtId="4" fontId="34" fillId="6" borderId="0" xfId="5" applyNumberFormat="1" applyFont="1" applyFill="1"/>
    <xf numFmtId="9" fontId="27" fillId="6" borderId="0" xfId="6" applyFont="1" applyFill="1"/>
    <xf numFmtId="0" fontId="27" fillId="6" borderId="0" xfId="5" applyFont="1" applyFill="1" applyAlignment="1">
      <alignment horizontal="center"/>
    </xf>
    <xf numFmtId="0" fontId="27" fillId="6" borderId="0" xfId="5" applyFont="1" applyFill="1"/>
    <xf numFmtId="0" fontId="27" fillId="0" borderId="0" xfId="5" applyFont="1"/>
    <xf numFmtId="0" fontId="24" fillId="3" borderId="0" xfId="5" applyFont="1" applyFill="1" applyBorder="1"/>
    <xf numFmtId="0" fontId="24" fillId="3" borderId="7" xfId="5" applyFont="1" applyFill="1" applyBorder="1"/>
    <xf numFmtId="0" fontId="24" fillId="6" borderId="1" xfId="5" applyFont="1" applyFill="1" applyBorder="1"/>
    <xf numFmtId="0" fontId="24" fillId="6" borderId="8" xfId="5" applyFont="1" applyFill="1" applyBorder="1"/>
    <xf numFmtId="0" fontId="23" fillId="3" borderId="0" xfId="5" applyFont="1" applyFill="1"/>
    <xf numFmtId="0" fontId="23" fillId="6" borderId="0" xfId="5" applyFont="1" applyFill="1"/>
    <xf numFmtId="0" fontId="23" fillId="6" borderId="0" xfId="5" applyFont="1" applyFill="1" applyAlignment="1">
      <alignment horizontal="center"/>
    </xf>
    <xf numFmtId="4" fontId="35" fillId="6" borderId="0" xfId="5" applyNumberFormat="1" applyFont="1" applyFill="1"/>
    <xf numFmtId="9" fontId="23" fillId="6" borderId="0" xfId="6" applyFont="1" applyFill="1"/>
    <xf numFmtId="0" fontId="23" fillId="0" borderId="0" xfId="5" applyFont="1"/>
    <xf numFmtId="0" fontId="36" fillId="3" borderId="0" xfId="5" applyFont="1" applyFill="1"/>
    <xf numFmtId="0" fontId="19" fillId="6" borderId="0" xfId="5" applyFont="1" applyFill="1"/>
    <xf numFmtId="0" fontId="19" fillId="6" borderId="0" xfId="5" applyFont="1" applyFill="1" applyAlignment="1">
      <alignment horizontal="center"/>
    </xf>
    <xf numFmtId="0" fontId="36" fillId="6" borderId="0" xfId="5" applyFont="1" applyFill="1"/>
    <xf numFmtId="4" fontId="37" fillId="6" borderId="0" xfId="5" applyNumberFormat="1" applyFont="1" applyFill="1"/>
    <xf numFmtId="9" fontId="36" fillId="6" borderId="0" xfId="6" applyFont="1" applyFill="1"/>
    <xf numFmtId="0" fontId="36" fillId="6" borderId="0" xfId="5" applyFont="1" applyFill="1" applyAlignment="1">
      <alignment horizontal="center"/>
    </xf>
    <xf numFmtId="0" fontId="36" fillId="0" borderId="0" xfId="5" applyFont="1"/>
    <xf numFmtId="0" fontId="18" fillId="3" borderId="0" xfId="5" applyFont="1" applyFill="1"/>
    <xf numFmtId="0" fontId="38" fillId="3" borderId="2" xfId="5" applyFont="1" applyFill="1" applyBorder="1"/>
    <xf numFmtId="0" fontId="39" fillId="6" borderId="3" xfId="5" applyFont="1" applyFill="1" applyBorder="1"/>
    <xf numFmtId="0" fontId="40" fillId="6" borderId="3" xfId="5" applyFont="1" applyFill="1" applyBorder="1"/>
    <xf numFmtId="0" fontId="39" fillId="6" borderId="3" xfId="5" applyFont="1" applyFill="1" applyBorder="1" applyAlignment="1">
      <alignment horizontal="right"/>
    </xf>
    <xf numFmtId="0" fontId="38" fillId="6" borderId="4" xfId="5" applyFont="1" applyFill="1" applyBorder="1"/>
    <xf numFmtId="0" fontId="38" fillId="6" borderId="0" xfId="5" applyFont="1" applyFill="1"/>
    <xf numFmtId="0" fontId="38" fillId="0" borderId="0" xfId="5" applyFont="1"/>
    <xf numFmtId="0" fontId="38" fillId="3" borderId="5" xfId="5" applyFont="1" applyFill="1" applyBorder="1"/>
    <xf numFmtId="0" fontId="39" fillId="6" borderId="0" xfId="5" applyFont="1" applyFill="1" applyBorder="1"/>
    <xf numFmtId="0" fontId="40" fillId="6" borderId="0" xfId="5" applyFont="1" applyFill="1" applyBorder="1"/>
    <xf numFmtId="0" fontId="41" fillId="6" borderId="0" xfId="5" applyFont="1" applyFill="1" applyBorder="1"/>
    <xf numFmtId="0" fontId="39" fillId="6" borderId="0" xfId="5" applyFont="1" applyFill="1" applyBorder="1" applyAlignment="1">
      <alignment horizontal="right"/>
    </xf>
    <xf numFmtId="0" fontId="38" fillId="6" borderId="6" xfId="5" applyFont="1" applyFill="1" applyBorder="1"/>
    <xf numFmtId="0" fontId="42" fillId="6" borderId="0" xfId="5" applyFont="1" applyFill="1" applyBorder="1"/>
    <xf numFmtId="0" fontId="39" fillId="6" borderId="28" xfId="5" applyFont="1" applyFill="1" applyBorder="1"/>
    <xf numFmtId="0" fontId="43" fillId="6" borderId="0" xfId="5" applyFont="1" applyFill="1" applyBorder="1" applyAlignment="1">
      <alignment horizontal="right"/>
    </xf>
    <xf numFmtId="0" fontId="40" fillId="6" borderId="0" xfId="5" applyFont="1" applyFill="1" applyBorder="1" applyAlignment="1">
      <alignment horizontal="center"/>
    </xf>
    <xf numFmtId="0" fontId="43" fillId="3" borderId="5" xfId="5" applyFont="1" applyFill="1" applyBorder="1"/>
    <xf numFmtId="0" fontId="43" fillId="6" borderId="0" xfId="5" applyFont="1" applyFill="1" applyBorder="1"/>
    <xf numFmtId="0" fontId="43" fillId="6" borderId="6" xfId="5" applyFont="1" applyFill="1" applyBorder="1"/>
    <xf numFmtId="0" fontId="43" fillId="6" borderId="0" xfId="5" applyFont="1" applyFill="1"/>
    <xf numFmtId="0" fontId="43" fillId="0" borderId="0" xfId="5" applyFont="1"/>
    <xf numFmtId="0" fontId="45" fillId="6" borderId="0" xfId="5" applyFont="1" applyFill="1" applyBorder="1"/>
    <xf numFmtId="0" fontId="43" fillId="6" borderId="0" xfId="5" quotePrefix="1" applyFont="1" applyFill="1" applyBorder="1"/>
    <xf numFmtId="0" fontId="46" fillId="6" borderId="0" xfId="7" applyFont="1" applyFill="1" applyBorder="1" applyAlignment="1" applyProtection="1"/>
    <xf numFmtId="0" fontId="43" fillId="6" borderId="50" xfId="5" applyFont="1" applyFill="1" applyBorder="1" applyAlignment="1">
      <alignment horizontal="center"/>
    </xf>
    <xf numFmtId="0" fontId="43" fillId="7" borderId="50" xfId="5" applyFont="1" applyFill="1" applyBorder="1" applyAlignment="1">
      <alignment horizontal="center"/>
    </xf>
    <xf numFmtId="0" fontId="43" fillId="6" borderId="28" xfId="5" applyFont="1" applyFill="1" applyBorder="1"/>
    <xf numFmtId="0" fontId="43" fillId="6" borderId="0" xfId="5" applyFont="1" applyFill="1" applyBorder="1" applyAlignment="1"/>
    <xf numFmtId="172" fontId="48" fillId="6" borderId="0" xfId="5" quotePrefix="1" applyNumberFormat="1" applyFont="1" applyFill="1" applyBorder="1" applyAlignment="1"/>
    <xf numFmtId="172" fontId="48" fillId="6" borderId="0" xfId="5" applyNumberFormat="1" applyFont="1" applyFill="1" applyBorder="1" applyAlignment="1"/>
    <xf numFmtId="0" fontId="43" fillId="6" borderId="0" xfId="5" quotePrefix="1" applyFont="1" applyFill="1" applyBorder="1" applyAlignment="1">
      <alignment horizontal="left"/>
    </xf>
    <xf numFmtId="0" fontId="43" fillId="6" borderId="28" xfId="5" applyFont="1" applyFill="1" applyBorder="1" applyAlignment="1">
      <alignment horizontal="center"/>
    </xf>
    <xf numFmtId="170" fontId="43" fillId="6" borderId="0" xfId="5" applyNumberFormat="1" applyFont="1" applyFill="1" applyBorder="1" applyAlignment="1">
      <alignment horizontal="center"/>
    </xf>
    <xf numFmtId="0" fontId="45" fillId="6" borderId="0" xfId="5" applyFont="1" applyFill="1" applyBorder="1" applyAlignment="1">
      <alignment horizontal="center"/>
    </xf>
    <xf numFmtId="0" fontId="43" fillId="6" borderId="0" xfId="5" applyFont="1" applyFill="1" applyBorder="1" applyAlignment="1">
      <alignment horizontal="left"/>
    </xf>
    <xf numFmtId="171" fontId="43" fillId="6" borderId="0" xfId="5" applyNumberFormat="1" applyFont="1" applyFill="1" applyBorder="1"/>
    <xf numFmtId="170" fontId="43" fillId="6" borderId="0" xfId="5" quotePrefix="1" applyNumberFormat="1" applyFont="1" applyFill="1" applyBorder="1" applyAlignment="1">
      <alignment horizontal="center"/>
    </xf>
    <xf numFmtId="0" fontId="51" fillId="3" borderId="5" xfId="5" applyFont="1" applyFill="1" applyBorder="1"/>
    <xf numFmtId="0" fontId="51" fillId="6" borderId="6" xfId="5" applyFont="1" applyFill="1" applyBorder="1"/>
    <xf numFmtId="0" fontId="51" fillId="6" borderId="0" xfId="5" applyFont="1" applyFill="1"/>
    <xf numFmtId="0" fontId="51" fillId="0" borderId="0" xfId="5" applyFont="1"/>
    <xf numFmtId="0" fontId="45" fillId="3" borderId="5" xfId="5" applyFont="1" applyFill="1" applyBorder="1"/>
    <xf numFmtId="0" fontId="45" fillId="6" borderId="0" xfId="5" applyFont="1" applyFill="1" applyBorder="1" applyAlignment="1">
      <alignment horizontal="left"/>
    </xf>
    <xf numFmtId="0" fontId="45" fillId="6" borderId="6" xfId="5" applyFont="1" applyFill="1" applyBorder="1"/>
    <xf numFmtId="0" fontId="45" fillId="6" borderId="0" xfId="5" applyFont="1" applyFill="1"/>
    <xf numFmtId="0" fontId="45" fillId="0" borderId="0" xfId="5" applyFont="1"/>
    <xf numFmtId="0" fontId="43" fillId="3" borderId="0" xfId="5" applyFont="1" applyFill="1" applyBorder="1"/>
    <xf numFmtId="0" fontId="43" fillId="6" borderId="0" xfId="5" applyFont="1" applyFill="1" applyBorder="1" applyAlignment="1">
      <alignment horizontal="center"/>
    </xf>
    <xf numFmtId="0" fontId="43" fillId="3" borderId="7" xfId="5" applyFont="1" applyFill="1" applyBorder="1"/>
    <xf numFmtId="0" fontId="43" fillId="6" borderId="1" xfId="5" applyFont="1" applyFill="1" applyBorder="1"/>
    <xf numFmtId="0" fontId="43" fillId="6" borderId="8" xfId="5" applyFont="1" applyFill="1" applyBorder="1"/>
    <xf numFmtId="0" fontId="42" fillId="3" borderId="0" xfId="5" applyFont="1" applyFill="1"/>
    <xf numFmtId="0" fontId="42" fillId="6" borderId="0" xfId="5" applyFont="1" applyFill="1"/>
    <xf numFmtId="0" fontId="42" fillId="0" borderId="0" xfId="5" applyFont="1"/>
    <xf numFmtId="0" fontId="49" fillId="3" borderId="0" xfId="5" applyFont="1" applyFill="1"/>
    <xf numFmtId="0" fontId="39" fillId="6" borderId="0" xfId="5" applyFont="1" applyFill="1"/>
    <xf numFmtId="0" fontId="49" fillId="6" borderId="0" xfId="5" applyFont="1" applyFill="1"/>
    <xf numFmtId="0" fontId="49" fillId="0" borderId="0" xfId="5" applyFont="1"/>
    <xf numFmtId="0" fontId="38" fillId="3" borderId="0" xfId="5" applyFont="1" applyFill="1"/>
    <xf numFmtId="0" fontId="3" fillId="3" borderId="5" xfId="1" quotePrefix="1" applyFont="1" applyFill="1" applyBorder="1">
      <alignment vertical="center"/>
    </xf>
    <xf numFmtId="0" fontId="3" fillId="3" borderId="5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53" fillId="3" borderId="5" xfId="1" applyFont="1" applyFill="1" applyBorder="1">
      <alignment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6" fontId="14" fillId="0" borderId="9" xfId="3" applyNumberFormat="1" applyFont="1" applyFill="1" applyBorder="1" applyAlignment="1">
      <alignment horizontal="center" vertical="top"/>
    </xf>
    <xf numFmtId="166" fontId="14" fillId="0" borderId="11" xfId="3" applyNumberFormat="1" applyFont="1" applyFill="1" applyBorder="1" applyAlignment="1">
      <alignment horizontal="center" vertical="top"/>
    </xf>
    <xf numFmtId="166" fontId="14" fillId="0" borderId="30" xfId="3" applyNumberFormat="1" applyFont="1" applyFill="1" applyBorder="1" applyAlignment="1">
      <alignment horizontal="center" vertical="top"/>
    </xf>
    <xf numFmtId="166" fontId="14" fillId="0" borderId="18" xfId="3" applyNumberFormat="1" applyFont="1" applyFill="1" applyBorder="1" applyAlignment="1">
      <alignment horizontal="center" vertical="top"/>
    </xf>
    <xf numFmtId="166" fontId="14" fillId="0" borderId="36" xfId="3" applyNumberFormat="1" applyFont="1" applyFill="1" applyBorder="1" applyAlignment="1">
      <alignment horizontal="center" vertical="top"/>
    </xf>
    <xf numFmtId="166" fontId="14" fillId="0" borderId="44" xfId="3" applyNumberFormat="1" applyFont="1" applyFill="1" applyBorder="1" applyAlignment="1">
      <alignment horizontal="center" vertical="top"/>
    </xf>
    <xf numFmtId="166" fontId="14" fillId="0" borderId="6" xfId="3" applyNumberFormat="1" applyFont="1" applyFill="1" applyBorder="1" applyAlignment="1">
      <alignment horizontal="center" vertical="top"/>
    </xf>
    <xf numFmtId="166" fontId="14" fillId="0" borderId="46" xfId="3" applyNumberFormat="1" applyFont="1" applyFill="1" applyBorder="1" applyAlignment="1">
      <alignment horizontal="center" vertical="top"/>
    </xf>
    <xf numFmtId="0" fontId="14" fillId="0" borderId="30" xfId="3" quotePrefix="1" applyFont="1" applyFill="1" applyBorder="1" applyAlignment="1">
      <alignment horizontal="center" vertical="center" wrapText="1"/>
    </xf>
    <xf numFmtId="0" fontId="14" fillId="0" borderId="18" xfId="3" quotePrefix="1" applyFont="1" applyFill="1" applyBorder="1" applyAlignment="1">
      <alignment horizontal="center" vertical="center" wrapText="1"/>
    </xf>
    <xf numFmtId="0" fontId="14" fillId="0" borderId="36" xfId="3" quotePrefix="1" applyFont="1" applyFill="1" applyBorder="1" applyAlignment="1">
      <alignment horizontal="center" vertical="center" wrapText="1"/>
    </xf>
    <xf numFmtId="0" fontId="14" fillId="0" borderId="38" xfId="3" quotePrefix="1" applyFont="1" applyFill="1" applyBorder="1" applyAlignment="1">
      <alignment horizontal="center" vertical="center" wrapText="1"/>
    </xf>
    <xf numFmtId="0" fontId="14" fillId="0" borderId="40" xfId="3" quotePrefix="1" applyFont="1" applyFill="1" applyBorder="1" applyAlignment="1">
      <alignment horizontal="center" vertical="center" wrapText="1"/>
    </xf>
    <xf numFmtId="0" fontId="14" fillId="0" borderId="42" xfId="3" quotePrefix="1" applyFont="1" applyFill="1" applyBorder="1" applyAlignment="1">
      <alignment horizontal="center" vertical="center" wrapText="1"/>
    </xf>
    <xf numFmtId="166" fontId="14" fillId="0" borderId="10" xfId="3" applyNumberFormat="1" applyFont="1" applyFill="1" applyBorder="1" applyAlignment="1">
      <alignment horizontal="center" vertical="top"/>
    </xf>
    <xf numFmtId="0" fontId="12" fillId="0" borderId="0" xfId="3" applyFont="1" applyFill="1" applyBorder="1" applyAlignment="1">
      <alignment horizontal="left" vertical="center"/>
    </xf>
    <xf numFmtId="0" fontId="14" fillId="0" borderId="2" xfId="3" applyFont="1" applyFill="1" applyBorder="1" applyAlignment="1">
      <alignment horizontal="center" vertical="center" wrapText="1"/>
    </xf>
    <xf numFmtId="0" fontId="14" fillId="0" borderId="4" xfId="3" applyFont="1" applyFill="1" applyBorder="1" applyAlignment="1">
      <alignment horizontal="center" vertical="center" wrapText="1"/>
    </xf>
    <xf numFmtId="0" fontId="14" fillId="0" borderId="7" xfId="3" applyFont="1" applyFill="1" applyBorder="1" applyAlignment="1">
      <alignment horizontal="center" vertical="center" wrapText="1"/>
    </xf>
    <xf numFmtId="0" fontId="14" fillId="0" borderId="8" xfId="3" applyFont="1" applyFill="1" applyBorder="1" applyAlignment="1">
      <alignment horizontal="center" vertical="center" wrapText="1"/>
    </xf>
    <xf numFmtId="0" fontId="14" fillId="0" borderId="9" xfId="3" applyFont="1" applyFill="1" applyBorder="1" applyAlignment="1">
      <alignment horizontal="center" vertical="center" wrapText="1"/>
    </xf>
    <xf numFmtId="0" fontId="14" fillId="0" borderId="10" xfId="3" applyFont="1" applyFill="1" applyBorder="1" applyAlignment="1">
      <alignment horizontal="center" vertical="center" wrapText="1"/>
    </xf>
    <xf numFmtId="0" fontId="14" fillId="0" borderId="11" xfId="3" applyFont="1" applyFill="1" applyBorder="1" applyAlignment="1">
      <alignment horizontal="center" vertical="center" wrapText="1"/>
    </xf>
    <xf numFmtId="0" fontId="24" fillId="6" borderId="0" xfId="5" applyFont="1" applyFill="1" applyBorder="1" applyAlignment="1">
      <alignment horizontal="center"/>
    </xf>
    <xf numFmtId="0" fontId="24" fillId="6" borderId="1" xfId="5" applyFont="1" applyFill="1" applyBorder="1" applyAlignment="1">
      <alignment horizontal="center"/>
    </xf>
    <xf numFmtId="0" fontId="32" fillId="6" borderId="0" xfId="5" applyFont="1" applyFill="1" applyBorder="1" applyAlignment="1">
      <alignment horizontal="center" vertical="center"/>
    </xf>
    <xf numFmtId="0" fontId="24" fillId="6" borderId="34" xfId="5" applyFont="1" applyFill="1" applyBorder="1" applyAlignment="1">
      <alignment horizontal="center"/>
    </xf>
    <xf numFmtId="170" fontId="27" fillId="6" borderId="28" xfId="5" quotePrefix="1" applyNumberFormat="1" applyFont="1" applyFill="1" applyBorder="1" applyAlignment="1">
      <alignment horizontal="center"/>
    </xf>
    <xf numFmtId="170" fontId="31" fillId="6" borderId="28" xfId="5" applyNumberFormat="1" applyFont="1" applyFill="1" applyBorder="1" applyAlignment="1">
      <alignment horizontal="center"/>
    </xf>
    <xf numFmtId="170" fontId="24" fillId="6" borderId="0" xfId="5" applyNumberFormat="1" applyFont="1" applyFill="1" applyBorder="1" applyAlignment="1">
      <alignment horizontal="center"/>
    </xf>
    <xf numFmtId="0" fontId="24" fillId="6" borderId="28" xfId="5" quotePrefix="1" applyFont="1" applyFill="1" applyBorder="1" applyAlignment="1">
      <alignment horizontal="left"/>
    </xf>
    <xf numFmtId="0" fontId="24" fillId="6" borderId="28" xfId="5" applyFont="1" applyFill="1" applyBorder="1" applyAlignment="1">
      <alignment horizontal="center"/>
    </xf>
    <xf numFmtId="3" fontId="24" fillId="6" borderId="28" xfId="5" applyNumberFormat="1" applyFont="1" applyFill="1" applyBorder="1" applyAlignment="1">
      <alignment horizontal="right"/>
    </xf>
    <xf numFmtId="170" fontId="30" fillId="6" borderId="28" xfId="5" applyNumberFormat="1" applyFont="1" applyFill="1" applyBorder="1" applyAlignment="1">
      <alignment horizontal="center"/>
    </xf>
    <xf numFmtId="170" fontId="27" fillId="6" borderId="0" xfId="5" quotePrefix="1" applyNumberFormat="1" applyFont="1" applyFill="1" applyBorder="1" applyAlignment="1">
      <alignment horizontal="center"/>
    </xf>
    <xf numFmtId="170" fontId="31" fillId="6" borderId="0" xfId="5" applyNumberFormat="1" applyFont="1" applyFill="1" applyBorder="1" applyAlignment="1">
      <alignment horizontal="center"/>
    </xf>
    <xf numFmtId="0" fontId="24" fillId="6" borderId="0" xfId="5" quotePrefix="1" applyFont="1" applyFill="1" applyBorder="1" applyAlignment="1">
      <alignment horizontal="left"/>
    </xf>
    <xf numFmtId="0" fontId="24" fillId="6" borderId="0" xfId="5" applyFont="1" applyFill="1" applyBorder="1" applyAlignment="1"/>
    <xf numFmtId="3" fontId="24" fillId="6" borderId="0" xfId="5" applyNumberFormat="1" applyFont="1" applyFill="1" applyBorder="1" applyAlignment="1">
      <alignment horizontal="right"/>
    </xf>
    <xf numFmtId="170" fontId="30" fillId="6" borderId="0" xfId="5" applyNumberFormat="1" applyFont="1" applyFill="1" applyBorder="1" applyAlignment="1">
      <alignment horizontal="center"/>
    </xf>
    <xf numFmtId="0" fontId="24" fillId="6" borderId="51" xfId="5" applyFont="1" applyFill="1" applyBorder="1" applyAlignment="1">
      <alignment horizontal="right"/>
    </xf>
    <xf numFmtId="171" fontId="24" fillId="6" borderId="51" xfId="5" applyNumberFormat="1" applyFont="1" applyFill="1" applyBorder="1" applyAlignment="1">
      <alignment horizontal="right"/>
    </xf>
    <xf numFmtId="170" fontId="24" fillId="6" borderId="51" xfId="5" quotePrefix="1" applyNumberFormat="1" applyFont="1" applyFill="1" applyBorder="1" applyAlignment="1">
      <alignment horizontal="center"/>
    </xf>
    <xf numFmtId="170" fontId="27" fillId="6" borderId="51" xfId="5" quotePrefix="1" applyNumberFormat="1" applyFont="1" applyFill="1" applyBorder="1" applyAlignment="1">
      <alignment horizontal="center"/>
    </xf>
    <xf numFmtId="3" fontId="24" fillId="6" borderId="52" xfId="5" applyNumberFormat="1" applyFont="1" applyFill="1" applyBorder="1" applyAlignment="1">
      <alignment horizontal="right"/>
    </xf>
    <xf numFmtId="0" fontId="25" fillId="6" borderId="0" xfId="5" applyFont="1" applyFill="1" applyBorder="1" applyAlignment="1">
      <alignment horizontal="center"/>
    </xf>
    <xf numFmtId="169" fontId="24" fillId="6" borderId="0" xfId="5" applyNumberFormat="1" applyFont="1" applyFill="1" applyBorder="1" applyAlignment="1">
      <alignment horizontal="left"/>
    </xf>
    <xf numFmtId="14" fontId="24" fillId="6" borderId="28" xfId="5" applyNumberFormat="1" applyFont="1" applyFill="1" applyBorder="1" applyAlignment="1">
      <alignment horizontal="center"/>
    </xf>
    <xf numFmtId="14" fontId="26" fillId="6" borderId="28" xfId="5" applyNumberFormat="1" applyFont="1" applyFill="1" applyBorder="1" applyAlignment="1">
      <alignment horizontal="center"/>
    </xf>
    <xf numFmtId="0" fontId="24" fillId="6" borderId="34" xfId="5" applyFont="1" applyFill="1" applyBorder="1" applyAlignment="1">
      <alignment horizontal="left" vertical="center"/>
    </xf>
    <xf numFmtId="0" fontId="24" fillId="6" borderId="51" xfId="5" applyFont="1" applyFill="1" applyBorder="1" applyAlignment="1">
      <alignment horizontal="left" vertical="center"/>
    </xf>
    <xf numFmtId="0" fontId="24" fillId="6" borderId="34" xfId="5" applyFont="1" applyFill="1" applyBorder="1" applyAlignment="1">
      <alignment horizontal="left" vertical="center" wrapText="1"/>
    </xf>
    <xf numFmtId="0" fontId="24" fillId="6" borderId="51" xfId="5" applyFont="1" applyFill="1" applyBorder="1" applyAlignment="1">
      <alignment horizontal="left" vertical="center" wrapText="1"/>
    </xf>
    <xf numFmtId="0" fontId="24" fillId="6" borderId="34" xfId="5" applyFont="1" applyFill="1" applyBorder="1" applyAlignment="1">
      <alignment horizontal="right" vertical="center"/>
    </xf>
    <xf numFmtId="0" fontId="24" fillId="6" borderId="51" xfId="5" applyFont="1" applyFill="1" applyBorder="1" applyAlignment="1">
      <alignment horizontal="right" vertical="center"/>
    </xf>
    <xf numFmtId="170" fontId="24" fillId="6" borderId="34" xfId="5" quotePrefix="1" applyNumberFormat="1" applyFont="1" applyFill="1" applyBorder="1" applyAlignment="1">
      <alignment horizontal="center"/>
    </xf>
    <xf numFmtId="0" fontId="43" fillId="6" borderId="0" xfId="5" applyFont="1" applyFill="1" applyBorder="1" applyAlignment="1">
      <alignment horizontal="center"/>
    </xf>
    <xf numFmtId="0" fontId="43" fillId="6" borderId="1" xfId="5" applyFont="1" applyFill="1" applyBorder="1" applyAlignment="1">
      <alignment horizontal="center"/>
    </xf>
    <xf numFmtId="40" fontId="45" fillId="6" borderId="28" xfId="8" applyNumberFormat="1" applyFont="1" applyFill="1" applyBorder="1" applyAlignment="1">
      <alignment horizontal="center"/>
    </xf>
    <xf numFmtId="0" fontId="52" fillId="6" borderId="0" xfId="5" applyFont="1" applyFill="1" applyBorder="1" applyAlignment="1">
      <alignment horizontal="center" vertical="center"/>
    </xf>
    <xf numFmtId="0" fontId="43" fillId="6" borderId="34" xfId="5" applyFont="1" applyFill="1" applyBorder="1" applyAlignment="1">
      <alignment horizontal="center"/>
    </xf>
    <xf numFmtId="0" fontId="43" fillId="6" borderId="28" xfId="5" quotePrefix="1" applyFont="1" applyFill="1" applyBorder="1" applyAlignment="1">
      <alignment horizontal="left"/>
    </xf>
    <xf numFmtId="0" fontId="43" fillId="6" borderId="28" xfId="5" applyFont="1" applyFill="1" applyBorder="1" applyAlignment="1">
      <alignment horizontal="center"/>
    </xf>
    <xf numFmtId="171" fontId="43" fillId="6" borderId="28" xfId="5" applyNumberFormat="1" applyFont="1" applyFill="1" applyBorder="1" applyAlignment="1">
      <alignment horizontal="center"/>
    </xf>
    <xf numFmtId="172" fontId="50" fillId="6" borderId="28" xfId="5" applyNumberFormat="1" applyFont="1" applyFill="1" applyBorder="1" applyAlignment="1">
      <alignment horizontal="center"/>
    </xf>
    <xf numFmtId="172" fontId="48" fillId="6" borderId="28" xfId="5" applyNumberFormat="1" applyFont="1" applyFill="1" applyBorder="1" applyAlignment="1">
      <alignment horizontal="center"/>
    </xf>
    <xf numFmtId="175" fontId="48" fillId="6" borderId="0" xfId="5" applyNumberFormat="1" applyFont="1" applyFill="1" applyBorder="1" applyAlignment="1">
      <alignment horizontal="center"/>
    </xf>
    <xf numFmtId="40" fontId="45" fillId="6" borderId="0" xfId="8" applyNumberFormat="1" applyFont="1" applyFill="1" applyBorder="1" applyAlignment="1">
      <alignment horizontal="center"/>
    </xf>
    <xf numFmtId="0" fontId="43" fillId="6" borderId="0" xfId="5" quotePrefix="1" applyFont="1" applyFill="1" applyBorder="1" applyAlignment="1">
      <alignment horizontal="left"/>
    </xf>
    <xf numFmtId="171" fontId="43" fillId="6" borderId="0" xfId="5" applyNumberFormat="1" applyFont="1" applyFill="1" applyBorder="1" applyAlignment="1">
      <alignment horizontal="center"/>
    </xf>
    <xf numFmtId="172" fontId="48" fillId="6" borderId="0" xfId="5" quotePrefix="1" applyNumberFormat="1" applyFont="1" applyFill="1" applyBorder="1" applyAlignment="1">
      <alignment horizontal="center"/>
    </xf>
    <xf numFmtId="172" fontId="48" fillId="6" borderId="0" xfId="5" applyNumberFormat="1" applyFont="1" applyFill="1" applyBorder="1" applyAlignment="1">
      <alignment horizontal="center"/>
    </xf>
    <xf numFmtId="174" fontId="50" fillId="6" borderId="0" xfId="5" applyNumberFormat="1" applyFont="1" applyFill="1" applyBorder="1" applyAlignment="1">
      <alignment horizontal="center"/>
    </xf>
    <xf numFmtId="173" fontId="43" fillId="6" borderId="0" xfId="5" applyNumberFormat="1" applyFont="1" applyFill="1" applyBorder="1" applyAlignment="1">
      <alignment horizontal="center"/>
    </xf>
    <xf numFmtId="172" fontId="43" fillId="6" borderId="0" xfId="5" quotePrefix="1" applyNumberFormat="1" applyFont="1" applyFill="1" applyBorder="1" applyAlignment="1">
      <alignment horizontal="center"/>
    </xf>
    <xf numFmtId="172" fontId="43" fillId="6" borderId="0" xfId="5" applyNumberFormat="1" applyFont="1" applyFill="1" applyBorder="1" applyAlignment="1">
      <alignment horizontal="center"/>
    </xf>
    <xf numFmtId="174" fontId="48" fillId="6" borderId="0" xfId="5" applyNumberFormat="1" applyFont="1" applyFill="1" applyBorder="1" applyAlignment="1">
      <alignment horizontal="center"/>
    </xf>
    <xf numFmtId="40" fontId="43" fillId="6" borderId="0" xfId="8" applyNumberFormat="1" applyFont="1" applyFill="1" applyBorder="1" applyAlignment="1">
      <alignment horizontal="center"/>
    </xf>
    <xf numFmtId="0" fontId="43" fillId="6" borderId="0" xfId="5" quotePrefix="1" applyFont="1" applyFill="1" applyBorder="1" applyAlignment="1">
      <alignment horizontal="center"/>
    </xf>
    <xf numFmtId="0" fontId="43" fillId="6" borderId="52" xfId="5" applyFont="1" applyFill="1" applyBorder="1" applyAlignment="1">
      <alignment horizontal="center"/>
    </xf>
    <xf numFmtId="172" fontId="50" fillId="6" borderId="0" xfId="5" applyNumberFormat="1" applyFont="1" applyFill="1" applyBorder="1" applyAlignment="1">
      <alignment horizontal="center"/>
    </xf>
    <xf numFmtId="40" fontId="45" fillId="6" borderId="52" xfId="8" applyNumberFormat="1" applyFont="1" applyFill="1" applyBorder="1" applyAlignment="1">
      <alignment horizontal="center"/>
    </xf>
    <xf numFmtId="0" fontId="44" fillId="6" borderId="0" xfId="5" applyFont="1" applyFill="1" applyBorder="1" applyAlignment="1">
      <alignment horizontal="center"/>
    </xf>
    <xf numFmtId="169" fontId="43" fillId="6" borderId="0" xfId="5" applyNumberFormat="1" applyFont="1" applyFill="1" applyBorder="1" applyAlignment="1">
      <alignment horizontal="left"/>
    </xf>
    <xf numFmtId="14" fontId="43" fillId="6" borderId="28" xfId="5" applyNumberFormat="1" applyFont="1" applyFill="1" applyBorder="1" applyAlignment="1">
      <alignment horizontal="center"/>
    </xf>
    <xf numFmtId="14" fontId="47" fillId="6" borderId="28" xfId="5" applyNumberFormat="1" applyFont="1" applyFill="1" applyBorder="1" applyAlignment="1">
      <alignment horizontal="center"/>
    </xf>
    <xf numFmtId="0" fontId="43" fillId="6" borderId="34" xfId="5" applyFont="1" applyFill="1" applyBorder="1" applyAlignment="1">
      <alignment horizontal="left" vertical="center"/>
    </xf>
    <xf numFmtId="0" fontId="43" fillId="6" borderId="51" xfId="5" applyFont="1" applyFill="1" applyBorder="1" applyAlignment="1">
      <alignment horizontal="left" vertical="center"/>
    </xf>
    <xf numFmtId="0" fontId="43" fillId="6" borderId="34" xfId="5" applyFont="1" applyFill="1" applyBorder="1" applyAlignment="1">
      <alignment horizontal="center" vertical="center" wrapText="1"/>
    </xf>
    <xf numFmtId="0" fontId="43" fillId="6" borderId="51" xfId="5" applyFont="1" applyFill="1" applyBorder="1" applyAlignment="1">
      <alignment horizontal="center" vertical="center" wrapText="1"/>
    </xf>
    <xf numFmtId="0" fontId="43" fillId="6" borderId="34" xfId="5" applyFont="1" applyFill="1" applyBorder="1" applyAlignment="1">
      <alignment horizontal="center" vertical="center"/>
    </xf>
    <xf numFmtId="0" fontId="43" fillId="6" borderId="51" xfId="5" applyFont="1" applyFill="1" applyBorder="1" applyAlignment="1">
      <alignment horizontal="center" vertical="center"/>
    </xf>
    <xf numFmtId="172" fontId="48" fillId="6" borderId="51" xfId="5" quotePrefix="1" applyNumberFormat="1" applyFont="1" applyFill="1" applyBorder="1" applyAlignment="1">
      <alignment horizontal="center"/>
    </xf>
    <xf numFmtId="172" fontId="48" fillId="6" borderId="51" xfId="5" applyNumberFormat="1" applyFont="1" applyFill="1" applyBorder="1" applyAlignment="1">
      <alignment horizontal="center"/>
    </xf>
    <xf numFmtId="0" fontId="49" fillId="6" borderId="51" xfId="5" applyFont="1" applyFill="1" applyBorder="1" applyAlignment="1">
      <alignment horizontal="center"/>
    </xf>
  </cellXfs>
  <cellStyles count="9">
    <cellStyle name="Comma 2" xfId="2"/>
    <cellStyle name="Comma 3" xfId="4"/>
    <cellStyle name="Comma_100414-ASJ Senai" xfId="8"/>
    <cellStyle name="Hyperlink" xfId="7" builtinId="8"/>
    <cellStyle name="Normal" xfId="0" builtinId="0"/>
    <cellStyle name="Normal 2" xfId="1"/>
    <cellStyle name="Normal 3" xfId="3"/>
    <cellStyle name="Normal_100414-ASJ Senai" xfId="5"/>
    <cellStyle name="Percent 2" xfId="6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92074</xdr:colOff>
      <xdr:row>1</xdr:row>
      <xdr:rowOff>79375</xdr:rowOff>
    </xdr:from>
    <xdr:to>
      <xdr:col>12</xdr:col>
      <xdr:colOff>206375</xdr:colOff>
      <xdr:row>4</xdr:row>
      <xdr:rowOff>190500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4" y="422275"/>
          <a:ext cx="5324476" cy="136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266700</xdr:rowOff>
    </xdr:from>
    <xdr:to>
      <xdr:col>14</xdr:col>
      <xdr:colOff>209550</xdr:colOff>
      <xdr:row>5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66700"/>
          <a:ext cx="6029325" cy="1971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1"/>
  <sheetViews>
    <sheetView topLeftCell="A61" zoomScale="125" zoomScaleNormal="125" workbookViewId="0">
      <selection activeCell="A64" sqref="A64:XFD64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28" t="s">
        <v>8</v>
      </c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328"/>
      <c r="T2" s="328"/>
      <c r="U2" s="328"/>
      <c r="V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  <c r="AH2" s="328"/>
      <c r="AI2" s="328"/>
      <c r="AJ2" s="328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328"/>
      <c r="AI3" s="328"/>
      <c r="AJ3" s="328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329" t="s">
        <v>11</v>
      </c>
      <c r="C5" s="329"/>
      <c r="D5" s="329"/>
      <c r="E5" s="329"/>
      <c r="F5" s="329"/>
      <c r="G5" s="332">
        <v>43109</v>
      </c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2"/>
      <c r="S5" s="303" t="s">
        <v>9</v>
      </c>
      <c r="T5" s="303"/>
      <c r="U5" s="303"/>
      <c r="V5" s="303"/>
      <c r="W5" s="303"/>
      <c r="X5" s="303"/>
      <c r="Y5" s="331" t="s">
        <v>21</v>
      </c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329"/>
      <c r="C6" s="329"/>
      <c r="D6" s="329"/>
      <c r="E6" s="329"/>
      <c r="F6" s="329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2"/>
      <c r="S6" s="306"/>
      <c r="T6" s="306"/>
      <c r="U6" s="306"/>
      <c r="V6" s="306"/>
      <c r="W6" s="306"/>
      <c r="X6" s="306"/>
      <c r="Y6" s="330" t="s">
        <v>20</v>
      </c>
      <c r="Z6" s="330"/>
      <c r="AA6" s="330"/>
      <c r="AB6" s="330"/>
      <c r="AC6" s="330"/>
      <c r="AD6" s="330"/>
      <c r="AE6" s="330"/>
      <c r="AF6" s="330"/>
      <c r="AG6" s="330"/>
      <c r="AH6" s="330"/>
      <c r="AI6" s="330"/>
      <c r="AJ6" s="330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308" t="s">
        <v>3</v>
      </c>
      <c r="C7" s="308"/>
      <c r="D7" s="308"/>
      <c r="E7" s="308"/>
      <c r="F7" s="308"/>
      <c r="G7" s="2"/>
      <c r="H7" s="329" t="s">
        <v>17</v>
      </c>
      <c r="I7" s="329"/>
      <c r="J7" s="329"/>
      <c r="K7" s="2"/>
      <c r="L7" s="337" t="s">
        <v>18</v>
      </c>
      <c r="M7" s="337"/>
      <c r="N7" s="337"/>
      <c r="O7" s="2"/>
      <c r="P7" s="2"/>
      <c r="Q7" s="2"/>
      <c r="R7" s="2"/>
      <c r="S7" s="300" t="s">
        <v>10</v>
      </c>
      <c r="T7" s="300"/>
      <c r="U7" s="300"/>
      <c r="V7" s="300"/>
      <c r="W7" s="300"/>
      <c r="X7" s="300"/>
      <c r="Y7" s="333"/>
      <c r="Z7" s="333"/>
      <c r="AA7" s="333"/>
      <c r="AB7" s="333"/>
      <c r="AC7" s="333"/>
      <c r="AD7" s="333"/>
      <c r="AE7" s="333"/>
      <c r="AF7" s="333"/>
      <c r="AG7" s="333"/>
      <c r="AH7" s="333"/>
      <c r="AI7" s="333"/>
      <c r="AJ7" s="333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308"/>
      <c r="C8" s="308"/>
      <c r="D8" s="308"/>
      <c r="E8" s="308"/>
      <c r="F8" s="308"/>
      <c r="G8" s="2"/>
      <c r="H8" s="329"/>
      <c r="I8" s="329"/>
      <c r="J8" s="329"/>
      <c r="K8" s="12"/>
      <c r="L8" s="337"/>
      <c r="M8" s="337"/>
      <c r="N8" s="337"/>
      <c r="O8" s="2"/>
      <c r="P8" s="2"/>
      <c r="Q8" s="2"/>
      <c r="R8" s="2"/>
      <c r="S8" s="303"/>
      <c r="T8" s="303"/>
      <c r="U8" s="303"/>
      <c r="V8" s="303"/>
      <c r="W8" s="303"/>
      <c r="X8" s="303"/>
      <c r="Y8" s="334" t="s">
        <v>36</v>
      </c>
      <c r="Z8" s="331"/>
      <c r="AA8" s="331"/>
      <c r="AB8" s="331"/>
      <c r="AC8" s="331"/>
      <c r="AD8" s="331"/>
      <c r="AE8" s="331"/>
      <c r="AF8" s="331"/>
      <c r="AG8" s="331"/>
      <c r="AH8" s="331"/>
      <c r="AI8" s="331"/>
      <c r="AJ8" s="331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308"/>
      <c r="C9" s="308"/>
      <c r="D9" s="308"/>
      <c r="E9" s="308"/>
      <c r="F9" s="308"/>
      <c r="G9" s="2"/>
      <c r="H9" s="329"/>
      <c r="I9" s="329"/>
      <c r="J9" s="329"/>
      <c r="K9" s="2"/>
      <c r="L9" s="337"/>
      <c r="M9" s="337"/>
      <c r="N9" s="337"/>
      <c r="O9" s="2"/>
      <c r="P9" s="2"/>
      <c r="Q9" s="2"/>
      <c r="R9" s="2"/>
      <c r="S9" s="306"/>
      <c r="T9" s="306"/>
      <c r="U9" s="306"/>
      <c r="V9" s="306"/>
      <c r="W9" s="306"/>
      <c r="X9" s="306"/>
      <c r="Y9" s="330"/>
      <c r="Z9" s="330"/>
      <c r="AA9" s="330"/>
      <c r="AB9" s="330"/>
      <c r="AC9" s="330"/>
      <c r="AD9" s="330"/>
      <c r="AE9" s="330"/>
      <c r="AF9" s="330"/>
      <c r="AG9" s="330"/>
      <c r="AH9" s="330"/>
      <c r="AI9" s="330"/>
      <c r="AJ9" s="330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299" t="s">
        <v>0</v>
      </c>
      <c r="C11" s="300"/>
      <c r="D11" s="300"/>
      <c r="E11" s="300"/>
      <c r="F11" s="300"/>
      <c r="G11" s="319" t="s">
        <v>30</v>
      </c>
      <c r="H11" s="320"/>
      <c r="I11" s="320"/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321"/>
      <c r="Z11" s="309" t="s">
        <v>1</v>
      </c>
      <c r="AA11" s="300"/>
      <c r="AB11" s="300"/>
      <c r="AC11" s="300"/>
      <c r="AD11" s="301"/>
      <c r="AE11" s="15" t="s">
        <v>244</v>
      </c>
      <c r="AF11" s="15"/>
      <c r="AG11" s="16"/>
      <c r="AH11" s="15"/>
      <c r="AI11" s="15"/>
      <c r="AJ11" s="15"/>
      <c r="AK11" s="15"/>
      <c r="AL11" s="15"/>
      <c r="AM11" s="15" t="s">
        <v>245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302"/>
      <c r="C12" s="303"/>
      <c r="D12" s="303"/>
      <c r="E12" s="303"/>
      <c r="F12" s="303"/>
      <c r="G12" s="322"/>
      <c r="H12" s="323"/>
      <c r="I12" s="323"/>
      <c r="J12" s="323"/>
      <c r="K12" s="323"/>
      <c r="L12" s="323"/>
      <c r="M12" s="323"/>
      <c r="N12" s="323"/>
      <c r="O12" s="323"/>
      <c r="P12" s="323"/>
      <c r="Q12" s="323"/>
      <c r="R12" s="323"/>
      <c r="S12" s="323"/>
      <c r="T12" s="323"/>
      <c r="U12" s="323"/>
      <c r="V12" s="323"/>
      <c r="W12" s="323"/>
      <c r="X12" s="323"/>
      <c r="Y12" s="324"/>
      <c r="Z12" s="302"/>
      <c r="AA12" s="303"/>
      <c r="AB12" s="303"/>
      <c r="AC12" s="303"/>
      <c r="AD12" s="304"/>
      <c r="AE12" s="19" t="s">
        <v>247</v>
      </c>
      <c r="AF12" s="19"/>
      <c r="AG12" s="20"/>
      <c r="AH12" s="19"/>
      <c r="AI12" s="19"/>
      <c r="AJ12" s="19"/>
      <c r="AK12" s="19"/>
      <c r="AL12" s="19"/>
      <c r="AM12" s="19" t="s">
        <v>246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302"/>
      <c r="C13" s="303"/>
      <c r="D13" s="303"/>
      <c r="E13" s="303"/>
      <c r="F13" s="303"/>
      <c r="G13" s="322"/>
      <c r="H13" s="323"/>
      <c r="I13" s="323"/>
      <c r="J13" s="323"/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324"/>
      <c r="Z13" s="302"/>
      <c r="AA13" s="303"/>
      <c r="AB13" s="303"/>
      <c r="AC13" s="303"/>
      <c r="AD13" s="304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305"/>
      <c r="C14" s="306"/>
      <c r="D14" s="306"/>
      <c r="E14" s="306"/>
      <c r="F14" s="306"/>
      <c r="G14" s="325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7"/>
      <c r="Z14" s="305"/>
      <c r="AA14" s="306"/>
      <c r="AB14" s="306"/>
      <c r="AC14" s="306"/>
      <c r="AD14" s="307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298"/>
      <c r="BF14" s="298"/>
    </row>
    <row r="15" spans="2:66" ht="14.25" customHeight="1">
      <c r="B15" s="299" t="s">
        <v>22</v>
      </c>
      <c r="C15" s="300"/>
      <c r="D15" s="300"/>
      <c r="E15" s="300"/>
      <c r="F15" s="301"/>
      <c r="G15" s="26" t="s">
        <v>23</v>
      </c>
      <c r="H15" s="27" t="s">
        <v>31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310" t="s">
        <v>24</v>
      </c>
      <c r="AA15" s="311"/>
      <c r="AB15" s="311"/>
      <c r="AC15" s="311"/>
      <c r="AD15" s="312"/>
      <c r="AE15" s="28" t="s">
        <v>23</v>
      </c>
      <c r="AF15" s="29" t="s">
        <v>248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298"/>
      <c r="BF15" s="298"/>
    </row>
    <row r="16" spans="2:66">
      <c r="B16" s="302"/>
      <c r="C16" s="303"/>
      <c r="D16" s="303"/>
      <c r="E16" s="303"/>
      <c r="F16" s="304"/>
      <c r="G16" s="2" t="s">
        <v>23</v>
      </c>
      <c r="H16" s="2" t="s">
        <v>32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13"/>
      <c r="AA16" s="314"/>
      <c r="AB16" s="314"/>
      <c r="AC16" s="314"/>
      <c r="AD16" s="315"/>
      <c r="AE16" s="31" t="s">
        <v>23</v>
      </c>
      <c r="AF16" s="31" t="s">
        <v>249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302"/>
      <c r="C17" s="303"/>
      <c r="D17" s="303"/>
      <c r="E17" s="303"/>
      <c r="F17" s="304"/>
      <c r="G17" s="2" t="s">
        <v>23</v>
      </c>
      <c r="H17" s="33" t="s">
        <v>33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313"/>
      <c r="AA17" s="314"/>
      <c r="AB17" s="314"/>
      <c r="AC17" s="314"/>
      <c r="AD17" s="315"/>
      <c r="AE17" s="31" t="s">
        <v>23</v>
      </c>
      <c r="AF17" s="34" t="s">
        <v>282</v>
      </c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302"/>
      <c r="C18" s="303"/>
      <c r="D18" s="303"/>
      <c r="E18" s="303"/>
      <c r="F18" s="304"/>
      <c r="G18" s="2" t="s">
        <v>23</v>
      </c>
      <c r="H18" s="33" t="s">
        <v>34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313"/>
      <c r="AA18" s="314"/>
      <c r="AB18" s="314"/>
      <c r="AC18" s="314"/>
      <c r="AD18" s="315"/>
      <c r="AE18" s="31" t="s">
        <v>23</v>
      </c>
      <c r="AF18" s="34" t="s">
        <v>283</v>
      </c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302"/>
      <c r="C19" s="303"/>
      <c r="D19" s="303"/>
      <c r="E19" s="303"/>
      <c r="F19" s="304"/>
      <c r="G19" s="2" t="s">
        <v>23</v>
      </c>
      <c r="H19" s="2" t="s">
        <v>35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13"/>
      <c r="AA19" s="314"/>
      <c r="AB19" s="314"/>
      <c r="AC19" s="314"/>
      <c r="AD19" s="315"/>
      <c r="AE19" s="31" t="s">
        <v>23</v>
      </c>
      <c r="AF19" s="34" t="s">
        <v>284</v>
      </c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305"/>
      <c r="C20" s="306"/>
      <c r="D20" s="306"/>
      <c r="E20" s="306"/>
      <c r="F20" s="307"/>
      <c r="G20" s="36" t="s">
        <v>23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16"/>
      <c r="AA20" s="317"/>
      <c r="AB20" s="317"/>
      <c r="AC20" s="317"/>
      <c r="AD20" s="318"/>
      <c r="AE20" s="38" t="s">
        <v>23</v>
      </c>
      <c r="AF20" s="39" t="s">
        <v>285</v>
      </c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302" t="s">
        <v>2</v>
      </c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297" t="s">
        <v>293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294" t="s">
        <v>250</v>
      </c>
      <c r="C24" s="2" t="s">
        <v>251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 t="s">
        <v>252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294"/>
      <c r="C26" s="2" t="s">
        <v>254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294" t="s">
        <v>253</v>
      </c>
      <c r="C27" s="2" t="s">
        <v>255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256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 t="s">
        <v>257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4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297" t="s">
        <v>294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294" t="s">
        <v>250</v>
      </c>
      <c r="C32" s="2" t="s">
        <v>259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/>
      <c r="C33" s="2" t="s">
        <v>258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294" t="s">
        <v>253</v>
      </c>
      <c r="C34" s="2" t="s">
        <v>260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 t="s">
        <v>261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/>
      <c r="C36" s="2" t="s">
        <v>262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294" t="s">
        <v>266</v>
      </c>
      <c r="C37" s="2" t="s">
        <v>281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 ht="15" customHeight="1">
      <c r="B38" s="4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297" t="s">
        <v>295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 ht="14.25" customHeight="1">
      <c r="B40" s="294" t="s">
        <v>250</v>
      </c>
      <c r="C40" s="2" t="s">
        <v>263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>
      <c r="B41" s="294" t="s">
        <v>253</v>
      </c>
      <c r="C41" s="2" t="s">
        <v>264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 ht="15" customHeight="1">
      <c r="B42" s="41"/>
      <c r="C42" s="2" t="s">
        <v>265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>
      <c r="B43" s="294" t="s">
        <v>266</v>
      </c>
      <c r="C43" s="2" t="s">
        <v>267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294" t="s">
        <v>268</v>
      </c>
      <c r="C44" s="2" t="s">
        <v>269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>
      <c r="B45" s="294" t="s">
        <v>270</v>
      </c>
      <c r="C45" s="2" t="s">
        <v>271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>
      <c r="B46" s="41"/>
      <c r="C46" s="2" t="s">
        <v>272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>
      <c r="B47" s="4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>
      <c r="B48" s="297" t="s">
        <v>273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294" t="s">
        <v>250</v>
      </c>
      <c r="C49" s="2" t="s">
        <v>274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294" t="s">
        <v>253</v>
      </c>
      <c r="C50" s="2" t="s">
        <v>275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294" t="s">
        <v>266</v>
      </c>
      <c r="C51" s="2" t="s">
        <v>276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/>
      <c r="C52" s="2" t="s">
        <v>277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294" t="s">
        <v>268</v>
      </c>
      <c r="C53" s="2" t="s">
        <v>278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 t="s">
        <v>279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294" t="s">
        <v>270</v>
      </c>
      <c r="C55" s="2" t="s">
        <v>280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297" t="s">
        <v>286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294" t="s">
        <v>250</v>
      </c>
      <c r="C58" s="2" t="s">
        <v>287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 t="s">
        <v>288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297" t="s">
        <v>291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 t="s">
        <v>292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 ht="15" thickBot="1">
      <c r="B65" s="36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43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44"/>
    </row>
    <row r="66" spans="2:50">
      <c r="B66" s="335" t="s">
        <v>16</v>
      </c>
      <c r="C66" s="331"/>
      <c r="D66" s="331"/>
      <c r="E66" s="331"/>
      <c r="F66" s="331"/>
      <c r="G66" s="331"/>
      <c r="H66" s="331"/>
      <c r="I66" s="331"/>
      <c r="J66" s="331"/>
      <c r="K66" s="331"/>
      <c r="L66" s="331"/>
      <c r="M66" s="331"/>
      <c r="N66" s="331"/>
      <c r="O66" s="331"/>
      <c r="P66" s="331"/>
      <c r="Q66" s="331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6"/>
    </row>
    <row r="67" spans="2:50">
      <c r="B67" s="295" t="s">
        <v>290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46"/>
    </row>
    <row r="68" spans="2:50">
      <c r="B68" s="295" t="s">
        <v>289</v>
      </c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8"/>
    </row>
    <row r="69" spans="2:50">
      <c r="B69" s="29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6"/>
    </row>
    <row r="70" spans="2:50">
      <c r="B70" s="29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8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42"/>
    </row>
    <row r="71" spans="2:50" ht="15" thickBot="1">
      <c r="B71" s="296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45"/>
      <c r="U71" s="45"/>
      <c r="V71" s="45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43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44"/>
    </row>
  </sheetData>
  <mergeCells count="21">
    <mergeCell ref="B21:AX21"/>
    <mergeCell ref="Y7:AJ7"/>
    <mergeCell ref="Y8:AJ8"/>
    <mergeCell ref="Y9:AJ9"/>
    <mergeCell ref="B66:AX66"/>
    <mergeCell ref="H7:J9"/>
    <mergeCell ref="L7:N9"/>
    <mergeCell ref="S1:AJ3"/>
    <mergeCell ref="B5:F6"/>
    <mergeCell ref="S5:X6"/>
    <mergeCell ref="S7:X9"/>
    <mergeCell ref="Y6:AJ6"/>
    <mergeCell ref="Y5:AJ5"/>
    <mergeCell ref="G5:Q6"/>
    <mergeCell ref="BE14:BF15"/>
    <mergeCell ref="B15:F20"/>
    <mergeCell ref="B7:F9"/>
    <mergeCell ref="B11:F14"/>
    <mergeCell ref="Z11:AD14"/>
    <mergeCell ref="Z15:AD20"/>
    <mergeCell ref="G11:Y14"/>
  </mergeCells>
  <printOptions horizontalCentered="1" verticalCentered="1"/>
  <pageMargins left="0.19685039370078741" right="0.19685039370078741" top="0" bottom="0" header="0.19685039370078741" footer="0.19685039370078741"/>
  <pageSetup paperSize="9" scale="80" orientation="portrait" r:id="rId1"/>
  <headerFooter>
    <oddFooter>&amp;L&amp;D&amp;C&amp;P&amp;R&amp;F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9"/>
  <sheetViews>
    <sheetView showGridLines="0" zoomScale="72" zoomScaleNormal="72" workbookViewId="0">
      <selection activeCell="F17" sqref="F17:F18"/>
    </sheetView>
  </sheetViews>
  <sheetFormatPr defaultColWidth="8.7109375" defaultRowHeight="17.100000000000001" customHeight="1"/>
  <cols>
    <col min="1" max="1" width="1.28515625" style="51" customWidth="1"/>
    <col min="2" max="2" width="19.28515625" style="51" customWidth="1"/>
    <col min="3" max="3" width="11.7109375" style="51" customWidth="1"/>
    <col min="4" max="7" width="14.28515625" style="51" customWidth="1"/>
    <col min="8" max="19" width="14.28515625" style="134" customWidth="1"/>
    <col min="20" max="16384" width="8.7109375" style="51"/>
  </cols>
  <sheetData>
    <row r="1" spans="2:19" ht="17.100000000000001" customHeight="1">
      <c r="B1" s="353" t="s">
        <v>37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49"/>
      <c r="O1" s="49"/>
      <c r="P1" s="49"/>
      <c r="Q1" s="49"/>
      <c r="R1" s="49"/>
      <c r="S1" s="50">
        <v>43349</v>
      </c>
    </row>
    <row r="2" spans="2:19" ht="17.100000000000001" customHeight="1"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49"/>
      <c r="O2" s="49"/>
      <c r="P2" s="49"/>
      <c r="Q2" s="49"/>
      <c r="R2" s="49"/>
      <c r="S2" s="49"/>
    </row>
    <row r="3" spans="2:19" ht="17.100000000000001" customHeight="1" thickBot="1">
      <c r="B3" s="52"/>
      <c r="C3" s="52"/>
      <c r="D3" s="52"/>
      <c r="E3" s="52"/>
      <c r="F3" s="52"/>
      <c r="G3" s="52"/>
      <c r="H3" s="53"/>
      <c r="I3" s="53"/>
      <c r="J3" s="53"/>
      <c r="K3" s="53"/>
      <c r="L3" s="53"/>
      <c r="M3" s="53"/>
      <c r="N3" s="49"/>
      <c r="O3" s="49"/>
      <c r="P3" s="49"/>
      <c r="Q3" s="49"/>
      <c r="R3" s="49"/>
      <c r="S3" s="49" t="s">
        <v>38</v>
      </c>
    </row>
    <row r="4" spans="2:19" ht="17.100000000000001" customHeight="1">
      <c r="B4" s="354" t="s">
        <v>39</v>
      </c>
      <c r="C4" s="355"/>
      <c r="D4" s="358">
        <v>2018</v>
      </c>
      <c r="E4" s="359"/>
      <c r="F4" s="359"/>
      <c r="G4" s="360"/>
      <c r="H4" s="338" t="s">
        <v>40</v>
      </c>
      <c r="I4" s="352"/>
      <c r="J4" s="339"/>
      <c r="K4" s="338" t="s">
        <v>41</v>
      </c>
      <c r="L4" s="352"/>
      <c r="M4" s="339"/>
      <c r="N4" s="338" t="s">
        <v>42</v>
      </c>
      <c r="O4" s="352"/>
      <c r="P4" s="339"/>
      <c r="Q4" s="338" t="s">
        <v>43</v>
      </c>
      <c r="R4" s="352"/>
      <c r="S4" s="339"/>
    </row>
    <row r="5" spans="2:19" ht="17.100000000000001" customHeight="1" thickBot="1">
      <c r="B5" s="356"/>
      <c r="C5" s="357"/>
      <c r="D5" s="54" t="s">
        <v>44</v>
      </c>
      <c r="E5" s="55" t="s">
        <v>45</v>
      </c>
      <c r="F5" s="54" t="s">
        <v>46</v>
      </c>
      <c r="G5" s="56" t="s">
        <v>47</v>
      </c>
      <c r="H5" s="57" t="s">
        <v>48</v>
      </c>
      <c r="I5" s="58" t="s">
        <v>49</v>
      </c>
      <c r="J5" s="59" t="s">
        <v>50</v>
      </c>
      <c r="K5" s="60" t="s">
        <v>51</v>
      </c>
      <c r="L5" s="58" t="s">
        <v>52</v>
      </c>
      <c r="M5" s="59" t="s">
        <v>53</v>
      </c>
      <c r="N5" s="60" t="s">
        <v>54</v>
      </c>
      <c r="O5" s="58" t="s">
        <v>55</v>
      </c>
      <c r="P5" s="59" t="s">
        <v>56</v>
      </c>
      <c r="Q5" s="60" t="s">
        <v>45</v>
      </c>
      <c r="R5" s="58" t="s">
        <v>46</v>
      </c>
      <c r="S5" s="59" t="s">
        <v>47</v>
      </c>
    </row>
    <row r="6" spans="2:19" ht="17.100000000000001" customHeight="1">
      <c r="B6" s="347" t="s">
        <v>57</v>
      </c>
      <c r="C6" s="61" t="s">
        <v>58</v>
      </c>
      <c r="D6" s="62">
        <v>119000</v>
      </c>
      <c r="E6" s="63">
        <v>120000</v>
      </c>
      <c r="F6" s="64">
        <v>135000</v>
      </c>
      <c r="G6" s="65">
        <v>135000</v>
      </c>
      <c r="H6" s="66">
        <v>75000</v>
      </c>
      <c r="I6" s="67">
        <v>75000</v>
      </c>
      <c r="J6" s="68">
        <v>325000</v>
      </c>
      <c r="K6" s="69">
        <v>325000</v>
      </c>
      <c r="L6" s="67">
        <v>325000</v>
      </c>
      <c r="M6" s="68">
        <v>325000</v>
      </c>
      <c r="N6" s="69">
        <v>657000</v>
      </c>
      <c r="O6" s="67">
        <v>657000</v>
      </c>
      <c r="P6" s="68">
        <v>657000</v>
      </c>
      <c r="Q6" s="69">
        <v>657000</v>
      </c>
      <c r="R6" s="67">
        <v>657000</v>
      </c>
      <c r="S6" s="68">
        <v>657000</v>
      </c>
    </row>
    <row r="7" spans="2:19" ht="17.100000000000001" customHeight="1">
      <c r="B7" s="347"/>
      <c r="C7" s="70" t="s">
        <v>59</v>
      </c>
      <c r="D7" s="71">
        <v>119000</v>
      </c>
      <c r="E7" s="72">
        <v>120400</v>
      </c>
      <c r="F7" s="73">
        <v>120400</v>
      </c>
      <c r="G7" s="74">
        <v>120400</v>
      </c>
      <c r="H7" s="75">
        <v>120400</v>
      </c>
      <c r="I7" s="76">
        <v>120400</v>
      </c>
      <c r="J7" s="77">
        <v>120400</v>
      </c>
      <c r="K7" s="78">
        <v>120400</v>
      </c>
      <c r="L7" s="76">
        <v>120400</v>
      </c>
      <c r="M7" s="77">
        <v>120400</v>
      </c>
      <c r="N7" s="78">
        <v>120400</v>
      </c>
      <c r="O7" s="76">
        <v>120400</v>
      </c>
      <c r="P7" s="77">
        <v>120400</v>
      </c>
      <c r="Q7" s="78">
        <v>120400</v>
      </c>
      <c r="R7" s="76">
        <v>120400</v>
      </c>
      <c r="S7" s="77">
        <v>120400</v>
      </c>
    </row>
    <row r="8" spans="2:19" ht="17.100000000000001" customHeight="1">
      <c r="B8" s="347"/>
      <c r="C8" s="79" t="s">
        <v>60</v>
      </c>
      <c r="D8" s="80">
        <f t="shared" ref="D8:G8" si="0">+D7-D6</f>
        <v>0</v>
      </c>
      <c r="E8" s="81">
        <f t="shared" si="0"/>
        <v>400</v>
      </c>
      <c r="F8" s="82">
        <f t="shared" si="0"/>
        <v>-14600</v>
      </c>
      <c r="G8" s="83">
        <f t="shared" si="0"/>
        <v>-14600</v>
      </c>
      <c r="H8" s="84">
        <f>+H7-H6</f>
        <v>45400</v>
      </c>
      <c r="I8" s="85">
        <f t="shared" ref="I8:S8" si="1">+I7-I6</f>
        <v>45400</v>
      </c>
      <c r="J8" s="86">
        <f t="shared" si="1"/>
        <v>-204600</v>
      </c>
      <c r="K8" s="87">
        <f t="shared" si="1"/>
        <v>-204600</v>
      </c>
      <c r="L8" s="85">
        <f t="shared" si="1"/>
        <v>-204600</v>
      </c>
      <c r="M8" s="86">
        <f t="shared" si="1"/>
        <v>-204600</v>
      </c>
      <c r="N8" s="87">
        <f t="shared" si="1"/>
        <v>-536600</v>
      </c>
      <c r="O8" s="85">
        <f t="shared" si="1"/>
        <v>-536600</v>
      </c>
      <c r="P8" s="86">
        <f t="shared" si="1"/>
        <v>-536600</v>
      </c>
      <c r="Q8" s="87">
        <f t="shared" si="1"/>
        <v>-536600</v>
      </c>
      <c r="R8" s="85">
        <f t="shared" si="1"/>
        <v>-536600</v>
      </c>
      <c r="S8" s="86">
        <f t="shared" si="1"/>
        <v>-536600</v>
      </c>
    </row>
    <row r="9" spans="2:19" ht="17.100000000000001" customHeight="1">
      <c r="B9" s="346" t="s">
        <v>61</v>
      </c>
      <c r="C9" s="88" t="s">
        <v>58</v>
      </c>
      <c r="D9" s="89">
        <v>224000</v>
      </c>
      <c r="E9" s="90">
        <v>324000</v>
      </c>
      <c r="F9" s="91">
        <v>375000</v>
      </c>
      <c r="G9" s="92">
        <v>375000</v>
      </c>
      <c r="H9" s="93">
        <v>155000</v>
      </c>
      <c r="I9" s="94">
        <v>155000</v>
      </c>
      <c r="J9" s="95">
        <v>510000</v>
      </c>
      <c r="K9" s="96">
        <v>510000</v>
      </c>
      <c r="L9" s="94">
        <v>510000</v>
      </c>
      <c r="M9" s="95">
        <v>510000</v>
      </c>
      <c r="N9" s="96">
        <v>1006000</v>
      </c>
      <c r="O9" s="94">
        <v>1006000</v>
      </c>
      <c r="P9" s="95">
        <v>1006000</v>
      </c>
      <c r="Q9" s="96">
        <v>1006000</v>
      </c>
      <c r="R9" s="94">
        <v>1006000</v>
      </c>
      <c r="S9" s="95">
        <v>1006000</v>
      </c>
    </row>
    <row r="10" spans="2:19" ht="17.100000000000001" customHeight="1">
      <c r="B10" s="347"/>
      <c r="C10" s="70" t="s">
        <v>59</v>
      </c>
      <c r="D10" s="71">
        <v>223500</v>
      </c>
      <c r="E10" s="72">
        <v>150000</v>
      </c>
      <c r="F10" s="73">
        <v>150000</v>
      </c>
      <c r="G10" s="74">
        <v>150000</v>
      </c>
      <c r="H10" s="75">
        <v>150000</v>
      </c>
      <c r="I10" s="76">
        <v>150000</v>
      </c>
      <c r="J10" s="77">
        <v>150000</v>
      </c>
      <c r="K10" s="78">
        <v>150000</v>
      </c>
      <c r="L10" s="76">
        <v>150000</v>
      </c>
      <c r="M10" s="77">
        <v>150000</v>
      </c>
      <c r="N10" s="78">
        <v>150000</v>
      </c>
      <c r="O10" s="76">
        <v>150000</v>
      </c>
      <c r="P10" s="77">
        <v>150000</v>
      </c>
      <c r="Q10" s="78">
        <v>150000</v>
      </c>
      <c r="R10" s="76">
        <v>150000</v>
      </c>
      <c r="S10" s="77">
        <v>150000</v>
      </c>
    </row>
    <row r="11" spans="2:19" ht="17.100000000000001" customHeight="1">
      <c r="B11" s="348"/>
      <c r="C11" s="97" t="s">
        <v>60</v>
      </c>
      <c r="D11" s="80"/>
      <c r="E11" s="81"/>
      <c r="F11" s="82"/>
      <c r="G11" s="83"/>
      <c r="H11" s="98">
        <f>+H10-H9</f>
        <v>-5000</v>
      </c>
      <c r="I11" s="99">
        <f t="shared" ref="I11:S11" si="2">+I10-I9</f>
        <v>-5000</v>
      </c>
      <c r="J11" s="100">
        <f t="shared" si="2"/>
        <v>-360000</v>
      </c>
      <c r="K11" s="101">
        <f t="shared" si="2"/>
        <v>-360000</v>
      </c>
      <c r="L11" s="99">
        <f t="shared" si="2"/>
        <v>-360000</v>
      </c>
      <c r="M11" s="100">
        <f t="shared" si="2"/>
        <v>-360000</v>
      </c>
      <c r="N11" s="101">
        <f t="shared" si="2"/>
        <v>-856000</v>
      </c>
      <c r="O11" s="99">
        <f t="shared" si="2"/>
        <v>-856000</v>
      </c>
      <c r="P11" s="100">
        <f t="shared" si="2"/>
        <v>-856000</v>
      </c>
      <c r="Q11" s="101">
        <f t="shared" si="2"/>
        <v>-856000</v>
      </c>
      <c r="R11" s="99">
        <f t="shared" si="2"/>
        <v>-856000</v>
      </c>
      <c r="S11" s="100">
        <f t="shared" si="2"/>
        <v>-856000</v>
      </c>
    </row>
    <row r="12" spans="2:19" ht="17.100000000000001" customHeight="1">
      <c r="B12" s="346" t="s">
        <v>62</v>
      </c>
      <c r="C12" s="88" t="s">
        <v>58</v>
      </c>
      <c r="D12" s="102">
        <v>150000</v>
      </c>
      <c r="E12" s="103">
        <v>225000</v>
      </c>
      <c r="F12" s="104">
        <v>307500</v>
      </c>
      <c r="G12" s="105">
        <v>307500</v>
      </c>
      <c r="H12" s="106">
        <v>97000</v>
      </c>
      <c r="I12" s="107">
        <v>97000</v>
      </c>
      <c r="J12" s="108">
        <v>347000</v>
      </c>
      <c r="K12" s="109">
        <v>347000</v>
      </c>
      <c r="L12" s="107">
        <v>347000</v>
      </c>
      <c r="M12" s="108">
        <v>347000</v>
      </c>
      <c r="N12" s="109">
        <v>312000</v>
      </c>
      <c r="O12" s="107">
        <v>312000</v>
      </c>
      <c r="P12" s="108">
        <v>312000</v>
      </c>
      <c r="Q12" s="109">
        <v>312000</v>
      </c>
      <c r="R12" s="107">
        <v>312000</v>
      </c>
      <c r="S12" s="108">
        <v>312000</v>
      </c>
    </row>
    <row r="13" spans="2:19" ht="17.100000000000001" customHeight="1">
      <c r="B13" s="347"/>
      <c r="C13" s="70" t="s">
        <v>59</v>
      </c>
      <c r="D13" s="71">
        <v>150000</v>
      </c>
      <c r="E13" s="72">
        <v>150000</v>
      </c>
      <c r="F13" s="73">
        <v>150000</v>
      </c>
      <c r="G13" s="74">
        <v>150000</v>
      </c>
      <c r="H13" s="75">
        <v>150000</v>
      </c>
      <c r="I13" s="76">
        <v>150000</v>
      </c>
      <c r="J13" s="77">
        <v>150000</v>
      </c>
      <c r="K13" s="78">
        <v>150000</v>
      </c>
      <c r="L13" s="76">
        <v>150000</v>
      </c>
      <c r="M13" s="77">
        <v>150000</v>
      </c>
      <c r="N13" s="78">
        <v>150000</v>
      </c>
      <c r="O13" s="76">
        <v>150000</v>
      </c>
      <c r="P13" s="77">
        <v>150000</v>
      </c>
      <c r="Q13" s="78">
        <v>150000</v>
      </c>
      <c r="R13" s="76">
        <v>150000</v>
      </c>
      <c r="S13" s="77">
        <v>150000</v>
      </c>
    </row>
    <row r="14" spans="2:19" ht="17.100000000000001" customHeight="1">
      <c r="B14" s="347"/>
      <c r="C14" s="97" t="s">
        <v>60</v>
      </c>
      <c r="D14" s="80">
        <f t="shared" ref="D14:G14" si="3">+D13-D12</f>
        <v>0</v>
      </c>
      <c r="E14" s="81">
        <f t="shared" si="3"/>
        <v>-75000</v>
      </c>
      <c r="F14" s="82">
        <f t="shared" si="3"/>
        <v>-157500</v>
      </c>
      <c r="G14" s="83">
        <f t="shared" si="3"/>
        <v>-157500</v>
      </c>
      <c r="H14" s="84">
        <f>+H13-H12</f>
        <v>53000</v>
      </c>
      <c r="I14" s="85">
        <f t="shared" ref="I14:S14" si="4">+I13-I12</f>
        <v>53000</v>
      </c>
      <c r="J14" s="86">
        <f t="shared" si="4"/>
        <v>-197000</v>
      </c>
      <c r="K14" s="87">
        <f t="shared" si="4"/>
        <v>-197000</v>
      </c>
      <c r="L14" s="85">
        <f t="shared" si="4"/>
        <v>-197000</v>
      </c>
      <c r="M14" s="86">
        <f t="shared" si="4"/>
        <v>-197000</v>
      </c>
      <c r="N14" s="87">
        <f t="shared" si="4"/>
        <v>-162000</v>
      </c>
      <c r="O14" s="85">
        <f t="shared" si="4"/>
        <v>-162000</v>
      </c>
      <c r="P14" s="86">
        <f t="shared" si="4"/>
        <v>-162000</v>
      </c>
      <c r="Q14" s="87">
        <f t="shared" si="4"/>
        <v>-162000</v>
      </c>
      <c r="R14" s="85">
        <f t="shared" si="4"/>
        <v>-162000</v>
      </c>
      <c r="S14" s="86">
        <f t="shared" si="4"/>
        <v>-162000</v>
      </c>
    </row>
    <row r="15" spans="2:19" ht="17.100000000000001" customHeight="1">
      <c r="B15" s="346" t="s">
        <v>63</v>
      </c>
      <c r="C15" s="88" t="s">
        <v>58</v>
      </c>
      <c r="D15" s="89">
        <v>599500</v>
      </c>
      <c r="E15" s="90">
        <v>600000</v>
      </c>
      <c r="F15" s="91">
        <v>1095000</v>
      </c>
      <c r="G15" s="92">
        <v>1095000</v>
      </c>
      <c r="H15" s="93">
        <v>335000</v>
      </c>
      <c r="I15" s="94">
        <v>335000</v>
      </c>
      <c r="J15" s="95">
        <v>1246000</v>
      </c>
      <c r="K15" s="96">
        <v>1246000</v>
      </c>
      <c r="L15" s="94">
        <v>1246000</v>
      </c>
      <c r="M15" s="95">
        <v>1246000</v>
      </c>
      <c r="N15" s="96">
        <v>1139000</v>
      </c>
      <c r="O15" s="94">
        <v>1139000</v>
      </c>
      <c r="P15" s="95">
        <v>1139000</v>
      </c>
      <c r="Q15" s="96">
        <v>1139000</v>
      </c>
      <c r="R15" s="94">
        <v>1139000</v>
      </c>
      <c r="S15" s="95">
        <v>1139000</v>
      </c>
    </row>
    <row r="16" spans="2:19" ht="17.100000000000001" customHeight="1">
      <c r="B16" s="347"/>
      <c r="C16" s="70" t="s">
        <v>59</v>
      </c>
      <c r="D16" s="71">
        <v>500000</v>
      </c>
      <c r="E16" s="72">
        <v>600000</v>
      </c>
      <c r="F16" s="73">
        <v>600000</v>
      </c>
      <c r="G16" s="74">
        <v>600000</v>
      </c>
      <c r="H16" s="75">
        <v>600000</v>
      </c>
      <c r="I16" s="76">
        <v>600000</v>
      </c>
      <c r="J16" s="77">
        <v>600000</v>
      </c>
      <c r="K16" s="78">
        <v>600000</v>
      </c>
      <c r="L16" s="76">
        <v>600000</v>
      </c>
      <c r="M16" s="77">
        <v>600000</v>
      </c>
      <c r="N16" s="78">
        <v>600000</v>
      </c>
      <c r="O16" s="76">
        <v>600000</v>
      </c>
      <c r="P16" s="77">
        <v>600000</v>
      </c>
      <c r="Q16" s="78">
        <v>600000</v>
      </c>
      <c r="R16" s="76">
        <v>600000</v>
      </c>
      <c r="S16" s="77">
        <v>600000</v>
      </c>
    </row>
    <row r="17" spans="2:19" ht="17.100000000000001" customHeight="1">
      <c r="B17" s="348"/>
      <c r="C17" s="97" t="s">
        <v>60</v>
      </c>
      <c r="D17" s="80">
        <f t="shared" ref="D17:G17" si="5">+D16-D15</f>
        <v>-99500</v>
      </c>
      <c r="E17" s="81">
        <f t="shared" si="5"/>
        <v>0</v>
      </c>
      <c r="F17" s="82">
        <f t="shared" si="5"/>
        <v>-495000</v>
      </c>
      <c r="G17" s="83">
        <f t="shared" si="5"/>
        <v>-495000</v>
      </c>
      <c r="H17" s="98">
        <f>+H16-H15</f>
        <v>265000</v>
      </c>
      <c r="I17" s="99">
        <f t="shared" ref="I17:S17" si="6">+I16-I15</f>
        <v>265000</v>
      </c>
      <c r="J17" s="100">
        <f t="shared" si="6"/>
        <v>-646000</v>
      </c>
      <c r="K17" s="101">
        <f t="shared" si="6"/>
        <v>-646000</v>
      </c>
      <c r="L17" s="99">
        <f t="shared" si="6"/>
        <v>-646000</v>
      </c>
      <c r="M17" s="100">
        <f t="shared" si="6"/>
        <v>-646000</v>
      </c>
      <c r="N17" s="101">
        <f t="shared" si="6"/>
        <v>-539000</v>
      </c>
      <c r="O17" s="99">
        <f t="shared" si="6"/>
        <v>-539000</v>
      </c>
      <c r="P17" s="100">
        <f t="shared" si="6"/>
        <v>-539000</v>
      </c>
      <c r="Q17" s="101">
        <f t="shared" si="6"/>
        <v>-539000</v>
      </c>
      <c r="R17" s="99">
        <f t="shared" si="6"/>
        <v>-539000</v>
      </c>
      <c r="S17" s="100">
        <f t="shared" si="6"/>
        <v>-539000</v>
      </c>
    </row>
    <row r="18" spans="2:19" ht="17.100000000000001" customHeight="1">
      <c r="B18" s="346" t="s">
        <v>64</v>
      </c>
      <c r="C18" s="88" t="s">
        <v>58</v>
      </c>
      <c r="D18" s="102">
        <v>150000</v>
      </c>
      <c r="E18" s="103">
        <v>150000</v>
      </c>
      <c r="F18" s="104">
        <v>171000</v>
      </c>
      <c r="G18" s="105">
        <v>171000</v>
      </c>
      <c r="H18" s="106">
        <v>21000</v>
      </c>
      <c r="I18" s="107">
        <v>21000</v>
      </c>
      <c r="J18" s="108">
        <v>104000</v>
      </c>
      <c r="K18" s="109">
        <v>104000</v>
      </c>
      <c r="L18" s="107">
        <v>104000</v>
      </c>
      <c r="M18" s="108">
        <v>104000</v>
      </c>
      <c r="N18" s="109">
        <v>104000</v>
      </c>
      <c r="O18" s="107">
        <v>104000</v>
      </c>
      <c r="P18" s="108">
        <v>104000</v>
      </c>
      <c r="Q18" s="109">
        <v>104000</v>
      </c>
      <c r="R18" s="107">
        <v>104000</v>
      </c>
      <c r="S18" s="108">
        <v>104000</v>
      </c>
    </row>
    <row r="19" spans="2:19" ht="17.100000000000001" customHeight="1">
      <c r="B19" s="347"/>
      <c r="C19" s="70" t="s">
        <v>59</v>
      </c>
      <c r="D19" s="71">
        <v>150000</v>
      </c>
      <c r="E19" s="72">
        <v>150000</v>
      </c>
      <c r="F19" s="73">
        <v>150000</v>
      </c>
      <c r="G19" s="74">
        <v>150000</v>
      </c>
      <c r="H19" s="75">
        <v>150000</v>
      </c>
      <c r="I19" s="76">
        <v>150000</v>
      </c>
      <c r="J19" s="77">
        <v>150000</v>
      </c>
      <c r="K19" s="78">
        <v>150000</v>
      </c>
      <c r="L19" s="76">
        <v>150000</v>
      </c>
      <c r="M19" s="77">
        <v>150000</v>
      </c>
      <c r="N19" s="78">
        <v>150000</v>
      </c>
      <c r="O19" s="76">
        <v>150000</v>
      </c>
      <c r="P19" s="77">
        <v>150000</v>
      </c>
      <c r="Q19" s="78">
        <v>150000</v>
      </c>
      <c r="R19" s="76">
        <v>150000</v>
      </c>
      <c r="S19" s="77">
        <v>150000</v>
      </c>
    </row>
    <row r="20" spans="2:19" ht="17.100000000000001" customHeight="1">
      <c r="B20" s="347"/>
      <c r="C20" s="97" t="s">
        <v>60</v>
      </c>
      <c r="D20" s="80">
        <f t="shared" ref="D20:G20" si="7">+D19-D18</f>
        <v>0</v>
      </c>
      <c r="E20" s="81">
        <f t="shared" si="7"/>
        <v>0</v>
      </c>
      <c r="F20" s="82">
        <f t="shared" si="7"/>
        <v>-21000</v>
      </c>
      <c r="G20" s="83">
        <f t="shared" si="7"/>
        <v>-21000</v>
      </c>
      <c r="H20" s="84">
        <f>+H19-H18</f>
        <v>129000</v>
      </c>
      <c r="I20" s="85">
        <f t="shared" ref="I20:S20" si="8">+I19-I18</f>
        <v>129000</v>
      </c>
      <c r="J20" s="86">
        <f t="shared" si="8"/>
        <v>46000</v>
      </c>
      <c r="K20" s="87">
        <f t="shared" si="8"/>
        <v>46000</v>
      </c>
      <c r="L20" s="85">
        <f t="shared" si="8"/>
        <v>46000</v>
      </c>
      <c r="M20" s="86">
        <f t="shared" si="8"/>
        <v>46000</v>
      </c>
      <c r="N20" s="87">
        <f t="shared" si="8"/>
        <v>46000</v>
      </c>
      <c r="O20" s="85">
        <f t="shared" si="8"/>
        <v>46000</v>
      </c>
      <c r="P20" s="86">
        <f t="shared" si="8"/>
        <v>46000</v>
      </c>
      <c r="Q20" s="87">
        <f t="shared" si="8"/>
        <v>46000</v>
      </c>
      <c r="R20" s="85">
        <f t="shared" si="8"/>
        <v>46000</v>
      </c>
      <c r="S20" s="86">
        <f t="shared" si="8"/>
        <v>46000</v>
      </c>
    </row>
    <row r="21" spans="2:19" ht="17.100000000000001" customHeight="1">
      <c r="B21" s="346" t="s">
        <v>65</v>
      </c>
      <c r="C21" s="88" t="s">
        <v>58</v>
      </c>
      <c r="D21" s="89">
        <v>149500</v>
      </c>
      <c r="E21" s="90">
        <v>328500</v>
      </c>
      <c r="F21" s="91">
        <v>373500</v>
      </c>
      <c r="G21" s="92">
        <v>373500</v>
      </c>
      <c r="H21" s="93">
        <v>165000.00000000003</v>
      </c>
      <c r="I21" s="94">
        <v>165000.00000000003</v>
      </c>
      <c r="J21" s="95">
        <v>825000.00000000012</v>
      </c>
      <c r="K21" s="96">
        <v>825000.00000000012</v>
      </c>
      <c r="L21" s="94">
        <v>825000.00000000012</v>
      </c>
      <c r="M21" s="95">
        <v>825000.00000000012</v>
      </c>
      <c r="N21" s="96">
        <v>825000.00000000012</v>
      </c>
      <c r="O21" s="94">
        <v>825000.00000000012</v>
      </c>
      <c r="P21" s="95">
        <v>825000.00000000012</v>
      </c>
      <c r="Q21" s="96">
        <v>825000.00000000012</v>
      </c>
      <c r="R21" s="94">
        <v>825000.00000000012</v>
      </c>
      <c r="S21" s="95">
        <v>825000.00000000012</v>
      </c>
    </row>
    <row r="22" spans="2:19" ht="17.100000000000001" customHeight="1">
      <c r="B22" s="347"/>
      <c r="C22" s="70" t="s">
        <v>59</v>
      </c>
      <c r="D22" s="71">
        <v>148500</v>
      </c>
      <c r="E22" s="72">
        <v>150000</v>
      </c>
      <c r="F22" s="73">
        <v>150000</v>
      </c>
      <c r="G22" s="74">
        <v>150000</v>
      </c>
      <c r="H22" s="75">
        <v>150000</v>
      </c>
      <c r="I22" s="76">
        <v>150000</v>
      </c>
      <c r="J22" s="77">
        <v>150000</v>
      </c>
      <c r="K22" s="78">
        <v>150000</v>
      </c>
      <c r="L22" s="76">
        <v>150000</v>
      </c>
      <c r="M22" s="77">
        <v>150000</v>
      </c>
      <c r="N22" s="78">
        <v>150000</v>
      </c>
      <c r="O22" s="76">
        <v>150000</v>
      </c>
      <c r="P22" s="77">
        <v>150000</v>
      </c>
      <c r="Q22" s="78">
        <v>150000</v>
      </c>
      <c r="R22" s="76">
        <v>150000</v>
      </c>
      <c r="S22" s="77">
        <v>150000</v>
      </c>
    </row>
    <row r="23" spans="2:19" ht="17.100000000000001" customHeight="1">
      <c r="B23" s="348"/>
      <c r="C23" s="97" t="s">
        <v>60</v>
      </c>
      <c r="D23" s="80">
        <f t="shared" ref="D23:G23" si="9">+D22-D21</f>
        <v>-1000</v>
      </c>
      <c r="E23" s="81">
        <f t="shared" si="9"/>
        <v>-178500</v>
      </c>
      <c r="F23" s="82">
        <f t="shared" si="9"/>
        <v>-223500</v>
      </c>
      <c r="G23" s="83">
        <f t="shared" si="9"/>
        <v>-223500</v>
      </c>
      <c r="H23" s="98">
        <f>+H22-H21</f>
        <v>-15000.000000000029</v>
      </c>
      <c r="I23" s="99">
        <f t="shared" ref="I23:S23" si="10">+I22-I21</f>
        <v>-15000.000000000029</v>
      </c>
      <c r="J23" s="100">
        <f t="shared" si="10"/>
        <v>-675000.00000000012</v>
      </c>
      <c r="K23" s="101">
        <f t="shared" si="10"/>
        <v>-675000.00000000012</v>
      </c>
      <c r="L23" s="99">
        <f t="shared" si="10"/>
        <v>-675000.00000000012</v>
      </c>
      <c r="M23" s="100">
        <f t="shared" si="10"/>
        <v>-675000.00000000012</v>
      </c>
      <c r="N23" s="101">
        <f t="shared" si="10"/>
        <v>-675000.00000000012</v>
      </c>
      <c r="O23" s="99">
        <f t="shared" si="10"/>
        <v>-675000.00000000012</v>
      </c>
      <c r="P23" s="100">
        <f t="shared" si="10"/>
        <v>-675000.00000000012</v>
      </c>
      <c r="Q23" s="101">
        <f t="shared" si="10"/>
        <v>-675000.00000000012</v>
      </c>
      <c r="R23" s="99">
        <f t="shared" si="10"/>
        <v>-675000.00000000012</v>
      </c>
      <c r="S23" s="100">
        <f t="shared" si="10"/>
        <v>-675000.00000000012</v>
      </c>
    </row>
    <row r="24" spans="2:19" ht="17.100000000000001" customHeight="1">
      <c r="B24" s="346" t="s">
        <v>66</v>
      </c>
      <c r="C24" s="88" t="s">
        <v>58</v>
      </c>
      <c r="D24" s="89">
        <v>149500</v>
      </c>
      <c r="E24" s="90">
        <v>307500</v>
      </c>
      <c r="F24" s="91">
        <v>369000</v>
      </c>
      <c r="G24" s="92">
        <v>369000</v>
      </c>
      <c r="H24" s="93">
        <v>73000</v>
      </c>
      <c r="I24" s="94">
        <v>73000</v>
      </c>
      <c r="J24" s="95">
        <v>365000</v>
      </c>
      <c r="K24" s="96">
        <v>365000</v>
      </c>
      <c r="L24" s="94">
        <v>365000</v>
      </c>
      <c r="M24" s="95">
        <v>365000</v>
      </c>
      <c r="N24" s="96">
        <v>365000</v>
      </c>
      <c r="O24" s="94">
        <v>365000</v>
      </c>
      <c r="P24" s="95">
        <v>365000</v>
      </c>
      <c r="Q24" s="96">
        <v>365000</v>
      </c>
      <c r="R24" s="94">
        <v>365000</v>
      </c>
      <c r="S24" s="95">
        <v>365000</v>
      </c>
    </row>
    <row r="25" spans="2:19" ht="17.100000000000001" customHeight="1">
      <c r="B25" s="347"/>
      <c r="C25" s="70" t="s">
        <v>59</v>
      </c>
      <c r="D25" s="71">
        <v>148500</v>
      </c>
      <c r="E25" s="72">
        <v>150000</v>
      </c>
      <c r="F25" s="73">
        <v>150000</v>
      </c>
      <c r="G25" s="74">
        <v>150000</v>
      </c>
      <c r="H25" s="75">
        <v>150000</v>
      </c>
      <c r="I25" s="76">
        <v>150000</v>
      </c>
      <c r="J25" s="77">
        <v>150000</v>
      </c>
      <c r="K25" s="78">
        <v>150000</v>
      </c>
      <c r="L25" s="76">
        <v>150000</v>
      </c>
      <c r="M25" s="77">
        <v>150000</v>
      </c>
      <c r="N25" s="78">
        <v>150000</v>
      </c>
      <c r="O25" s="76">
        <v>150000</v>
      </c>
      <c r="P25" s="77">
        <v>150000</v>
      </c>
      <c r="Q25" s="78">
        <v>150000</v>
      </c>
      <c r="R25" s="76">
        <v>150000</v>
      </c>
      <c r="S25" s="77">
        <v>150000</v>
      </c>
    </row>
    <row r="26" spans="2:19" ht="17.100000000000001" customHeight="1">
      <c r="B26" s="348"/>
      <c r="C26" s="97" t="s">
        <v>60</v>
      </c>
      <c r="D26" s="80">
        <f t="shared" ref="D26:G26" si="11">+D25-D24</f>
        <v>-1000</v>
      </c>
      <c r="E26" s="81">
        <f t="shared" si="11"/>
        <v>-157500</v>
      </c>
      <c r="F26" s="82">
        <f t="shared" si="11"/>
        <v>-219000</v>
      </c>
      <c r="G26" s="83">
        <f t="shared" si="11"/>
        <v>-219000</v>
      </c>
      <c r="H26" s="98">
        <f>+H25-H24</f>
        <v>77000</v>
      </c>
      <c r="I26" s="99">
        <f t="shared" ref="I26:S26" si="12">+I25-I24</f>
        <v>77000</v>
      </c>
      <c r="J26" s="100">
        <f t="shared" si="12"/>
        <v>-215000</v>
      </c>
      <c r="K26" s="101">
        <f t="shared" si="12"/>
        <v>-215000</v>
      </c>
      <c r="L26" s="99">
        <f t="shared" si="12"/>
        <v>-215000</v>
      </c>
      <c r="M26" s="100">
        <f t="shared" si="12"/>
        <v>-215000</v>
      </c>
      <c r="N26" s="101">
        <f t="shared" si="12"/>
        <v>-215000</v>
      </c>
      <c r="O26" s="99">
        <f t="shared" si="12"/>
        <v>-215000</v>
      </c>
      <c r="P26" s="100">
        <f t="shared" si="12"/>
        <v>-215000</v>
      </c>
      <c r="Q26" s="101">
        <f t="shared" si="12"/>
        <v>-215000</v>
      </c>
      <c r="R26" s="99">
        <f t="shared" si="12"/>
        <v>-215000</v>
      </c>
      <c r="S26" s="100">
        <f t="shared" si="12"/>
        <v>-215000</v>
      </c>
    </row>
    <row r="27" spans="2:19" ht="17.100000000000001" customHeight="1">
      <c r="B27" s="347" t="s">
        <v>67</v>
      </c>
      <c r="C27" s="88" t="s">
        <v>58</v>
      </c>
      <c r="D27" s="102"/>
      <c r="E27" s="103"/>
      <c r="F27" s="104"/>
      <c r="G27" s="105"/>
      <c r="H27" s="106"/>
      <c r="I27" s="107"/>
      <c r="J27" s="108"/>
      <c r="K27" s="109"/>
      <c r="L27" s="107"/>
      <c r="M27" s="108"/>
      <c r="N27" s="109"/>
      <c r="O27" s="107"/>
      <c r="P27" s="108"/>
      <c r="Q27" s="109"/>
      <c r="R27" s="107"/>
      <c r="S27" s="108"/>
    </row>
    <row r="28" spans="2:19" ht="17.100000000000001" customHeight="1">
      <c r="B28" s="347"/>
      <c r="C28" s="70" t="s">
        <v>59</v>
      </c>
      <c r="D28" s="71"/>
      <c r="E28" s="72"/>
      <c r="F28" s="73"/>
      <c r="G28" s="74"/>
      <c r="H28" s="75"/>
      <c r="I28" s="76"/>
      <c r="J28" s="77"/>
      <c r="K28" s="78"/>
      <c r="L28" s="76"/>
      <c r="M28" s="77"/>
      <c r="N28" s="78"/>
      <c r="O28" s="76"/>
      <c r="P28" s="77"/>
      <c r="Q28" s="78"/>
      <c r="R28" s="76"/>
      <c r="S28" s="77"/>
    </row>
    <row r="29" spans="2:19" ht="17.100000000000001" customHeight="1">
      <c r="B29" s="347"/>
      <c r="C29" s="97" t="s">
        <v>60</v>
      </c>
      <c r="D29" s="80">
        <f t="shared" ref="D29:G29" si="13">+D28-D27</f>
        <v>0</v>
      </c>
      <c r="E29" s="81">
        <f t="shared" si="13"/>
        <v>0</v>
      </c>
      <c r="F29" s="82">
        <f t="shared" si="13"/>
        <v>0</v>
      </c>
      <c r="G29" s="83">
        <f t="shared" si="13"/>
        <v>0</v>
      </c>
      <c r="H29" s="98">
        <f>+H28-H27</f>
        <v>0</v>
      </c>
      <c r="I29" s="99">
        <f t="shared" ref="I29:S29" si="14">+I28-I27</f>
        <v>0</v>
      </c>
      <c r="J29" s="100">
        <f t="shared" si="14"/>
        <v>0</v>
      </c>
      <c r="K29" s="101">
        <f t="shared" si="14"/>
        <v>0</v>
      </c>
      <c r="L29" s="99">
        <f t="shared" si="14"/>
        <v>0</v>
      </c>
      <c r="M29" s="100">
        <f t="shared" si="14"/>
        <v>0</v>
      </c>
      <c r="N29" s="101">
        <f t="shared" si="14"/>
        <v>0</v>
      </c>
      <c r="O29" s="99">
        <f t="shared" si="14"/>
        <v>0</v>
      </c>
      <c r="P29" s="100">
        <f t="shared" si="14"/>
        <v>0</v>
      </c>
      <c r="Q29" s="101">
        <f t="shared" si="14"/>
        <v>0</v>
      </c>
      <c r="R29" s="99">
        <f t="shared" si="14"/>
        <v>0</v>
      </c>
      <c r="S29" s="100">
        <f t="shared" si="14"/>
        <v>0</v>
      </c>
    </row>
    <row r="30" spans="2:19" ht="17.100000000000001" customHeight="1">
      <c r="B30" s="346" t="s">
        <v>68</v>
      </c>
      <c r="C30" s="88" t="s">
        <v>58</v>
      </c>
      <c r="D30" s="89"/>
      <c r="E30" s="90"/>
      <c r="F30" s="91"/>
      <c r="G30" s="92"/>
      <c r="H30" s="93"/>
      <c r="I30" s="94"/>
      <c r="J30" s="95"/>
      <c r="K30" s="96"/>
      <c r="L30" s="94"/>
      <c r="M30" s="95"/>
      <c r="N30" s="96"/>
      <c r="O30" s="94"/>
      <c r="P30" s="95"/>
      <c r="Q30" s="96"/>
      <c r="R30" s="94"/>
      <c r="S30" s="95"/>
    </row>
    <row r="31" spans="2:19" ht="17.100000000000001" customHeight="1">
      <c r="B31" s="347"/>
      <c r="C31" s="70" t="s">
        <v>59</v>
      </c>
      <c r="D31" s="71"/>
      <c r="E31" s="72"/>
      <c r="F31" s="73"/>
      <c r="G31" s="74"/>
      <c r="H31" s="75"/>
      <c r="I31" s="76"/>
      <c r="J31" s="77"/>
      <c r="K31" s="78"/>
      <c r="L31" s="76"/>
      <c r="M31" s="77"/>
      <c r="N31" s="78"/>
      <c r="O31" s="76"/>
      <c r="P31" s="77"/>
      <c r="Q31" s="78"/>
      <c r="R31" s="76"/>
      <c r="S31" s="77"/>
    </row>
    <row r="32" spans="2:19" ht="17.100000000000001" customHeight="1">
      <c r="B32" s="348"/>
      <c r="C32" s="97" t="s">
        <v>60</v>
      </c>
      <c r="D32" s="80">
        <f t="shared" ref="D32:G32" si="15">+D31-D30</f>
        <v>0</v>
      </c>
      <c r="E32" s="81">
        <f t="shared" si="15"/>
        <v>0</v>
      </c>
      <c r="F32" s="82">
        <f t="shared" si="15"/>
        <v>0</v>
      </c>
      <c r="G32" s="83">
        <f t="shared" si="15"/>
        <v>0</v>
      </c>
      <c r="H32" s="98">
        <f>+H31-H30</f>
        <v>0</v>
      </c>
      <c r="I32" s="99">
        <f t="shared" ref="I32:S32" si="16">+I31-I30</f>
        <v>0</v>
      </c>
      <c r="J32" s="100">
        <f t="shared" si="16"/>
        <v>0</v>
      </c>
      <c r="K32" s="101">
        <f t="shared" si="16"/>
        <v>0</v>
      </c>
      <c r="L32" s="99">
        <f t="shared" si="16"/>
        <v>0</v>
      </c>
      <c r="M32" s="100">
        <f t="shared" si="16"/>
        <v>0</v>
      </c>
      <c r="N32" s="101">
        <f t="shared" si="16"/>
        <v>0</v>
      </c>
      <c r="O32" s="99">
        <f t="shared" si="16"/>
        <v>0</v>
      </c>
      <c r="P32" s="100">
        <f t="shared" si="16"/>
        <v>0</v>
      </c>
      <c r="Q32" s="101">
        <f t="shared" si="16"/>
        <v>0</v>
      </c>
      <c r="R32" s="99">
        <f t="shared" si="16"/>
        <v>0</v>
      </c>
      <c r="S32" s="100">
        <f t="shared" si="16"/>
        <v>0</v>
      </c>
    </row>
    <row r="33" spans="2:19" ht="17.100000000000001" customHeight="1">
      <c r="B33" s="346" t="s">
        <v>69</v>
      </c>
      <c r="C33" s="88" t="s">
        <v>58</v>
      </c>
      <c r="D33" s="89"/>
      <c r="E33" s="90"/>
      <c r="F33" s="91"/>
      <c r="G33" s="92"/>
      <c r="H33" s="93"/>
      <c r="I33" s="94"/>
      <c r="J33" s="95"/>
      <c r="K33" s="96"/>
      <c r="L33" s="94"/>
      <c r="M33" s="95"/>
      <c r="N33" s="96"/>
      <c r="O33" s="94"/>
      <c r="P33" s="95"/>
      <c r="Q33" s="96"/>
      <c r="R33" s="94"/>
      <c r="S33" s="95"/>
    </row>
    <row r="34" spans="2:19" ht="17.100000000000001" customHeight="1">
      <c r="B34" s="347"/>
      <c r="C34" s="70" t="s">
        <v>59</v>
      </c>
      <c r="D34" s="71"/>
      <c r="E34" s="72"/>
      <c r="F34" s="73"/>
      <c r="G34" s="74"/>
      <c r="H34" s="75"/>
      <c r="I34" s="76"/>
      <c r="J34" s="77"/>
      <c r="K34" s="78"/>
      <c r="L34" s="76"/>
      <c r="M34" s="77"/>
      <c r="N34" s="78"/>
      <c r="O34" s="76"/>
      <c r="P34" s="77"/>
      <c r="Q34" s="78"/>
      <c r="R34" s="76"/>
      <c r="S34" s="77"/>
    </row>
    <row r="35" spans="2:19" ht="17.100000000000001" customHeight="1">
      <c r="B35" s="348"/>
      <c r="C35" s="97" t="s">
        <v>60</v>
      </c>
      <c r="D35" s="80">
        <f t="shared" ref="D35:G35" si="17">+D34-D33</f>
        <v>0</v>
      </c>
      <c r="E35" s="81">
        <f t="shared" si="17"/>
        <v>0</v>
      </c>
      <c r="F35" s="82">
        <f t="shared" si="17"/>
        <v>0</v>
      </c>
      <c r="G35" s="83">
        <f t="shared" si="17"/>
        <v>0</v>
      </c>
      <c r="H35" s="98">
        <f>+H34-H33</f>
        <v>0</v>
      </c>
      <c r="I35" s="99">
        <f t="shared" ref="I35:S35" si="18">+I34-I33</f>
        <v>0</v>
      </c>
      <c r="J35" s="100">
        <f t="shared" si="18"/>
        <v>0</v>
      </c>
      <c r="K35" s="101">
        <f t="shared" si="18"/>
        <v>0</v>
      </c>
      <c r="L35" s="99">
        <f t="shared" si="18"/>
        <v>0</v>
      </c>
      <c r="M35" s="100">
        <f t="shared" si="18"/>
        <v>0</v>
      </c>
      <c r="N35" s="101">
        <f t="shared" si="18"/>
        <v>0</v>
      </c>
      <c r="O35" s="99">
        <f t="shared" si="18"/>
        <v>0</v>
      </c>
      <c r="P35" s="100">
        <f t="shared" si="18"/>
        <v>0</v>
      </c>
      <c r="Q35" s="101">
        <f t="shared" si="18"/>
        <v>0</v>
      </c>
      <c r="R35" s="99">
        <f t="shared" si="18"/>
        <v>0</v>
      </c>
      <c r="S35" s="100">
        <f t="shared" si="18"/>
        <v>0</v>
      </c>
    </row>
    <row r="36" spans="2:19" ht="17.100000000000001" customHeight="1">
      <c r="B36" s="346" t="s">
        <v>70</v>
      </c>
      <c r="C36" s="88" t="s">
        <v>58</v>
      </c>
      <c r="D36" s="89"/>
      <c r="E36" s="90"/>
      <c r="F36" s="91"/>
      <c r="G36" s="92"/>
      <c r="H36" s="93"/>
      <c r="I36" s="94"/>
      <c r="J36" s="95"/>
      <c r="K36" s="96"/>
      <c r="L36" s="94"/>
      <c r="M36" s="95"/>
      <c r="N36" s="96"/>
      <c r="O36" s="94"/>
      <c r="P36" s="95"/>
      <c r="Q36" s="96"/>
      <c r="R36" s="94"/>
      <c r="S36" s="95"/>
    </row>
    <row r="37" spans="2:19" ht="17.100000000000001" customHeight="1">
      <c r="B37" s="347"/>
      <c r="C37" s="70" t="s">
        <v>59</v>
      </c>
      <c r="D37" s="71"/>
      <c r="E37" s="72"/>
      <c r="F37" s="73"/>
      <c r="G37" s="74"/>
      <c r="H37" s="75"/>
      <c r="I37" s="76"/>
      <c r="J37" s="77"/>
      <c r="K37" s="78"/>
      <c r="L37" s="76"/>
      <c r="M37" s="77"/>
      <c r="N37" s="78"/>
      <c r="O37" s="76"/>
      <c r="P37" s="77"/>
      <c r="Q37" s="78"/>
      <c r="R37" s="76"/>
      <c r="S37" s="77"/>
    </row>
    <row r="38" spans="2:19" ht="17.100000000000001" customHeight="1">
      <c r="B38" s="348"/>
      <c r="C38" s="97" t="s">
        <v>60</v>
      </c>
      <c r="D38" s="80">
        <f t="shared" ref="D38:G38" si="19">+D37-D36</f>
        <v>0</v>
      </c>
      <c r="E38" s="81">
        <f t="shared" si="19"/>
        <v>0</v>
      </c>
      <c r="F38" s="82">
        <f t="shared" si="19"/>
        <v>0</v>
      </c>
      <c r="G38" s="83">
        <f t="shared" si="19"/>
        <v>0</v>
      </c>
      <c r="H38" s="98">
        <f>+H37-H36</f>
        <v>0</v>
      </c>
      <c r="I38" s="99">
        <f t="shared" ref="I38:S38" si="20">+I37-I36</f>
        <v>0</v>
      </c>
      <c r="J38" s="100">
        <f t="shared" si="20"/>
        <v>0</v>
      </c>
      <c r="K38" s="101">
        <f t="shared" si="20"/>
        <v>0</v>
      </c>
      <c r="L38" s="99">
        <f t="shared" si="20"/>
        <v>0</v>
      </c>
      <c r="M38" s="100">
        <f t="shared" si="20"/>
        <v>0</v>
      </c>
      <c r="N38" s="101">
        <f t="shared" si="20"/>
        <v>0</v>
      </c>
      <c r="O38" s="99">
        <f t="shared" si="20"/>
        <v>0</v>
      </c>
      <c r="P38" s="100">
        <f t="shared" si="20"/>
        <v>0</v>
      </c>
      <c r="Q38" s="101">
        <f t="shared" si="20"/>
        <v>0</v>
      </c>
      <c r="R38" s="99">
        <f t="shared" si="20"/>
        <v>0</v>
      </c>
      <c r="S38" s="100">
        <f t="shared" si="20"/>
        <v>0</v>
      </c>
    </row>
    <row r="39" spans="2:19" ht="17.100000000000001" customHeight="1">
      <c r="B39" s="346" t="s">
        <v>71</v>
      </c>
      <c r="C39" s="88" t="s">
        <v>58</v>
      </c>
      <c r="D39" s="89"/>
      <c r="E39" s="90"/>
      <c r="F39" s="91"/>
      <c r="G39" s="92"/>
      <c r="H39" s="93"/>
      <c r="I39" s="94"/>
      <c r="J39" s="95"/>
      <c r="K39" s="96"/>
      <c r="L39" s="94"/>
      <c r="M39" s="95"/>
      <c r="N39" s="96"/>
      <c r="O39" s="94"/>
      <c r="P39" s="95"/>
      <c r="Q39" s="96"/>
      <c r="R39" s="94"/>
      <c r="S39" s="95"/>
    </row>
    <row r="40" spans="2:19" ht="17.100000000000001" customHeight="1">
      <c r="B40" s="347"/>
      <c r="C40" s="70" t="s">
        <v>59</v>
      </c>
      <c r="D40" s="71"/>
      <c r="E40" s="72"/>
      <c r="F40" s="73"/>
      <c r="G40" s="74"/>
      <c r="H40" s="75"/>
      <c r="I40" s="76"/>
      <c r="J40" s="77"/>
      <c r="K40" s="78"/>
      <c r="L40" s="76"/>
      <c r="M40" s="77"/>
      <c r="N40" s="78"/>
      <c r="O40" s="76"/>
      <c r="P40" s="77"/>
      <c r="Q40" s="78"/>
      <c r="R40" s="76"/>
      <c r="S40" s="77"/>
    </row>
    <row r="41" spans="2:19" ht="17.100000000000001" customHeight="1">
      <c r="B41" s="348"/>
      <c r="C41" s="97" t="s">
        <v>60</v>
      </c>
      <c r="D41" s="80">
        <f t="shared" ref="D41:G41" si="21">+D40-D39</f>
        <v>0</v>
      </c>
      <c r="E41" s="81">
        <f t="shared" si="21"/>
        <v>0</v>
      </c>
      <c r="F41" s="82">
        <f t="shared" si="21"/>
        <v>0</v>
      </c>
      <c r="G41" s="83">
        <f t="shared" si="21"/>
        <v>0</v>
      </c>
      <c r="H41" s="98">
        <f>+H40-H39</f>
        <v>0</v>
      </c>
      <c r="I41" s="99">
        <f t="shared" ref="I41:S41" si="22">+I40-I39</f>
        <v>0</v>
      </c>
      <c r="J41" s="100">
        <f t="shared" si="22"/>
        <v>0</v>
      </c>
      <c r="K41" s="101">
        <f t="shared" si="22"/>
        <v>0</v>
      </c>
      <c r="L41" s="99">
        <f t="shared" si="22"/>
        <v>0</v>
      </c>
      <c r="M41" s="100">
        <f t="shared" si="22"/>
        <v>0</v>
      </c>
      <c r="N41" s="101">
        <f t="shared" si="22"/>
        <v>0</v>
      </c>
      <c r="O41" s="99">
        <f t="shared" si="22"/>
        <v>0</v>
      </c>
      <c r="P41" s="100">
        <f t="shared" si="22"/>
        <v>0</v>
      </c>
      <c r="Q41" s="101">
        <f t="shared" si="22"/>
        <v>0</v>
      </c>
      <c r="R41" s="99">
        <f t="shared" si="22"/>
        <v>0</v>
      </c>
      <c r="S41" s="100">
        <f t="shared" si="22"/>
        <v>0</v>
      </c>
    </row>
    <row r="42" spans="2:19" ht="17.100000000000001" customHeight="1">
      <c r="B42" s="346" t="s">
        <v>72</v>
      </c>
      <c r="C42" s="88" t="s">
        <v>58</v>
      </c>
      <c r="D42" s="102"/>
      <c r="E42" s="103"/>
      <c r="F42" s="104"/>
      <c r="G42" s="105"/>
      <c r="H42" s="106"/>
      <c r="I42" s="107"/>
      <c r="J42" s="108"/>
      <c r="K42" s="109"/>
      <c r="L42" s="107"/>
      <c r="M42" s="108"/>
      <c r="N42" s="109"/>
      <c r="O42" s="107"/>
      <c r="P42" s="108"/>
      <c r="Q42" s="109"/>
      <c r="R42" s="107"/>
      <c r="S42" s="108"/>
    </row>
    <row r="43" spans="2:19" ht="17.100000000000001" customHeight="1">
      <c r="B43" s="347"/>
      <c r="C43" s="70" t="s">
        <v>59</v>
      </c>
      <c r="D43" s="71"/>
      <c r="E43" s="72"/>
      <c r="F43" s="73"/>
      <c r="G43" s="74"/>
      <c r="H43" s="75"/>
      <c r="I43" s="76"/>
      <c r="J43" s="77"/>
      <c r="K43" s="78"/>
      <c r="L43" s="76"/>
      <c r="M43" s="77"/>
      <c r="N43" s="78"/>
      <c r="O43" s="76"/>
      <c r="P43" s="77"/>
      <c r="Q43" s="78"/>
      <c r="R43" s="76"/>
      <c r="S43" s="77"/>
    </row>
    <row r="44" spans="2:19" ht="17.100000000000001" customHeight="1">
      <c r="B44" s="347"/>
      <c r="C44" s="97" t="s">
        <v>60</v>
      </c>
      <c r="D44" s="110">
        <v>0</v>
      </c>
      <c r="E44" s="111">
        <v>0</v>
      </c>
      <c r="F44" s="112">
        <v>0</v>
      </c>
      <c r="G44" s="113">
        <v>0</v>
      </c>
      <c r="H44" s="84">
        <v>0</v>
      </c>
      <c r="I44" s="85">
        <v>0</v>
      </c>
      <c r="J44" s="86">
        <v>0</v>
      </c>
      <c r="K44" s="87">
        <v>0</v>
      </c>
      <c r="L44" s="85">
        <v>0</v>
      </c>
      <c r="M44" s="86">
        <v>0</v>
      </c>
      <c r="N44" s="87">
        <v>0</v>
      </c>
      <c r="O44" s="85">
        <v>0</v>
      </c>
      <c r="P44" s="86">
        <v>0</v>
      </c>
      <c r="Q44" s="87">
        <v>0</v>
      </c>
      <c r="R44" s="85">
        <v>0</v>
      </c>
      <c r="S44" s="86">
        <v>0</v>
      </c>
    </row>
    <row r="45" spans="2:19" ht="17.100000000000001" customHeight="1">
      <c r="B45" s="346" t="s">
        <v>73</v>
      </c>
      <c r="C45" s="88" t="s">
        <v>58</v>
      </c>
      <c r="D45" s="89"/>
      <c r="E45" s="90"/>
      <c r="F45" s="91"/>
      <c r="G45" s="92"/>
      <c r="H45" s="93"/>
      <c r="I45" s="94"/>
      <c r="J45" s="95"/>
      <c r="K45" s="96"/>
      <c r="L45" s="94"/>
      <c r="M45" s="95"/>
      <c r="N45" s="96"/>
      <c r="O45" s="94"/>
      <c r="P45" s="95"/>
      <c r="Q45" s="96"/>
      <c r="R45" s="94"/>
      <c r="S45" s="95"/>
    </row>
    <row r="46" spans="2:19" ht="17.100000000000001" customHeight="1">
      <c r="B46" s="347"/>
      <c r="C46" s="70" t="s">
        <v>59</v>
      </c>
      <c r="D46" s="71"/>
      <c r="E46" s="72"/>
      <c r="F46" s="73"/>
      <c r="G46" s="74"/>
      <c r="H46" s="75"/>
      <c r="I46" s="76"/>
      <c r="J46" s="77"/>
      <c r="K46" s="78"/>
      <c r="L46" s="76"/>
      <c r="M46" s="77"/>
      <c r="N46" s="78"/>
      <c r="O46" s="76"/>
      <c r="P46" s="77"/>
      <c r="Q46" s="78"/>
      <c r="R46" s="76"/>
      <c r="S46" s="77"/>
    </row>
    <row r="47" spans="2:19" ht="17.100000000000001" customHeight="1">
      <c r="B47" s="348"/>
      <c r="C47" s="97" t="s">
        <v>60</v>
      </c>
      <c r="D47" s="80">
        <f t="shared" ref="D47:G47" si="23">+D46-D45</f>
        <v>0</v>
      </c>
      <c r="E47" s="81">
        <f t="shared" si="23"/>
        <v>0</v>
      </c>
      <c r="F47" s="82">
        <f t="shared" si="23"/>
        <v>0</v>
      </c>
      <c r="G47" s="83">
        <f t="shared" si="23"/>
        <v>0</v>
      </c>
      <c r="H47" s="98">
        <f>+H46-H45</f>
        <v>0</v>
      </c>
      <c r="I47" s="99">
        <f t="shared" ref="I47:S47" si="24">+I46-I45</f>
        <v>0</v>
      </c>
      <c r="J47" s="100">
        <f t="shared" si="24"/>
        <v>0</v>
      </c>
      <c r="K47" s="101">
        <f t="shared" si="24"/>
        <v>0</v>
      </c>
      <c r="L47" s="99">
        <f t="shared" si="24"/>
        <v>0</v>
      </c>
      <c r="M47" s="100">
        <f t="shared" si="24"/>
        <v>0</v>
      </c>
      <c r="N47" s="101">
        <f t="shared" si="24"/>
        <v>0</v>
      </c>
      <c r="O47" s="99">
        <f t="shared" si="24"/>
        <v>0</v>
      </c>
      <c r="P47" s="100">
        <f t="shared" si="24"/>
        <v>0</v>
      </c>
      <c r="Q47" s="101">
        <f t="shared" si="24"/>
        <v>0</v>
      </c>
      <c r="R47" s="99">
        <f t="shared" si="24"/>
        <v>0</v>
      </c>
      <c r="S47" s="100">
        <f t="shared" si="24"/>
        <v>0</v>
      </c>
    </row>
    <row r="48" spans="2:19" ht="17.100000000000001" customHeight="1">
      <c r="B48" s="347" t="s">
        <v>74</v>
      </c>
      <c r="C48" s="88" t="s">
        <v>58</v>
      </c>
      <c r="D48" s="102"/>
      <c r="E48" s="103"/>
      <c r="F48" s="104"/>
      <c r="G48" s="105"/>
      <c r="H48" s="106"/>
      <c r="I48" s="107"/>
      <c r="J48" s="108"/>
      <c r="K48" s="109"/>
      <c r="L48" s="107"/>
      <c r="M48" s="108"/>
      <c r="N48" s="109"/>
      <c r="O48" s="107"/>
      <c r="P48" s="108"/>
      <c r="Q48" s="109"/>
      <c r="R48" s="107"/>
      <c r="S48" s="108"/>
    </row>
    <row r="49" spans="2:19" ht="17.100000000000001" customHeight="1">
      <c r="B49" s="347"/>
      <c r="C49" s="70" t="s">
        <v>59</v>
      </c>
      <c r="D49" s="71"/>
      <c r="E49" s="72"/>
      <c r="F49" s="73"/>
      <c r="G49" s="74"/>
      <c r="H49" s="75"/>
      <c r="I49" s="76"/>
      <c r="J49" s="77"/>
      <c r="K49" s="78"/>
      <c r="L49" s="76"/>
      <c r="M49" s="77"/>
      <c r="N49" s="78"/>
      <c r="O49" s="76"/>
      <c r="P49" s="77"/>
      <c r="Q49" s="78"/>
      <c r="R49" s="76"/>
      <c r="S49" s="77"/>
    </row>
    <row r="50" spans="2:19" ht="17.100000000000001" customHeight="1" thickBot="1">
      <c r="B50" s="347"/>
      <c r="C50" s="79" t="s">
        <v>60</v>
      </c>
      <c r="D50" s="114">
        <f t="shared" ref="D50:G50" si="25">+D49-D48</f>
        <v>0</v>
      </c>
      <c r="E50" s="115">
        <f t="shared" si="25"/>
        <v>0</v>
      </c>
      <c r="F50" s="116">
        <f t="shared" si="25"/>
        <v>0</v>
      </c>
      <c r="G50" s="117">
        <f t="shared" si="25"/>
        <v>0</v>
      </c>
      <c r="H50" s="118">
        <f>+H49-H48</f>
        <v>0</v>
      </c>
      <c r="I50" s="119">
        <f t="shared" ref="I50:S50" si="26">+I49-I48</f>
        <v>0</v>
      </c>
      <c r="J50" s="120">
        <f t="shared" si="26"/>
        <v>0</v>
      </c>
      <c r="K50" s="121">
        <f t="shared" si="26"/>
        <v>0</v>
      </c>
      <c r="L50" s="119">
        <f t="shared" si="26"/>
        <v>0</v>
      </c>
      <c r="M50" s="120">
        <f t="shared" si="26"/>
        <v>0</v>
      </c>
      <c r="N50" s="121">
        <f t="shared" si="26"/>
        <v>0</v>
      </c>
      <c r="O50" s="119">
        <f t="shared" si="26"/>
        <v>0</v>
      </c>
      <c r="P50" s="120">
        <f t="shared" si="26"/>
        <v>0</v>
      </c>
      <c r="Q50" s="121">
        <f t="shared" si="26"/>
        <v>0</v>
      </c>
      <c r="R50" s="119">
        <f t="shared" si="26"/>
        <v>0</v>
      </c>
      <c r="S50" s="120">
        <f t="shared" si="26"/>
        <v>0</v>
      </c>
    </row>
    <row r="51" spans="2:19" ht="17.100000000000001" customHeight="1">
      <c r="B51" s="349" t="s">
        <v>75</v>
      </c>
      <c r="C51" s="122" t="s">
        <v>58</v>
      </c>
      <c r="D51" s="123">
        <f>+D6+D9+D12+D15+D18+D21+D24+D27+D30+D33+D36+D39+D42+D45+D48</f>
        <v>1541500</v>
      </c>
      <c r="E51" s="124">
        <f t="shared" ref="E51:S52" si="27">+E6+E9+E12+E15+E18+E21+E24+E27+E30+E33+E36+E39+E42+E45+E48</f>
        <v>2055000</v>
      </c>
      <c r="F51" s="124">
        <f t="shared" si="27"/>
        <v>2826000</v>
      </c>
      <c r="G51" s="125">
        <f t="shared" si="27"/>
        <v>2826000</v>
      </c>
      <c r="H51" s="126">
        <f t="shared" si="27"/>
        <v>921000</v>
      </c>
      <c r="I51" s="124">
        <f t="shared" si="27"/>
        <v>921000</v>
      </c>
      <c r="J51" s="127">
        <f t="shared" si="27"/>
        <v>3722000</v>
      </c>
      <c r="K51" s="123">
        <f t="shared" si="27"/>
        <v>3722000</v>
      </c>
      <c r="L51" s="124">
        <f t="shared" si="27"/>
        <v>3722000</v>
      </c>
      <c r="M51" s="125">
        <f t="shared" si="27"/>
        <v>3722000</v>
      </c>
      <c r="N51" s="126">
        <f t="shared" si="27"/>
        <v>4408000</v>
      </c>
      <c r="O51" s="124">
        <f t="shared" si="27"/>
        <v>4408000</v>
      </c>
      <c r="P51" s="127">
        <f t="shared" si="27"/>
        <v>4408000</v>
      </c>
      <c r="Q51" s="123">
        <f t="shared" si="27"/>
        <v>4408000</v>
      </c>
      <c r="R51" s="124">
        <f t="shared" si="27"/>
        <v>4408000</v>
      </c>
      <c r="S51" s="125">
        <f t="shared" si="27"/>
        <v>4408000</v>
      </c>
    </row>
    <row r="52" spans="2:19" ht="17.100000000000001" customHeight="1">
      <c r="B52" s="350"/>
      <c r="C52" s="70" t="s">
        <v>59</v>
      </c>
      <c r="D52" s="128">
        <f>+D7+D10+D13+D16+D19+D22+D25+D28+D31+D34+D37+D40+D43+D46+D49</f>
        <v>1439500</v>
      </c>
      <c r="E52" s="129">
        <f t="shared" si="27"/>
        <v>1470400</v>
      </c>
      <c r="F52" s="129">
        <f t="shared" si="27"/>
        <v>1470400</v>
      </c>
      <c r="G52" s="130">
        <f t="shared" si="27"/>
        <v>1470400</v>
      </c>
      <c r="H52" s="131">
        <f t="shared" si="27"/>
        <v>1470400</v>
      </c>
      <c r="I52" s="129">
        <f t="shared" si="27"/>
        <v>1470400</v>
      </c>
      <c r="J52" s="132">
        <f t="shared" si="27"/>
        <v>1470400</v>
      </c>
      <c r="K52" s="128">
        <f t="shared" si="27"/>
        <v>1470400</v>
      </c>
      <c r="L52" s="129">
        <f t="shared" si="27"/>
        <v>1470400</v>
      </c>
      <c r="M52" s="130">
        <f t="shared" si="27"/>
        <v>1470400</v>
      </c>
      <c r="N52" s="131">
        <f t="shared" si="27"/>
        <v>1470400</v>
      </c>
      <c r="O52" s="129">
        <f t="shared" si="27"/>
        <v>1470400</v>
      </c>
      <c r="P52" s="132">
        <f t="shared" si="27"/>
        <v>1470400</v>
      </c>
      <c r="Q52" s="128">
        <f t="shared" si="27"/>
        <v>1470400</v>
      </c>
      <c r="R52" s="129">
        <f t="shared" si="27"/>
        <v>1470400</v>
      </c>
      <c r="S52" s="130">
        <f t="shared" si="27"/>
        <v>1470400</v>
      </c>
    </row>
    <row r="53" spans="2:19" ht="17.100000000000001" customHeight="1" thickBot="1">
      <c r="B53" s="351"/>
      <c r="C53" s="133" t="s">
        <v>60</v>
      </c>
      <c r="D53" s="121">
        <f t="shared" ref="D53:S53" si="28">+D52-D51</f>
        <v>-102000</v>
      </c>
      <c r="E53" s="119">
        <f t="shared" si="28"/>
        <v>-584600</v>
      </c>
      <c r="F53" s="119">
        <f t="shared" si="28"/>
        <v>-1355600</v>
      </c>
      <c r="G53" s="120">
        <f t="shared" si="28"/>
        <v>-1355600</v>
      </c>
      <c r="H53" s="118">
        <f t="shared" si="28"/>
        <v>549400</v>
      </c>
      <c r="I53" s="119">
        <f t="shared" si="28"/>
        <v>549400</v>
      </c>
      <c r="J53" s="120">
        <f t="shared" si="28"/>
        <v>-2251600</v>
      </c>
      <c r="K53" s="121">
        <f t="shared" si="28"/>
        <v>-2251600</v>
      </c>
      <c r="L53" s="119">
        <f t="shared" si="28"/>
        <v>-2251600</v>
      </c>
      <c r="M53" s="120">
        <f t="shared" si="28"/>
        <v>-2251600</v>
      </c>
      <c r="N53" s="121">
        <f t="shared" si="28"/>
        <v>-2937600</v>
      </c>
      <c r="O53" s="119">
        <f t="shared" si="28"/>
        <v>-2937600</v>
      </c>
      <c r="P53" s="120">
        <f t="shared" si="28"/>
        <v>-2937600</v>
      </c>
      <c r="Q53" s="121">
        <f t="shared" si="28"/>
        <v>-2937600</v>
      </c>
      <c r="R53" s="119">
        <f t="shared" si="28"/>
        <v>-2937600</v>
      </c>
      <c r="S53" s="120">
        <f t="shared" si="28"/>
        <v>-2937600</v>
      </c>
    </row>
    <row r="54" spans="2:19" ht="17.100000000000001" customHeight="1" thickBot="1"/>
    <row r="55" spans="2:19" ht="17.100000000000001" customHeight="1">
      <c r="L55" s="338" t="s">
        <v>76</v>
      </c>
      <c r="M55" s="352"/>
      <c r="N55" s="352"/>
      <c r="O55" s="352"/>
      <c r="P55" s="352"/>
      <c r="Q55" s="339"/>
      <c r="R55" s="338" t="s">
        <v>77</v>
      </c>
      <c r="S55" s="339"/>
    </row>
    <row r="56" spans="2:19" ht="17.100000000000001" customHeight="1">
      <c r="L56" s="135"/>
      <c r="M56" s="136"/>
      <c r="N56" s="136"/>
      <c r="O56" s="136"/>
      <c r="P56" s="136"/>
      <c r="Q56" s="137"/>
      <c r="R56" s="340"/>
      <c r="S56" s="343"/>
    </row>
    <row r="57" spans="2:19" ht="17.100000000000001" customHeight="1">
      <c r="L57" s="138"/>
      <c r="M57" s="139"/>
      <c r="N57" s="139"/>
      <c r="O57" s="139"/>
      <c r="P57" s="139"/>
      <c r="Q57" s="140"/>
      <c r="R57" s="341"/>
      <c r="S57" s="344"/>
    </row>
    <row r="58" spans="2:19" ht="17.100000000000001" customHeight="1">
      <c r="L58" s="141"/>
      <c r="M58" s="142"/>
      <c r="N58" s="142"/>
      <c r="O58" s="142"/>
      <c r="P58" s="142"/>
      <c r="Q58" s="143"/>
      <c r="R58" s="342"/>
      <c r="S58" s="345"/>
    </row>
    <row r="59" spans="2:19" ht="17.100000000000001" customHeight="1" thickBot="1">
      <c r="L59" s="144" t="s">
        <v>78</v>
      </c>
      <c r="M59" s="145" t="s">
        <v>79</v>
      </c>
      <c r="N59" s="145" t="s">
        <v>80</v>
      </c>
      <c r="O59" s="145" t="s">
        <v>81</v>
      </c>
      <c r="P59" s="145" t="s">
        <v>82</v>
      </c>
      <c r="Q59" s="146" t="s">
        <v>83</v>
      </c>
      <c r="R59" s="147" t="s">
        <v>84</v>
      </c>
      <c r="S59" s="148" t="s">
        <v>85</v>
      </c>
    </row>
  </sheetData>
  <mergeCells count="27">
    <mergeCell ref="B1:M2"/>
    <mergeCell ref="B4:C5"/>
    <mergeCell ref="D4:G4"/>
    <mergeCell ref="H4:J4"/>
    <mergeCell ref="K4:M4"/>
    <mergeCell ref="B36:B38"/>
    <mergeCell ref="Q4:S4"/>
    <mergeCell ref="B6:B8"/>
    <mergeCell ref="B9:B11"/>
    <mergeCell ref="B12:B14"/>
    <mergeCell ref="B15:B17"/>
    <mergeCell ref="B18:B20"/>
    <mergeCell ref="N4:P4"/>
    <mergeCell ref="B21:B23"/>
    <mergeCell ref="B24:B26"/>
    <mergeCell ref="B27:B29"/>
    <mergeCell ref="B30:B32"/>
    <mergeCell ref="B33:B35"/>
    <mergeCell ref="R55:S55"/>
    <mergeCell ref="R56:R58"/>
    <mergeCell ref="S56:S58"/>
    <mergeCell ref="B39:B41"/>
    <mergeCell ref="B42:B44"/>
    <mergeCell ref="B45:B47"/>
    <mergeCell ref="B48:B50"/>
    <mergeCell ref="B51:B53"/>
    <mergeCell ref="L55:Q55"/>
  </mergeCells>
  <printOptions horizontalCentered="1"/>
  <pageMargins left="0" right="0" top="0.39370078740157483" bottom="0" header="0.31496062992125984" footer="0"/>
  <pageSetup paperSize="9" scale="54" orientation="landscape" verticalDpi="300" r:id="rId1"/>
  <headerFooter>
    <oddFooter>&amp;L&amp;D&amp;C&amp;N&amp;R&amp;F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107"/>
  <sheetViews>
    <sheetView tabSelected="1" topLeftCell="A34" zoomScale="55" zoomScaleNormal="55" workbookViewId="0">
      <selection activeCell="AU41" sqref="AU41"/>
    </sheetView>
  </sheetViews>
  <sheetFormatPr defaultRowHeight="27" customHeight="1"/>
  <cols>
    <col min="1" max="1" width="1.85546875" style="233" customWidth="1"/>
    <col min="2" max="3" width="6.7109375" style="226" customWidth="1"/>
    <col min="4" max="4" width="9.140625" style="226" customWidth="1"/>
    <col min="5" max="5" width="6.7109375" style="227" customWidth="1"/>
    <col min="6" max="44" width="6.7109375" style="226" customWidth="1"/>
    <col min="45" max="45" width="1.85546875" style="158" customWidth="1"/>
    <col min="46" max="46" width="17" style="155" customWidth="1"/>
    <col min="47" max="47" width="10.7109375" style="156" customWidth="1"/>
    <col min="48" max="48" width="15.28515625" style="157" customWidth="1"/>
    <col min="49" max="49" width="15.5703125" style="158" customWidth="1"/>
    <col min="50" max="87" width="9.140625" style="158"/>
    <col min="88" max="256" width="9.140625" style="159"/>
    <col min="257" max="257" width="1.85546875" style="159" customWidth="1"/>
    <col min="258" max="259" width="6.7109375" style="159" customWidth="1"/>
    <col min="260" max="260" width="7.7109375" style="159" customWidth="1"/>
    <col min="261" max="300" width="6.7109375" style="159" customWidth="1"/>
    <col min="301" max="301" width="1.85546875" style="159" customWidth="1"/>
    <col min="302" max="302" width="14.85546875" style="159" customWidth="1"/>
    <col min="303" max="303" width="292.140625" style="159" bestFit="1" customWidth="1"/>
    <col min="304" max="304" width="15.28515625" style="159" customWidth="1"/>
    <col min="305" max="305" width="15.5703125" style="159" customWidth="1"/>
    <col min="306" max="512" width="9.140625" style="159"/>
    <col min="513" max="513" width="1.85546875" style="159" customWidth="1"/>
    <col min="514" max="515" width="6.7109375" style="159" customWidth="1"/>
    <col min="516" max="516" width="7.7109375" style="159" customWidth="1"/>
    <col min="517" max="556" width="6.7109375" style="159" customWidth="1"/>
    <col min="557" max="557" width="1.85546875" style="159" customWidth="1"/>
    <col min="558" max="558" width="14.85546875" style="159" customWidth="1"/>
    <col min="559" max="559" width="292.140625" style="159" bestFit="1" customWidth="1"/>
    <col min="560" max="560" width="15.28515625" style="159" customWidth="1"/>
    <col min="561" max="561" width="15.5703125" style="159" customWidth="1"/>
    <col min="562" max="768" width="9.140625" style="159"/>
    <col min="769" max="769" width="1.85546875" style="159" customWidth="1"/>
    <col min="770" max="771" width="6.7109375" style="159" customWidth="1"/>
    <col min="772" max="772" width="7.7109375" style="159" customWidth="1"/>
    <col min="773" max="812" width="6.7109375" style="159" customWidth="1"/>
    <col min="813" max="813" width="1.85546875" style="159" customWidth="1"/>
    <col min="814" max="814" width="14.85546875" style="159" customWidth="1"/>
    <col min="815" max="815" width="292.140625" style="159" bestFit="1" customWidth="1"/>
    <col min="816" max="816" width="15.28515625" style="159" customWidth="1"/>
    <col min="817" max="817" width="15.5703125" style="159" customWidth="1"/>
    <col min="818" max="1024" width="9.140625" style="159"/>
    <col min="1025" max="1025" width="1.85546875" style="159" customWidth="1"/>
    <col min="1026" max="1027" width="6.7109375" style="159" customWidth="1"/>
    <col min="1028" max="1028" width="7.7109375" style="159" customWidth="1"/>
    <col min="1029" max="1068" width="6.7109375" style="159" customWidth="1"/>
    <col min="1069" max="1069" width="1.85546875" style="159" customWidth="1"/>
    <col min="1070" max="1070" width="14.85546875" style="159" customWidth="1"/>
    <col min="1071" max="1071" width="292.140625" style="159" bestFit="1" customWidth="1"/>
    <col min="1072" max="1072" width="15.28515625" style="159" customWidth="1"/>
    <col min="1073" max="1073" width="15.5703125" style="159" customWidth="1"/>
    <col min="1074" max="1280" width="9.140625" style="159"/>
    <col min="1281" max="1281" width="1.85546875" style="159" customWidth="1"/>
    <col min="1282" max="1283" width="6.7109375" style="159" customWidth="1"/>
    <col min="1284" max="1284" width="7.7109375" style="159" customWidth="1"/>
    <col min="1285" max="1324" width="6.7109375" style="159" customWidth="1"/>
    <col min="1325" max="1325" width="1.85546875" style="159" customWidth="1"/>
    <col min="1326" max="1326" width="14.85546875" style="159" customWidth="1"/>
    <col min="1327" max="1327" width="292.140625" style="159" bestFit="1" customWidth="1"/>
    <col min="1328" max="1328" width="15.28515625" style="159" customWidth="1"/>
    <col min="1329" max="1329" width="15.5703125" style="159" customWidth="1"/>
    <col min="1330" max="1536" width="9.140625" style="159"/>
    <col min="1537" max="1537" width="1.85546875" style="159" customWidth="1"/>
    <col min="1538" max="1539" width="6.7109375" style="159" customWidth="1"/>
    <col min="1540" max="1540" width="7.7109375" style="159" customWidth="1"/>
    <col min="1541" max="1580" width="6.7109375" style="159" customWidth="1"/>
    <col min="1581" max="1581" width="1.85546875" style="159" customWidth="1"/>
    <col min="1582" max="1582" width="14.85546875" style="159" customWidth="1"/>
    <col min="1583" max="1583" width="292.140625" style="159" bestFit="1" customWidth="1"/>
    <col min="1584" max="1584" width="15.28515625" style="159" customWidth="1"/>
    <col min="1585" max="1585" width="15.5703125" style="159" customWidth="1"/>
    <col min="1586" max="1792" width="9.140625" style="159"/>
    <col min="1793" max="1793" width="1.85546875" style="159" customWidth="1"/>
    <col min="1794" max="1795" width="6.7109375" style="159" customWidth="1"/>
    <col min="1796" max="1796" width="7.7109375" style="159" customWidth="1"/>
    <col min="1797" max="1836" width="6.7109375" style="159" customWidth="1"/>
    <col min="1837" max="1837" width="1.85546875" style="159" customWidth="1"/>
    <col min="1838" max="1838" width="14.85546875" style="159" customWidth="1"/>
    <col min="1839" max="1839" width="292.140625" style="159" bestFit="1" customWidth="1"/>
    <col min="1840" max="1840" width="15.28515625" style="159" customWidth="1"/>
    <col min="1841" max="1841" width="15.5703125" style="159" customWidth="1"/>
    <col min="1842" max="2048" width="9.140625" style="159"/>
    <col min="2049" max="2049" width="1.85546875" style="159" customWidth="1"/>
    <col min="2050" max="2051" width="6.7109375" style="159" customWidth="1"/>
    <col min="2052" max="2052" width="7.7109375" style="159" customWidth="1"/>
    <col min="2053" max="2092" width="6.7109375" style="159" customWidth="1"/>
    <col min="2093" max="2093" width="1.85546875" style="159" customWidth="1"/>
    <col min="2094" max="2094" width="14.85546875" style="159" customWidth="1"/>
    <col min="2095" max="2095" width="292.140625" style="159" bestFit="1" customWidth="1"/>
    <col min="2096" max="2096" width="15.28515625" style="159" customWidth="1"/>
    <col min="2097" max="2097" width="15.5703125" style="159" customWidth="1"/>
    <col min="2098" max="2304" width="9.140625" style="159"/>
    <col min="2305" max="2305" width="1.85546875" style="159" customWidth="1"/>
    <col min="2306" max="2307" width="6.7109375" style="159" customWidth="1"/>
    <col min="2308" max="2308" width="7.7109375" style="159" customWidth="1"/>
    <col min="2309" max="2348" width="6.7109375" style="159" customWidth="1"/>
    <col min="2349" max="2349" width="1.85546875" style="159" customWidth="1"/>
    <col min="2350" max="2350" width="14.85546875" style="159" customWidth="1"/>
    <col min="2351" max="2351" width="292.140625" style="159" bestFit="1" customWidth="1"/>
    <col min="2352" max="2352" width="15.28515625" style="159" customWidth="1"/>
    <col min="2353" max="2353" width="15.5703125" style="159" customWidth="1"/>
    <col min="2354" max="2560" width="9.140625" style="159"/>
    <col min="2561" max="2561" width="1.85546875" style="159" customWidth="1"/>
    <col min="2562" max="2563" width="6.7109375" style="159" customWidth="1"/>
    <col min="2564" max="2564" width="7.7109375" style="159" customWidth="1"/>
    <col min="2565" max="2604" width="6.7109375" style="159" customWidth="1"/>
    <col min="2605" max="2605" width="1.85546875" style="159" customWidth="1"/>
    <col min="2606" max="2606" width="14.85546875" style="159" customWidth="1"/>
    <col min="2607" max="2607" width="292.140625" style="159" bestFit="1" customWidth="1"/>
    <col min="2608" max="2608" width="15.28515625" style="159" customWidth="1"/>
    <col min="2609" max="2609" width="15.5703125" style="159" customWidth="1"/>
    <col min="2610" max="2816" width="9.140625" style="159"/>
    <col min="2817" max="2817" width="1.85546875" style="159" customWidth="1"/>
    <col min="2818" max="2819" width="6.7109375" style="159" customWidth="1"/>
    <col min="2820" max="2820" width="7.7109375" style="159" customWidth="1"/>
    <col min="2821" max="2860" width="6.7109375" style="159" customWidth="1"/>
    <col min="2861" max="2861" width="1.85546875" style="159" customWidth="1"/>
    <col min="2862" max="2862" width="14.85546875" style="159" customWidth="1"/>
    <col min="2863" max="2863" width="292.140625" style="159" bestFit="1" customWidth="1"/>
    <col min="2864" max="2864" width="15.28515625" style="159" customWidth="1"/>
    <col min="2865" max="2865" width="15.5703125" style="159" customWidth="1"/>
    <col min="2866" max="3072" width="9.140625" style="159"/>
    <col min="3073" max="3073" width="1.85546875" style="159" customWidth="1"/>
    <col min="3074" max="3075" width="6.7109375" style="159" customWidth="1"/>
    <col min="3076" max="3076" width="7.7109375" style="159" customWidth="1"/>
    <col min="3077" max="3116" width="6.7109375" style="159" customWidth="1"/>
    <col min="3117" max="3117" width="1.85546875" style="159" customWidth="1"/>
    <col min="3118" max="3118" width="14.85546875" style="159" customWidth="1"/>
    <col min="3119" max="3119" width="292.140625" style="159" bestFit="1" customWidth="1"/>
    <col min="3120" max="3120" width="15.28515625" style="159" customWidth="1"/>
    <col min="3121" max="3121" width="15.5703125" style="159" customWidth="1"/>
    <col min="3122" max="3328" width="9.140625" style="159"/>
    <col min="3329" max="3329" width="1.85546875" style="159" customWidth="1"/>
    <col min="3330" max="3331" width="6.7109375" style="159" customWidth="1"/>
    <col min="3332" max="3332" width="7.7109375" style="159" customWidth="1"/>
    <col min="3333" max="3372" width="6.7109375" style="159" customWidth="1"/>
    <col min="3373" max="3373" width="1.85546875" style="159" customWidth="1"/>
    <col min="3374" max="3374" width="14.85546875" style="159" customWidth="1"/>
    <col min="3375" max="3375" width="292.140625" style="159" bestFit="1" customWidth="1"/>
    <col min="3376" max="3376" width="15.28515625" style="159" customWidth="1"/>
    <col min="3377" max="3377" width="15.5703125" style="159" customWidth="1"/>
    <col min="3378" max="3584" width="9.140625" style="159"/>
    <col min="3585" max="3585" width="1.85546875" style="159" customWidth="1"/>
    <col min="3586" max="3587" width="6.7109375" style="159" customWidth="1"/>
    <col min="3588" max="3588" width="7.7109375" style="159" customWidth="1"/>
    <col min="3589" max="3628" width="6.7109375" style="159" customWidth="1"/>
    <col min="3629" max="3629" width="1.85546875" style="159" customWidth="1"/>
    <col min="3630" max="3630" width="14.85546875" style="159" customWidth="1"/>
    <col min="3631" max="3631" width="292.140625" style="159" bestFit="1" customWidth="1"/>
    <col min="3632" max="3632" width="15.28515625" style="159" customWidth="1"/>
    <col min="3633" max="3633" width="15.5703125" style="159" customWidth="1"/>
    <col min="3634" max="3840" width="9.140625" style="159"/>
    <col min="3841" max="3841" width="1.85546875" style="159" customWidth="1"/>
    <col min="3842" max="3843" width="6.7109375" style="159" customWidth="1"/>
    <col min="3844" max="3844" width="7.7109375" style="159" customWidth="1"/>
    <col min="3845" max="3884" width="6.7109375" style="159" customWidth="1"/>
    <col min="3885" max="3885" width="1.85546875" style="159" customWidth="1"/>
    <col min="3886" max="3886" width="14.85546875" style="159" customWidth="1"/>
    <col min="3887" max="3887" width="292.140625" style="159" bestFit="1" customWidth="1"/>
    <col min="3888" max="3888" width="15.28515625" style="159" customWidth="1"/>
    <col min="3889" max="3889" width="15.5703125" style="159" customWidth="1"/>
    <col min="3890" max="4096" width="9.140625" style="159"/>
    <col min="4097" max="4097" width="1.85546875" style="159" customWidth="1"/>
    <col min="4098" max="4099" width="6.7109375" style="159" customWidth="1"/>
    <col min="4100" max="4100" width="7.7109375" style="159" customWidth="1"/>
    <col min="4101" max="4140" width="6.7109375" style="159" customWidth="1"/>
    <col min="4141" max="4141" width="1.85546875" style="159" customWidth="1"/>
    <col min="4142" max="4142" width="14.85546875" style="159" customWidth="1"/>
    <col min="4143" max="4143" width="292.140625" style="159" bestFit="1" customWidth="1"/>
    <col min="4144" max="4144" width="15.28515625" style="159" customWidth="1"/>
    <col min="4145" max="4145" width="15.5703125" style="159" customWidth="1"/>
    <col min="4146" max="4352" width="9.140625" style="159"/>
    <col min="4353" max="4353" width="1.85546875" style="159" customWidth="1"/>
    <col min="4354" max="4355" width="6.7109375" style="159" customWidth="1"/>
    <col min="4356" max="4356" width="7.7109375" style="159" customWidth="1"/>
    <col min="4357" max="4396" width="6.7109375" style="159" customWidth="1"/>
    <col min="4397" max="4397" width="1.85546875" style="159" customWidth="1"/>
    <col min="4398" max="4398" width="14.85546875" style="159" customWidth="1"/>
    <col min="4399" max="4399" width="292.140625" style="159" bestFit="1" customWidth="1"/>
    <col min="4400" max="4400" width="15.28515625" style="159" customWidth="1"/>
    <col min="4401" max="4401" width="15.5703125" style="159" customWidth="1"/>
    <col min="4402" max="4608" width="9.140625" style="159"/>
    <col min="4609" max="4609" width="1.85546875" style="159" customWidth="1"/>
    <col min="4610" max="4611" width="6.7109375" style="159" customWidth="1"/>
    <col min="4612" max="4612" width="7.7109375" style="159" customWidth="1"/>
    <col min="4613" max="4652" width="6.7109375" style="159" customWidth="1"/>
    <col min="4653" max="4653" width="1.85546875" style="159" customWidth="1"/>
    <col min="4654" max="4654" width="14.85546875" style="159" customWidth="1"/>
    <col min="4655" max="4655" width="292.140625" style="159" bestFit="1" customWidth="1"/>
    <col min="4656" max="4656" width="15.28515625" style="159" customWidth="1"/>
    <col min="4657" max="4657" width="15.5703125" style="159" customWidth="1"/>
    <col min="4658" max="4864" width="9.140625" style="159"/>
    <col min="4865" max="4865" width="1.85546875" style="159" customWidth="1"/>
    <col min="4866" max="4867" width="6.7109375" style="159" customWidth="1"/>
    <col min="4868" max="4868" width="7.7109375" style="159" customWidth="1"/>
    <col min="4869" max="4908" width="6.7109375" style="159" customWidth="1"/>
    <col min="4909" max="4909" width="1.85546875" style="159" customWidth="1"/>
    <col min="4910" max="4910" width="14.85546875" style="159" customWidth="1"/>
    <col min="4911" max="4911" width="292.140625" style="159" bestFit="1" customWidth="1"/>
    <col min="4912" max="4912" width="15.28515625" style="159" customWidth="1"/>
    <col min="4913" max="4913" width="15.5703125" style="159" customWidth="1"/>
    <col min="4914" max="5120" width="9.140625" style="159"/>
    <col min="5121" max="5121" width="1.85546875" style="159" customWidth="1"/>
    <col min="5122" max="5123" width="6.7109375" style="159" customWidth="1"/>
    <col min="5124" max="5124" width="7.7109375" style="159" customWidth="1"/>
    <col min="5125" max="5164" width="6.7109375" style="159" customWidth="1"/>
    <col min="5165" max="5165" width="1.85546875" style="159" customWidth="1"/>
    <col min="5166" max="5166" width="14.85546875" style="159" customWidth="1"/>
    <col min="5167" max="5167" width="292.140625" style="159" bestFit="1" customWidth="1"/>
    <col min="5168" max="5168" width="15.28515625" style="159" customWidth="1"/>
    <col min="5169" max="5169" width="15.5703125" style="159" customWidth="1"/>
    <col min="5170" max="5376" width="9.140625" style="159"/>
    <col min="5377" max="5377" width="1.85546875" style="159" customWidth="1"/>
    <col min="5378" max="5379" width="6.7109375" style="159" customWidth="1"/>
    <col min="5380" max="5380" width="7.7109375" style="159" customWidth="1"/>
    <col min="5381" max="5420" width="6.7109375" style="159" customWidth="1"/>
    <col min="5421" max="5421" width="1.85546875" style="159" customWidth="1"/>
    <col min="5422" max="5422" width="14.85546875" style="159" customWidth="1"/>
    <col min="5423" max="5423" width="292.140625" style="159" bestFit="1" customWidth="1"/>
    <col min="5424" max="5424" width="15.28515625" style="159" customWidth="1"/>
    <col min="5425" max="5425" width="15.5703125" style="159" customWidth="1"/>
    <col min="5426" max="5632" width="9.140625" style="159"/>
    <col min="5633" max="5633" width="1.85546875" style="159" customWidth="1"/>
    <col min="5634" max="5635" width="6.7109375" style="159" customWidth="1"/>
    <col min="5636" max="5636" width="7.7109375" style="159" customWidth="1"/>
    <col min="5637" max="5676" width="6.7109375" style="159" customWidth="1"/>
    <col min="5677" max="5677" width="1.85546875" style="159" customWidth="1"/>
    <col min="5678" max="5678" width="14.85546875" style="159" customWidth="1"/>
    <col min="5679" max="5679" width="292.140625" style="159" bestFit="1" customWidth="1"/>
    <col min="5680" max="5680" width="15.28515625" style="159" customWidth="1"/>
    <col min="5681" max="5681" width="15.5703125" style="159" customWidth="1"/>
    <col min="5682" max="5888" width="9.140625" style="159"/>
    <col min="5889" max="5889" width="1.85546875" style="159" customWidth="1"/>
    <col min="5890" max="5891" width="6.7109375" style="159" customWidth="1"/>
    <col min="5892" max="5892" width="7.7109375" style="159" customWidth="1"/>
    <col min="5893" max="5932" width="6.7109375" style="159" customWidth="1"/>
    <col min="5933" max="5933" width="1.85546875" style="159" customWidth="1"/>
    <col min="5934" max="5934" width="14.85546875" style="159" customWidth="1"/>
    <col min="5935" max="5935" width="292.140625" style="159" bestFit="1" customWidth="1"/>
    <col min="5936" max="5936" width="15.28515625" style="159" customWidth="1"/>
    <col min="5937" max="5937" width="15.5703125" style="159" customWidth="1"/>
    <col min="5938" max="6144" width="9.140625" style="159"/>
    <col min="6145" max="6145" width="1.85546875" style="159" customWidth="1"/>
    <col min="6146" max="6147" width="6.7109375" style="159" customWidth="1"/>
    <col min="6148" max="6148" width="7.7109375" style="159" customWidth="1"/>
    <col min="6149" max="6188" width="6.7109375" style="159" customWidth="1"/>
    <col min="6189" max="6189" width="1.85546875" style="159" customWidth="1"/>
    <col min="6190" max="6190" width="14.85546875" style="159" customWidth="1"/>
    <col min="6191" max="6191" width="292.140625" style="159" bestFit="1" customWidth="1"/>
    <col min="6192" max="6192" width="15.28515625" style="159" customWidth="1"/>
    <col min="6193" max="6193" width="15.5703125" style="159" customWidth="1"/>
    <col min="6194" max="6400" width="9.140625" style="159"/>
    <col min="6401" max="6401" width="1.85546875" style="159" customWidth="1"/>
    <col min="6402" max="6403" width="6.7109375" style="159" customWidth="1"/>
    <col min="6404" max="6404" width="7.7109375" style="159" customWidth="1"/>
    <col min="6405" max="6444" width="6.7109375" style="159" customWidth="1"/>
    <col min="6445" max="6445" width="1.85546875" style="159" customWidth="1"/>
    <col min="6446" max="6446" width="14.85546875" style="159" customWidth="1"/>
    <col min="6447" max="6447" width="292.140625" style="159" bestFit="1" customWidth="1"/>
    <col min="6448" max="6448" width="15.28515625" style="159" customWidth="1"/>
    <col min="6449" max="6449" width="15.5703125" style="159" customWidth="1"/>
    <col min="6450" max="6656" width="9.140625" style="159"/>
    <col min="6657" max="6657" width="1.85546875" style="159" customWidth="1"/>
    <col min="6658" max="6659" width="6.7109375" style="159" customWidth="1"/>
    <col min="6660" max="6660" width="7.7109375" style="159" customWidth="1"/>
    <col min="6661" max="6700" width="6.7109375" style="159" customWidth="1"/>
    <col min="6701" max="6701" width="1.85546875" style="159" customWidth="1"/>
    <col min="6702" max="6702" width="14.85546875" style="159" customWidth="1"/>
    <col min="6703" max="6703" width="292.140625" style="159" bestFit="1" customWidth="1"/>
    <col min="6704" max="6704" width="15.28515625" style="159" customWidth="1"/>
    <col min="6705" max="6705" width="15.5703125" style="159" customWidth="1"/>
    <col min="6706" max="6912" width="9.140625" style="159"/>
    <col min="6913" max="6913" width="1.85546875" style="159" customWidth="1"/>
    <col min="6914" max="6915" width="6.7109375" style="159" customWidth="1"/>
    <col min="6916" max="6916" width="7.7109375" style="159" customWidth="1"/>
    <col min="6917" max="6956" width="6.7109375" style="159" customWidth="1"/>
    <col min="6957" max="6957" width="1.85546875" style="159" customWidth="1"/>
    <col min="6958" max="6958" width="14.85546875" style="159" customWidth="1"/>
    <col min="6959" max="6959" width="292.140625" style="159" bestFit="1" customWidth="1"/>
    <col min="6960" max="6960" width="15.28515625" style="159" customWidth="1"/>
    <col min="6961" max="6961" width="15.5703125" style="159" customWidth="1"/>
    <col min="6962" max="7168" width="9.140625" style="159"/>
    <col min="7169" max="7169" width="1.85546875" style="159" customWidth="1"/>
    <col min="7170" max="7171" width="6.7109375" style="159" customWidth="1"/>
    <col min="7172" max="7172" width="7.7109375" style="159" customWidth="1"/>
    <col min="7173" max="7212" width="6.7109375" style="159" customWidth="1"/>
    <col min="7213" max="7213" width="1.85546875" style="159" customWidth="1"/>
    <col min="7214" max="7214" width="14.85546875" style="159" customWidth="1"/>
    <col min="7215" max="7215" width="292.140625" style="159" bestFit="1" customWidth="1"/>
    <col min="7216" max="7216" width="15.28515625" style="159" customWidth="1"/>
    <col min="7217" max="7217" width="15.5703125" style="159" customWidth="1"/>
    <col min="7218" max="7424" width="9.140625" style="159"/>
    <col min="7425" max="7425" width="1.85546875" style="159" customWidth="1"/>
    <col min="7426" max="7427" width="6.7109375" style="159" customWidth="1"/>
    <col min="7428" max="7428" width="7.7109375" style="159" customWidth="1"/>
    <col min="7429" max="7468" width="6.7109375" style="159" customWidth="1"/>
    <col min="7469" max="7469" width="1.85546875" style="159" customWidth="1"/>
    <col min="7470" max="7470" width="14.85546875" style="159" customWidth="1"/>
    <col min="7471" max="7471" width="292.140625" style="159" bestFit="1" customWidth="1"/>
    <col min="7472" max="7472" width="15.28515625" style="159" customWidth="1"/>
    <col min="7473" max="7473" width="15.5703125" style="159" customWidth="1"/>
    <col min="7474" max="7680" width="9.140625" style="159"/>
    <col min="7681" max="7681" width="1.85546875" style="159" customWidth="1"/>
    <col min="7682" max="7683" width="6.7109375" style="159" customWidth="1"/>
    <col min="7684" max="7684" width="7.7109375" style="159" customWidth="1"/>
    <col min="7685" max="7724" width="6.7109375" style="159" customWidth="1"/>
    <col min="7725" max="7725" width="1.85546875" style="159" customWidth="1"/>
    <col min="7726" max="7726" width="14.85546875" style="159" customWidth="1"/>
    <col min="7727" max="7727" width="292.140625" style="159" bestFit="1" customWidth="1"/>
    <col min="7728" max="7728" width="15.28515625" style="159" customWidth="1"/>
    <col min="7729" max="7729" width="15.5703125" style="159" customWidth="1"/>
    <col min="7730" max="7936" width="9.140625" style="159"/>
    <col min="7937" max="7937" width="1.85546875" style="159" customWidth="1"/>
    <col min="7938" max="7939" width="6.7109375" style="159" customWidth="1"/>
    <col min="7940" max="7940" width="7.7109375" style="159" customWidth="1"/>
    <col min="7941" max="7980" width="6.7109375" style="159" customWidth="1"/>
    <col min="7981" max="7981" width="1.85546875" style="159" customWidth="1"/>
    <col min="7982" max="7982" width="14.85546875" style="159" customWidth="1"/>
    <col min="7983" max="7983" width="292.140625" style="159" bestFit="1" customWidth="1"/>
    <col min="7984" max="7984" width="15.28515625" style="159" customWidth="1"/>
    <col min="7985" max="7985" width="15.5703125" style="159" customWidth="1"/>
    <col min="7986" max="8192" width="9.140625" style="159"/>
    <col min="8193" max="8193" width="1.85546875" style="159" customWidth="1"/>
    <col min="8194" max="8195" width="6.7109375" style="159" customWidth="1"/>
    <col min="8196" max="8196" width="7.7109375" style="159" customWidth="1"/>
    <col min="8197" max="8236" width="6.7109375" style="159" customWidth="1"/>
    <col min="8237" max="8237" width="1.85546875" style="159" customWidth="1"/>
    <col min="8238" max="8238" width="14.85546875" style="159" customWidth="1"/>
    <col min="8239" max="8239" width="292.140625" style="159" bestFit="1" customWidth="1"/>
    <col min="8240" max="8240" width="15.28515625" style="159" customWidth="1"/>
    <col min="8241" max="8241" width="15.5703125" style="159" customWidth="1"/>
    <col min="8242" max="8448" width="9.140625" style="159"/>
    <col min="8449" max="8449" width="1.85546875" style="159" customWidth="1"/>
    <col min="8450" max="8451" width="6.7109375" style="159" customWidth="1"/>
    <col min="8452" max="8452" width="7.7109375" style="159" customWidth="1"/>
    <col min="8453" max="8492" width="6.7109375" style="159" customWidth="1"/>
    <col min="8493" max="8493" width="1.85546875" style="159" customWidth="1"/>
    <col min="8494" max="8494" width="14.85546875" style="159" customWidth="1"/>
    <col min="8495" max="8495" width="292.140625" style="159" bestFit="1" customWidth="1"/>
    <col min="8496" max="8496" width="15.28515625" style="159" customWidth="1"/>
    <col min="8497" max="8497" width="15.5703125" style="159" customWidth="1"/>
    <col min="8498" max="8704" width="9.140625" style="159"/>
    <col min="8705" max="8705" width="1.85546875" style="159" customWidth="1"/>
    <col min="8706" max="8707" width="6.7109375" style="159" customWidth="1"/>
    <col min="8708" max="8708" width="7.7109375" style="159" customWidth="1"/>
    <col min="8709" max="8748" width="6.7109375" style="159" customWidth="1"/>
    <col min="8749" max="8749" width="1.85546875" style="159" customWidth="1"/>
    <col min="8750" max="8750" width="14.85546875" style="159" customWidth="1"/>
    <col min="8751" max="8751" width="292.140625" style="159" bestFit="1" customWidth="1"/>
    <col min="8752" max="8752" width="15.28515625" style="159" customWidth="1"/>
    <col min="8753" max="8753" width="15.5703125" style="159" customWidth="1"/>
    <col min="8754" max="8960" width="9.140625" style="159"/>
    <col min="8961" max="8961" width="1.85546875" style="159" customWidth="1"/>
    <col min="8962" max="8963" width="6.7109375" style="159" customWidth="1"/>
    <col min="8964" max="8964" width="7.7109375" style="159" customWidth="1"/>
    <col min="8965" max="9004" width="6.7109375" style="159" customWidth="1"/>
    <col min="9005" max="9005" width="1.85546875" style="159" customWidth="1"/>
    <col min="9006" max="9006" width="14.85546875" style="159" customWidth="1"/>
    <col min="9007" max="9007" width="292.140625" style="159" bestFit="1" customWidth="1"/>
    <col min="9008" max="9008" width="15.28515625" style="159" customWidth="1"/>
    <col min="9009" max="9009" width="15.5703125" style="159" customWidth="1"/>
    <col min="9010" max="9216" width="9.140625" style="159"/>
    <col min="9217" max="9217" width="1.85546875" style="159" customWidth="1"/>
    <col min="9218" max="9219" width="6.7109375" style="159" customWidth="1"/>
    <col min="9220" max="9220" width="7.7109375" style="159" customWidth="1"/>
    <col min="9221" max="9260" width="6.7109375" style="159" customWidth="1"/>
    <col min="9261" max="9261" width="1.85546875" style="159" customWidth="1"/>
    <col min="9262" max="9262" width="14.85546875" style="159" customWidth="1"/>
    <col min="9263" max="9263" width="292.140625" style="159" bestFit="1" customWidth="1"/>
    <col min="9264" max="9264" width="15.28515625" style="159" customWidth="1"/>
    <col min="9265" max="9265" width="15.5703125" style="159" customWidth="1"/>
    <col min="9266" max="9472" width="9.140625" style="159"/>
    <col min="9473" max="9473" width="1.85546875" style="159" customWidth="1"/>
    <col min="9474" max="9475" width="6.7109375" style="159" customWidth="1"/>
    <col min="9476" max="9476" width="7.7109375" style="159" customWidth="1"/>
    <col min="9477" max="9516" width="6.7109375" style="159" customWidth="1"/>
    <col min="9517" max="9517" width="1.85546875" style="159" customWidth="1"/>
    <col min="9518" max="9518" width="14.85546875" style="159" customWidth="1"/>
    <col min="9519" max="9519" width="292.140625" style="159" bestFit="1" customWidth="1"/>
    <col min="9520" max="9520" width="15.28515625" style="159" customWidth="1"/>
    <col min="9521" max="9521" width="15.5703125" style="159" customWidth="1"/>
    <col min="9522" max="9728" width="9.140625" style="159"/>
    <col min="9729" max="9729" width="1.85546875" style="159" customWidth="1"/>
    <col min="9730" max="9731" width="6.7109375" style="159" customWidth="1"/>
    <col min="9732" max="9732" width="7.7109375" style="159" customWidth="1"/>
    <col min="9733" max="9772" width="6.7109375" style="159" customWidth="1"/>
    <col min="9773" max="9773" width="1.85546875" style="159" customWidth="1"/>
    <col min="9774" max="9774" width="14.85546875" style="159" customWidth="1"/>
    <col min="9775" max="9775" width="292.140625" style="159" bestFit="1" customWidth="1"/>
    <col min="9776" max="9776" width="15.28515625" style="159" customWidth="1"/>
    <col min="9777" max="9777" width="15.5703125" style="159" customWidth="1"/>
    <col min="9778" max="9984" width="9.140625" style="159"/>
    <col min="9985" max="9985" width="1.85546875" style="159" customWidth="1"/>
    <col min="9986" max="9987" width="6.7109375" style="159" customWidth="1"/>
    <col min="9988" max="9988" width="7.7109375" style="159" customWidth="1"/>
    <col min="9989" max="10028" width="6.7109375" style="159" customWidth="1"/>
    <col min="10029" max="10029" width="1.85546875" style="159" customWidth="1"/>
    <col min="10030" max="10030" width="14.85546875" style="159" customWidth="1"/>
    <col min="10031" max="10031" width="292.140625" style="159" bestFit="1" customWidth="1"/>
    <col min="10032" max="10032" width="15.28515625" style="159" customWidth="1"/>
    <col min="10033" max="10033" width="15.5703125" style="159" customWidth="1"/>
    <col min="10034" max="10240" width="9.140625" style="159"/>
    <col min="10241" max="10241" width="1.85546875" style="159" customWidth="1"/>
    <col min="10242" max="10243" width="6.7109375" style="159" customWidth="1"/>
    <col min="10244" max="10244" width="7.7109375" style="159" customWidth="1"/>
    <col min="10245" max="10284" width="6.7109375" style="159" customWidth="1"/>
    <col min="10285" max="10285" width="1.85546875" style="159" customWidth="1"/>
    <col min="10286" max="10286" width="14.85546875" style="159" customWidth="1"/>
    <col min="10287" max="10287" width="292.140625" style="159" bestFit="1" customWidth="1"/>
    <col min="10288" max="10288" width="15.28515625" style="159" customWidth="1"/>
    <col min="10289" max="10289" width="15.5703125" style="159" customWidth="1"/>
    <col min="10290" max="10496" width="9.140625" style="159"/>
    <col min="10497" max="10497" width="1.85546875" style="159" customWidth="1"/>
    <col min="10498" max="10499" width="6.7109375" style="159" customWidth="1"/>
    <col min="10500" max="10500" width="7.7109375" style="159" customWidth="1"/>
    <col min="10501" max="10540" width="6.7109375" style="159" customWidth="1"/>
    <col min="10541" max="10541" width="1.85546875" style="159" customWidth="1"/>
    <col min="10542" max="10542" width="14.85546875" style="159" customWidth="1"/>
    <col min="10543" max="10543" width="292.140625" style="159" bestFit="1" customWidth="1"/>
    <col min="10544" max="10544" width="15.28515625" style="159" customWidth="1"/>
    <col min="10545" max="10545" width="15.5703125" style="159" customWidth="1"/>
    <col min="10546" max="10752" width="9.140625" style="159"/>
    <col min="10753" max="10753" width="1.85546875" style="159" customWidth="1"/>
    <col min="10754" max="10755" width="6.7109375" style="159" customWidth="1"/>
    <col min="10756" max="10756" width="7.7109375" style="159" customWidth="1"/>
    <col min="10757" max="10796" width="6.7109375" style="159" customWidth="1"/>
    <col min="10797" max="10797" width="1.85546875" style="159" customWidth="1"/>
    <col min="10798" max="10798" width="14.85546875" style="159" customWidth="1"/>
    <col min="10799" max="10799" width="292.140625" style="159" bestFit="1" customWidth="1"/>
    <col min="10800" max="10800" width="15.28515625" style="159" customWidth="1"/>
    <col min="10801" max="10801" width="15.5703125" style="159" customWidth="1"/>
    <col min="10802" max="11008" width="9.140625" style="159"/>
    <col min="11009" max="11009" width="1.85546875" style="159" customWidth="1"/>
    <col min="11010" max="11011" width="6.7109375" style="159" customWidth="1"/>
    <col min="11012" max="11012" width="7.7109375" style="159" customWidth="1"/>
    <col min="11013" max="11052" width="6.7109375" style="159" customWidth="1"/>
    <col min="11053" max="11053" width="1.85546875" style="159" customWidth="1"/>
    <col min="11054" max="11054" width="14.85546875" style="159" customWidth="1"/>
    <col min="11055" max="11055" width="292.140625" style="159" bestFit="1" customWidth="1"/>
    <col min="11056" max="11056" width="15.28515625" style="159" customWidth="1"/>
    <col min="11057" max="11057" width="15.5703125" style="159" customWidth="1"/>
    <col min="11058" max="11264" width="9.140625" style="159"/>
    <col min="11265" max="11265" width="1.85546875" style="159" customWidth="1"/>
    <col min="11266" max="11267" width="6.7109375" style="159" customWidth="1"/>
    <col min="11268" max="11268" width="7.7109375" style="159" customWidth="1"/>
    <col min="11269" max="11308" width="6.7109375" style="159" customWidth="1"/>
    <col min="11309" max="11309" width="1.85546875" style="159" customWidth="1"/>
    <col min="11310" max="11310" width="14.85546875" style="159" customWidth="1"/>
    <col min="11311" max="11311" width="292.140625" style="159" bestFit="1" customWidth="1"/>
    <col min="11312" max="11312" width="15.28515625" style="159" customWidth="1"/>
    <col min="11313" max="11313" width="15.5703125" style="159" customWidth="1"/>
    <col min="11314" max="11520" width="9.140625" style="159"/>
    <col min="11521" max="11521" width="1.85546875" style="159" customWidth="1"/>
    <col min="11522" max="11523" width="6.7109375" style="159" customWidth="1"/>
    <col min="11524" max="11524" width="7.7109375" style="159" customWidth="1"/>
    <col min="11525" max="11564" width="6.7109375" style="159" customWidth="1"/>
    <col min="11565" max="11565" width="1.85546875" style="159" customWidth="1"/>
    <col min="11566" max="11566" width="14.85546875" style="159" customWidth="1"/>
    <col min="11567" max="11567" width="292.140625" style="159" bestFit="1" customWidth="1"/>
    <col min="11568" max="11568" width="15.28515625" style="159" customWidth="1"/>
    <col min="11569" max="11569" width="15.5703125" style="159" customWidth="1"/>
    <col min="11570" max="11776" width="9.140625" style="159"/>
    <col min="11777" max="11777" width="1.85546875" style="159" customWidth="1"/>
    <col min="11778" max="11779" width="6.7109375" style="159" customWidth="1"/>
    <col min="11780" max="11780" width="7.7109375" style="159" customWidth="1"/>
    <col min="11781" max="11820" width="6.7109375" style="159" customWidth="1"/>
    <col min="11821" max="11821" width="1.85546875" style="159" customWidth="1"/>
    <col min="11822" max="11822" width="14.85546875" style="159" customWidth="1"/>
    <col min="11823" max="11823" width="292.140625" style="159" bestFit="1" customWidth="1"/>
    <col min="11824" max="11824" width="15.28515625" style="159" customWidth="1"/>
    <col min="11825" max="11825" width="15.5703125" style="159" customWidth="1"/>
    <col min="11826" max="12032" width="9.140625" style="159"/>
    <col min="12033" max="12033" width="1.85546875" style="159" customWidth="1"/>
    <col min="12034" max="12035" width="6.7109375" style="159" customWidth="1"/>
    <col min="12036" max="12036" width="7.7109375" style="159" customWidth="1"/>
    <col min="12037" max="12076" width="6.7109375" style="159" customWidth="1"/>
    <col min="12077" max="12077" width="1.85546875" style="159" customWidth="1"/>
    <col min="12078" max="12078" width="14.85546875" style="159" customWidth="1"/>
    <col min="12079" max="12079" width="292.140625" style="159" bestFit="1" customWidth="1"/>
    <col min="12080" max="12080" width="15.28515625" style="159" customWidth="1"/>
    <col min="12081" max="12081" width="15.5703125" style="159" customWidth="1"/>
    <col min="12082" max="12288" width="9.140625" style="159"/>
    <col min="12289" max="12289" width="1.85546875" style="159" customWidth="1"/>
    <col min="12290" max="12291" width="6.7109375" style="159" customWidth="1"/>
    <col min="12292" max="12292" width="7.7109375" style="159" customWidth="1"/>
    <col min="12293" max="12332" width="6.7109375" style="159" customWidth="1"/>
    <col min="12333" max="12333" width="1.85546875" style="159" customWidth="1"/>
    <col min="12334" max="12334" width="14.85546875" style="159" customWidth="1"/>
    <col min="12335" max="12335" width="292.140625" style="159" bestFit="1" customWidth="1"/>
    <col min="12336" max="12336" width="15.28515625" style="159" customWidth="1"/>
    <col min="12337" max="12337" width="15.5703125" style="159" customWidth="1"/>
    <col min="12338" max="12544" width="9.140625" style="159"/>
    <col min="12545" max="12545" width="1.85546875" style="159" customWidth="1"/>
    <col min="12546" max="12547" width="6.7109375" style="159" customWidth="1"/>
    <col min="12548" max="12548" width="7.7109375" style="159" customWidth="1"/>
    <col min="12549" max="12588" width="6.7109375" style="159" customWidth="1"/>
    <col min="12589" max="12589" width="1.85546875" style="159" customWidth="1"/>
    <col min="12590" max="12590" width="14.85546875" style="159" customWidth="1"/>
    <col min="12591" max="12591" width="292.140625" style="159" bestFit="1" customWidth="1"/>
    <col min="12592" max="12592" width="15.28515625" style="159" customWidth="1"/>
    <col min="12593" max="12593" width="15.5703125" style="159" customWidth="1"/>
    <col min="12594" max="12800" width="9.140625" style="159"/>
    <col min="12801" max="12801" width="1.85546875" style="159" customWidth="1"/>
    <col min="12802" max="12803" width="6.7109375" style="159" customWidth="1"/>
    <col min="12804" max="12804" width="7.7109375" style="159" customWidth="1"/>
    <col min="12805" max="12844" width="6.7109375" style="159" customWidth="1"/>
    <col min="12845" max="12845" width="1.85546875" style="159" customWidth="1"/>
    <col min="12846" max="12846" width="14.85546875" style="159" customWidth="1"/>
    <col min="12847" max="12847" width="292.140625" style="159" bestFit="1" customWidth="1"/>
    <col min="12848" max="12848" width="15.28515625" style="159" customWidth="1"/>
    <col min="12849" max="12849" width="15.5703125" style="159" customWidth="1"/>
    <col min="12850" max="13056" width="9.140625" style="159"/>
    <col min="13057" max="13057" width="1.85546875" style="159" customWidth="1"/>
    <col min="13058" max="13059" width="6.7109375" style="159" customWidth="1"/>
    <col min="13060" max="13060" width="7.7109375" style="159" customWidth="1"/>
    <col min="13061" max="13100" width="6.7109375" style="159" customWidth="1"/>
    <col min="13101" max="13101" width="1.85546875" style="159" customWidth="1"/>
    <col min="13102" max="13102" width="14.85546875" style="159" customWidth="1"/>
    <col min="13103" max="13103" width="292.140625" style="159" bestFit="1" customWidth="1"/>
    <col min="13104" max="13104" width="15.28515625" style="159" customWidth="1"/>
    <col min="13105" max="13105" width="15.5703125" style="159" customWidth="1"/>
    <col min="13106" max="13312" width="9.140625" style="159"/>
    <col min="13313" max="13313" width="1.85546875" style="159" customWidth="1"/>
    <col min="13314" max="13315" width="6.7109375" style="159" customWidth="1"/>
    <col min="13316" max="13316" width="7.7109375" style="159" customWidth="1"/>
    <col min="13317" max="13356" width="6.7109375" style="159" customWidth="1"/>
    <col min="13357" max="13357" width="1.85546875" style="159" customWidth="1"/>
    <col min="13358" max="13358" width="14.85546875" style="159" customWidth="1"/>
    <col min="13359" max="13359" width="292.140625" style="159" bestFit="1" customWidth="1"/>
    <col min="13360" max="13360" width="15.28515625" style="159" customWidth="1"/>
    <col min="13361" max="13361" width="15.5703125" style="159" customWidth="1"/>
    <col min="13362" max="13568" width="9.140625" style="159"/>
    <col min="13569" max="13569" width="1.85546875" style="159" customWidth="1"/>
    <col min="13570" max="13571" width="6.7109375" style="159" customWidth="1"/>
    <col min="13572" max="13572" width="7.7109375" style="159" customWidth="1"/>
    <col min="13573" max="13612" width="6.7109375" style="159" customWidth="1"/>
    <col min="13613" max="13613" width="1.85546875" style="159" customWidth="1"/>
    <col min="13614" max="13614" width="14.85546875" style="159" customWidth="1"/>
    <col min="13615" max="13615" width="292.140625" style="159" bestFit="1" customWidth="1"/>
    <col min="13616" max="13616" width="15.28515625" style="159" customWidth="1"/>
    <col min="13617" max="13617" width="15.5703125" style="159" customWidth="1"/>
    <col min="13618" max="13824" width="9.140625" style="159"/>
    <col min="13825" max="13825" width="1.85546875" style="159" customWidth="1"/>
    <col min="13826" max="13827" width="6.7109375" style="159" customWidth="1"/>
    <col min="13828" max="13828" width="7.7109375" style="159" customWidth="1"/>
    <col min="13829" max="13868" width="6.7109375" style="159" customWidth="1"/>
    <col min="13869" max="13869" width="1.85546875" style="159" customWidth="1"/>
    <col min="13870" max="13870" width="14.85546875" style="159" customWidth="1"/>
    <col min="13871" max="13871" width="292.140625" style="159" bestFit="1" customWidth="1"/>
    <col min="13872" max="13872" width="15.28515625" style="159" customWidth="1"/>
    <col min="13873" max="13873" width="15.5703125" style="159" customWidth="1"/>
    <col min="13874" max="14080" width="9.140625" style="159"/>
    <col min="14081" max="14081" width="1.85546875" style="159" customWidth="1"/>
    <col min="14082" max="14083" width="6.7109375" style="159" customWidth="1"/>
    <col min="14084" max="14084" width="7.7109375" style="159" customWidth="1"/>
    <col min="14085" max="14124" width="6.7109375" style="159" customWidth="1"/>
    <col min="14125" max="14125" width="1.85546875" style="159" customWidth="1"/>
    <col min="14126" max="14126" width="14.85546875" style="159" customWidth="1"/>
    <col min="14127" max="14127" width="292.140625" style="159" bestFit="1" customWidth="1"/>
    <col min="14128" max="14128" width="15.28515625" style="159" customWidth="1"/>
    <col min="14129" max="14129" width="15.5703125" style="159" customWidth="1"/>
    <col min="14130" max="14336" width="9.140625" style="159"/>
    <col min="14337" max="14337" width="1.85546875" style="159" customWidth="1"/>
    <col min="14338" max="14339" width="6.7109375" style="159" customWidth="1"/>
    <col min="14340" max="14340" width="7.7109375" style="159" customWidth="1"/>
    <col min="14341" max="14380" width="6.7109375" style="159" customWidth="1"/>
    <col min="14381" max="14381" width="1.85546875" style="159" customWidth="1"/>
    <col min="14382" max="14382" width="14.85546875" style="159" customWidth="1"/>
    <col min="14383" max="14383" width="292.140625" style="159" bestFit="1" customWidth="1"/>
    <col min="14384" max="14384" width="15.28515625" style="159" customWidth="1"/>
    <col min="14385" max="14385" width="15.5703125" style="159" customWidth="1"/>
    <col min="14386" max="14592" width="9.140625" style="159"/>
    <col min="14593" max="14593" width="1.85546875" style="159" customWidth="1"/>
    <col min="14594" max="14595" width="6.7109375" style="159" customWidth="1"/>
    <col min="14596" max="14596" width="7.7109375" style="159" customWidth="1"/>
    <col min="14597" max="14636" width="6.7109375" style="159" customWidth="1"/>
    <col min="14637" max="14637" width="1.85546875" style="159" customWidth="1"/>
    <col min="14638" max="14638" width="14.85546875" style="159" customWidth="1"/>
    <col min="14639" max="14639" width="292.140625" style="159" bestFit="1" customWidth="1"/>
    <col min="14640" max="14640" width="15.28515625" style="159" customWidth="1"/>
    <col min="14641" max="14641" width="15.5703125" style="159" customWidth="1"/>
    <col min="14642" max="14848" width="9.140625" style="159"/>
    <col min="14849" max="14849" width="1.85546875" style="159" customWidth="1"/>
    <col min="14850" max="14851" width="6.7109375" style="159" customWidth="1"/>
    <col min="14852" max="14852" width="7.7109375" style="159" customWidth="1"/>
    <col min="14853" max="14892" width="6.7109375" style="159" customWidth="1"/>
    <col min="14893" max="14893" width="1.85546875" style="159" customWidth="1"/>
    <col min="14894" max="14894" width="14.85546875" style="159" customWidth="1"/>
    <col min="14895" max="14895" width="292.140625" style="159" bestFit="1" customWidth="1"/>
    <col min="14896" max="14896" width="15.28515625" style="159" customWidth="1"/>
    <col min="14897" max="14897" width="15.5703125" style="159" customWidth="1"/>
    <col min="14898" max="15104" width="9.140625" style="159"/>
    <col min="15105" max="15105" width="1.85546875" style="159" customWidth="1"/>
    <col min="15106" max="15107" width="6.7109375" style="159" customWidth="1"/>
    <col min="15108" max="15108" width="7.7109375" style="159" customWidth="1"/>
    <col min="15109" max="15148" width="6.7109375" style="159" customWidth="1"/>
    <col min="15149" max="15149" width="1.85546875" style="159" customWidth="1"/>
    <col min="15150" max="15150" width="14.85546875" style="159" customWidth="1"/>
    <col min="15151" max="15151" width="292.140625" style="159" bestFit="1" customWidth="1"/>
    <col min="15152" max="15152" width="15.28515625" style="159" customWidth="1"/>
    <col min="15153" max="15153" width="15.5703125" style="159" customWidth="1"/>
    <col min="15154" max="15360" width="9.140625" style="159"/>
    <col min="15361" max="15361" width="1.85546875" style="159" customWidth="1"/>
    <col min="15362" max="15363" width="6.7109375" style="159" customWidth="1"/>
    <col min="15364" max="15364" width="7.7109375" style="159" customWidth="1"/>
    <col min="15365" max="15404" width="6.7109375" style="159" customWidth="1"/>
    <col min="15405" max="15405" width="1.85546875" style="159" customWidth="1"/>
    <col min="15406" max="15406" width="14.85546875" style="159" customWidth="1"/>
    <col min="15407" max="15407" width="292.140625" style="159" bestFit="1" customWidth="1"/>
    <col min="15408" max="15408" width="15.28515625" style="159" customWidth="1"/>
    <col min="15409" max="15409" width="15.5703125" style="159" customWidth="1"/>
    <col min="15410" max="15616" width="9.140625" style="159"/>
    <col min="15617" max="15617" width="1.85546875" style="159" customWidth="1"/>
    <col min="15618" max="15619" width="6.7109375" style="159" customWidth="1"/>
    <col min="15620" max="15620" width="7.7109375" style="159" customWidth="1"/>
    <col min="15621" max="15660" width="6.7109375" style="159" customWidth="1"/>
    <col min="15661" max="15661" width="1.85546875" style="159" customWidth="1"/>
    <col min="15662" max="15662" width="14.85546875" style="159" customWidth="1"/>
    <col min="15663" max="15663" width="292.140625" style="159" bestFit="1" customWidth="1"/>
    <col min="15664" max="15664" width="15.28515625" style="159" customWidth="1"/>
    <col min="15665" max="15665" width="15.5703125" style="159" customWidth="1"/>
    <col min="15666" max="15872" width="9.140625" style="159"/>
    <col min="15873" max="15873" width="1.85546875" style="159" customWidth="1"/>
    <col min="15874" max="15875" width="6.7109375" style="159" customWidth="1"/>
    <col min="15876" max="15876" width="7.7109375" style="159" customWidth="1"/>
    <col min="15877" max="15916" width="6.7109375" style="159" customWidth="1"/>
    <col min="15917" max="15917" width="1.85546875" style="159" customWidth="1"/>
    <col min="15918" max="15918" width="14.85546875" style="159" customWidth="1"/>
    <col min="15919" max="15919" width="292.140625" style="159" bestFit="1" customWidth="1"/>
    <col min="15920" max="15920" width="15.28515625" style="159" customWidth="1"/>
    <col min="15921" max="15921" width="15.5703125" style="159" customWidth="1"/>
    <col min="15922" max="16128" width="9.140625" style="159"/>
    <col min="16129" max="16129" width="1.85546875" style="159" customWidth="1"/>
    <col min="16130" max="16131" width="6.7109375" style="159" customWidth="1"/>
    <col min="16132" max="16132" width="7.7109375" style="159" customWidth="1"/>
    <col min="16133" max="16172" width="6.7109375" style="159" customWidth="1"/>
    <col min="16173" max="16173" width="1.85546875" style="159" customWidth="1"/>
    <col min="16174" max="16174" width="14.85546875" style="159" customWidth="1"/>
    <col min="16175" max="16175" width="292.140625" style="159" bestFit="1" customWidth="1"/>
    <col min="16176" max="16176" width="15.28515625" style="159" customWidth="1"/>
    <col min="16177" max="16177" width="15.5703125" style="159" customWidth="1"/>
    <col min="16178" max="16384" width="9.140625" style="159"/>
  </cols>
  <sheetData>
    <row r="1" spans="1:87" ht="27" customHeight="1">
      <c r="A1" s="149"/>
      <c r="B1" s="150"/>
      <c r="C1" s="150"/>
      <c r="D1" s="150"/>
      <c r="E1" s="151"/>
      <c r="F1" s="150"/>
      <c r="G1" s="150"/>
      <c r="H1" s="150"/>
      <c r="I1" s="150"/>
      <c r="J1" s="150"/>
      <c r="K1" s="150"/>
      <c r="L1" s="150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0"/>
      <c r="AE1" s="150"/>
      <c r="AF1" s="150"/>
      <c r="AG1" s="153"/>
      <c r="AH1" s="153"/>
      <c r="AI1" s="153"/>
      <c r="AJ1" s="153"/>
      <c r="AK1" s="153"/>
      <c r="AL1" s="150"/>
      <c r="AM1" s="150"/>
      <c r="AN1" s="150"/>
      <c r="AO1" s="150"/>
      <c r="AP1" s="150"/>
      <c r="AQ1" s="150"/>
      <c r="AR1" s="150"/>
      <c r="AS1" s="154"/>
    </row>
    <row r="2" spans="1:87" ht="45">
      <c r="A2" s="160"/>
      <c r="B2" s="161"/>
      <c r="C2" s="161"/>
      <c r="D2" s="161"/>
      <c r="E2" s="162"/>
      <c r="F2" s="161"/>
      <c r="G2" s="161"/>
      <c r="H2" s="161"/>
      <c r="I2" s="161"/>
      <c r="J2" s="161"/>
      <c r="K2" s="161"/>
      <c r="L2" s="161"/>
      <c r="M2" s="163"/>
      <c r="N2" s="163"/>
      <c r="O2" s="164" t="s">
        <v>86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1"/>
      <c r="AE2" s="161"/>
      <c r="AF2" s="161"/>
      <c r="AG2" s="165"/>
      <c r="AH2" s="165"/>
      <c r="AI2" s="165"/>
      <c r="AJ2" s="165"/>
      <c r="AK2" s="165"/>
      <c r="AL2" s="161"/>
      <c r="AM2" s="161"/>
      <c r="AN2" s="161"/>
      <c r="AO2" s="161"/>
      <c r="AP2" s="161"/>
      <c r="AQ2" s="161"/>
      <c r="AR2" s="161"/>
      <c r="AS2" s="166"/>
    </row>
    <row r="3" spans="1:87" ht="27" customHeight="1">
      <c r="A3" s="160"/>
      <c r="B3" s="161"/>
      <c r="C3" s="161"/>
      <c r="D3" s="161"/>
      <c r="E3" s="162"/>
      <c r="F3" s="161"/>
      <c r="G3" s="161"/>
      <c r="H3" s="161"/>
      <c r="I3" s="161"/>
      <c r="J3" s="161"/>
      <c r="K3" s="161"/>
      <c r="L3" s="161"/>
      <c r="M3" s="161"/>
      <c r="N3" s="161"/>
      <c r="O3" s="167" t="s">
        <v>87</v>
      </c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1"/>
      <c r="AF3" s="161"/>
      <c r="AG3" s="165"/>
      <c r="AH3" s="165"/>
      <c r="AI3" s="165"/>
      <c r="AJ3" s="165"/>
      <c r="AK3" s="165"/>
      <c r="AL3" s="161"/>
      <c r="AM3" s="161"/>
      <c r="AN3" s="161"/>
      <c r="AO3" s="161"/>
      <c r="AP3" s="161"/>
      <c r="AQ3" s="161"/>
      <c r="AR3" s="161"/>
      <c r="AS3" s="166"/>
    </row>
    <row r="4" spans="1:87" ht="27" customHeight="1">
      <c r="A4" s="160"/>
      <c r="B4" s="161"/>
      <c r="C4" s="161"/>
      <c r="D4" s="161"/>
      <c r="E4" s="162"/>
      <c r="F4" s="161"/>
      <c r="G4" s="161"/>
      <c r="H4" s="161"/>
      <c r="I4" s="161"/>
      <c r="J4" s="161"/>
      <c r="K4" s="161"/>
      <c r="L4" s="161"/>
      <c r="M4" s="161"/>
      <c r="N4" s="161"/>
      <c r="O4" s="167" t="s">
        <v>88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1"/>
      <c r="AF4" s="161"/>
      <c r="AG4" s="161"/>
      <c r="AH4" s="161"/>
      <c r="AI4" s="161"/>
      <c r="AJ4" s="161"/>
      <c r="AK4" s="161"/>
      <c r="AL4" s="161"/>
      <c r="AM4" s="161"/>
      <c r="AN4" s="161"/>
      <c r="AO4" s="161"/>
      <c r="AP4" s="161"/>
      <c r="AQ4" s="161"/>
      <c r="AR4" s="161"/>
      <c r="AS4" s="166"/>
    </row>
    <row r="5" spans="1:87" ht="27" customHeight="1">
      <c r="A5" s="160"/>
      <c r="B5" s="161"/>
      <c r="C5" s="161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7" t="s">
        <v>89</v>
      </c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1"/>
      <c r="AQ5" s="161"/>
      <c r="AR5" s="161"/>
      <c r="AS5" s="166"/>
    </row>
    <row r="6" spans="1:87" ht="27" customHeight="1">
      <c r="A6" s="160"/>
      <c r="B6" s="161"/>
      <c r="C6" s="161"/>
      <c r="D6" s="161"/>
      <c r="E6" s="162"/>
      <c r="F6" s="161"/>
      <c r="G6" s="161"/>
      <c r="H6" s="161"/>
      <c r="I6" s="161"/>
      <c r="J6" s="161"/>
      <c r="K6" s="161"/>
      <c r="L6" s="161"/>
      <c r="M6" s="161"/>
      <c r="N6" s="161"/>
      <c r="O6" s="167" t="s">
        <v>90</v>
      </c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6"/>
    </row>
    <row r="7" spans="1:87" ht="27" customHeight="1">
      <c r="A7" s="160"/>
      <c r="B7" s="168"/>
      <c r="C7" s="168"/>
      <c r="D7" s="168"/>
      <c r="E7" s="169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6"/>
    </row>
    <row r="8" spans="1:87" ht="27" customHeight="1">
      <c r="A8" s="160"/>
      <c r="B8" s="161"/>
      <c r="C8" s="161"/>
      <c r="D8" s="161"/>
      <c r="E8" s="162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5"/>
      <c r="AH8" s="165"/>
      <c r="AI8" s="161"/>
      <c r="AJ8" s="161"/>
      <c r="AK8" s="161"/>
      <c r="AL8" s="161"/>
      <c r="AM8" s="161"/>
      <c r="AN8" s="161"/>
      <c r="AO8" s="161"/>
      <c r="AP8" s="161"/>
      <c r="AQ8" s="161"/>
      <c r="AR8" s="170" t="s">
        <v>91</v>
      </c>
      <c r="AS8" s="166"/>
    </row>
    <row r="9" spans="1:87" ht="75.75">
      <c r="A9" s="160"/>
      <c r="B9" s="383" t="s">
        <v>92</v>
      </c>
      <c r="C9" s="383"/>
      <c r="D9" s="383"/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383"/>
      <c r="T9" s="383"/>
      <c r="U9" s="383"/>
      <c r="V9" s="383"/>
      <c r="W9" s="383"/>
      <c r="X9" s="383"/>
      <c r="Y9" s="383"/>
      <c r="Z9" s="383"/>
      <c r="AA9" s="383"/>
      <c r="AB9" s="383"/>
      <c r="AC9" s="383"/>
      <c r="AD9" s="383"/>
      <c r="AE9" s="383"/>
      <c r="AF9" s="383"/>
      <c r="AG9" s="383"/>
      <c r="AH9" s="383"/>
      <c r="AI9" s="383"/>
      <c r="AJ9" s="383"/>
      <c r="AK9" s="383"/>
      <c r="AL9" s="383"/>
      <c r="AM9" s="383"/>
      <c r="AN9" s="383"/>
      <c r="AO9" s="383"/>
      <c r="AP9" s="383"/>
      <c r="AQ9" s="383"/>
      <c r="AR9" s="383"/>
      <c r="AS9" s="166"/>
    </row>
    <row r="10" spans="1:87" s="179" customFormat="1" ht="27" customHeight="1">
      <c r="A10" s="171"/>
      <c r="B10" s="172"/>
      <c r="C10" s="172"/>
      <c r="D10" s="172"/>
      <c r="E10" s="173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4"/>
      <c r="AT10" s="175"/>
      <c r="AU10" s="176"/>
      <c r="AV10" s="177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</row>
    <row r="11" spans="1:87" s="179" customFormat="1" ht="27" customHeight="1">
      <c r="A11" s="171"/>
      <c r="B11" s="172" t="s">
        <v>93</v>
      </c>
      <c r="C11" s="172"/>
      <c r="D11" s="172"/>
      <c r="E11" s="173" t="s">
        <v>94</v>
      </c>
      <c r="F11" s="172" t="s">
        <v>95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 t="s">
        <v>96</v>
      </c>
      <c r="X11" s="172"/>
      <c r="Y11" s="172"/>
      <c r="Z11" s="172"/>
      <c r="AA11" s="172"/>
      <c r="AB11" s="172" t="s">
        <v>94</v>
      </c>
      <c r="AC11" s="384">
        <v>43348</v>
      </c>
      <c r="AD11" s="384"/>
      <c r="AE11" s="384"/>
      <c r="AF11" s="384"/>
      <c r="AG11" s="384"/>
      <c r="AH11" s="384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4"/>
      <c r="AT11" s="175"/>
      <c r="AU11" s="176"/>
      <c r="AV11" s="177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</row>
    <row r="12" spans="1:87" s="179" customFormat="1" ht="27" customHeight="1">
      <c r="A12" s="171"/>
      <c r="B12" s="172" t="s">
        <v>97</v>
      </c>
      <c r="C12" s="172"/>
      <c r="D12" s="172"/>
      <c r="E12" s="173" t="s">
        <v>94</v>
      </c>
      <c r="F12" s="180" t="s">
        <v>98</v>
      </c>
      <c r="G12" s="180"/>
      <c r="H12" s="180"/>
      <c r="I12" s="180"/>
      <c r="J12" s="180"/>
      <c r="K12" s="180"/>
      <c r="L12" s="180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4"/>
      <c r="AT12" s="175"/>
      <c r="AU12" s="176"/>
      <c r="AV12" s="177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</row>
    <row r="13" spans="1:87" s="179" customFormat="1" ht="27" customHeight="1">
      <c r="A13" s="171"/>
      <c r="B13" s="172"/>
      <c r="C13" s="172"/>
      <c r="D13" s="172"/>
      <c r="E13" s="173"/>
      <c r="F13" s="172" t="s">
        <v>99</v>
      </c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 t="s">
        <v>100</v>
      </c>
      <c r="X13" s="172"/>
      <c r="Y13" s="172"/>
      <c r="Z13" s="172"/>
      <c r="AA13" s="172"/>
      <c r="AB13" s="172" t="s">
        <v>94</v>
      </c>
      <c r="AC13" s="172" t="s">
        <v>101</v>
      </c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4"/>
      <c r="AT13" s="175"/>
      <c r="AU13" s="176"/>
      <c r="AV13" s="177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</row>
    <row r="14" spans="1:87" s="179" customFormat="1" ht="27" customHeight="1">
      <c r="A14" s="171"/>
      <c r="B14" s="172"/>
      <c r="C14" s="172"/>
      <c r="D14" s="172"/>
      <c r="E14" s="173"/>
      <c r="F14" s="172" t="s">
        <v>102</v>
      </c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 t="s">
        <v>103</v>
      </c>
      <c r="X14" s="172"/>
      <c r="Y14" s="172"/>
      <c r="Z14" s="172"/>
      <c r="AA14" s="172"/>
      <c r="AB14" s="172" t="s">
        <v>94</v>
      </c>
      <c r="AC14" s="172" t="s">
        <v>104</v>
      </c>
      <c r="AD14" s="172"/>
      <c r="AE14" s="172"/>
      <c r="AF14" s="172"/>
      <c r="AG14" s="181"/>
      <c r="AH14" s="181"/>
      <c r="AI14" s="181"/>
      <c r="AJ14" s="181"/>
      <c r="AK14" s="181"/>
      <c r="AL14" s="172"/>
      <c r="AM14" s="172"/>
      <c r="AN14" s="172"/>
      <c r="AO14" s="172"/>
      <c r="AP14" s="172"/>
      <c r="AQ14" s="172"/>
      <c r="AR14" s="172"/>
      <c r="AS14" s="174"/>
      <c r="AT14" s="175"/>
      <c r="AU14" s="176"/>
      <c r="AV14" s="177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</row>
    <row r="15" spans="1:87" s="179" customFormat="1" ht="27" customHeight="1">
      <c r="A15" s="171"/>
      <c r="B15" s="172"/>
      <c r="C15" s="172"/>
      <c r="D15" s="172"/>
      <c r="E15" s="173"/>
      <c r="F15" s="172" t="s">
        <v>105</v>
      </c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80"/>
      <c r="AD15" s="172"/>
      <c r="AE15" s="172"/>
      <c r="AF15" s="180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4"/>
      <c r="AT15" s="175"/>
      <c r="AU15" s="176"/>
      <c r="AV15" s="177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</row>
    <row r="16" spans="1:87" s="179" customFormat="1" ht="27" customHeight="1">
      <c r="A16" s="171"/>
      <c r="B16" s="172"/>
      <c r="C16" s="172"/>
      <c r="D16" s="172"/>
      <c r="E16" s="173"/>
      <c r="F16" s="172" t="s">
        <v>106</v>
      </c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 t="s">
        <v>107</v>
      </c>
      <c r="X16" s="172"/>
      <c r="Y16" s="172"/>
      <c r="Z16" s="172"/>
      <c r="AA16" s="172"/>
      <c r="AB16" s="172" t="s">
        <v>94</v>
      </c>
      <c r="AC16" s="180" t="s">
        <v>108</v>
      </c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4"/>
      <c r="AT16" s="175"/>
      <c r="AU16" s="176"/>
      <c r="AV16" s="177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</row>
    <row r="17" spans="1:87" s="179" customFormat="1" ht="27" customHeight="1">
      <c r="A17" s="171"/>
      <c r="B17" s="172"/>
      <c r="C17" s="172"/>
      <c r="D17" s="172"/>
      <c r="E17" s="173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 t="s">
        <v>109</v>
      </c>
      <c r="X17" s="172"/>
      <c r="Y17" s="172"/>
      <c r="Z17" s="172"/>
      <c r="AA17" s="172"/>
      <c r="AB17" s="172" t="s">
        <v>94</v>
      </c>
      <c r="AC17" s="172" t="s">
        <v>110</v>
      </c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4"/>
      <c r="AT17" s="175"/>
      <c r="AU17" s="176"/>
      <c r="AV17" s="177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</row>
    <row r="18" spans="1:87" s="179" customFormat="1" ht="27" customHeight="1">
      <c r="A18" s="171"/>
      <c r="B18" s="172" t="s">
        <v>111</v>
      </c>
      <c r="C18" s="172"/>
      <c r="D18" s="172"/>
      <c r="E18" s="173" t="s">
        <v>94</v>
      </c>
      <c r="F18" s="172" t="s">
        <v>112</v>
      </c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 t="s">
        <v>113</v>
      </c>
      <c r="X18" s="172"/>
      <c r="Y18" s="172"/>
      <c r="Z18" s="172"/>
      <c r="AA18" s="172"/>
      <c r="AB18" s="172" t="s">
        <v>94</v>
      </c>
      <c r="AC18" s="172" t="s">
        <v>114</v>
      </c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4"/>
      <c r="AT18" s="175"/>
      <c r="AU18" s="176"/>
      <c r="AV18" s="177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</row>
    <row r="19" spans="1:87" s="179" customFormat="1" ht="27" customHeight="1">
      <c r="A19" s="171"/>
      <c r="B19" s="172" t="s">
        <v>115</v>
      </c>
      <c r="C19" s="172"/>
      <c r="D19" s="172"/>
      <c r="E19" s="173" t="s">
        <v>94</v>
      </c>
      <c r="F19" s="181" t="s">
        <v>116</v>
      </c>
      <c r="G19" s="181"/>
      <c r="H19" s="181"/>
      <c r="I19" s="181"/>
      <c r="J19" s="181"/>
      <c r="K19" s="181"/>
      <c r="L19" s="181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 t="s">
        <v>117</v>
      </c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4"/>
      <c r="AT19" s="175"/>
      <c r="AU19" s="176"/>
      <c r="AV19" s="177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</row>
    <row r="20" spans="1:87" s="179" customFormat="1" ht="27" customHeight="1">
      <c r="A20" s="171"/>
      <c r="B20" s="172" t="s">
        <v>118</v>
      </c>
      <c r="C20" s="172"/>
      <c r="D20" s="172"/>
      <c r="E20" s="173" t="s">
        <v>94</v>
      </c>
      <c r="F20" s="181" t="s">
        <v>119</v>
      </c>
      <c r="G20" s="181"/>
      <c r="H20" s="181"/>
      <c r="I20" s="181"/>
      <c r="J20" s="181"/>
      <c r="K20" s="181"/>
      <c r="L20" s="181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 t="s">
        <v>120</v>
      </c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4"/>
      <c r="AT20" s="175"/>
      <c r="AU20" s="176"/>
      <c r="AV20" s="177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</row>
    <row r="21" spans="1:87" s="179" customFormat="1" ht="27" customHeight="1">
      <c r="A21" s="171"/>
      <c r="B21" s="172" t="s">
        <v>121</v>
      </c>
      <c r="C21" s="172"/>
      <c r="D21" s="172"/>
      <c r="E21" s="173" t="s">
        <v>94</v>
      </c>
      <c r="F21" s="182" t="s">
        <v>122</v>
      </c>
      <c r="G21" s="182"/>
      <c r="H21" s="182"/>
      <c r="I21" s="182"/>
      <c r="J21" s="182"/>
      <c r="K21" s="182"/>
      <c r="L21" s="18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4"/>
      <c r="AT21" s="175"/>
      <c r="AU21" s="176"/>
      <c r="AV21" s="177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</row>
    <row r="22" spans="1:87" s="179" customFormat="1" ht="27" customHeight="1">
      <c r="A22" s="171"/>
      <c r="B22" s="172"/>
      <c r="C22" s="172"/>
      <c r="D22" s="172"/>
      <c r="E22" s="173"/>
      <c r="F22" s="182"/>
      <c r="G22" s="182"/>
      <c r="H22" s="182"/>
      <c r="I22" s="182"/>
      <c r="J22" s="182"/>
      <c r="K22" s="182"/>
      <c r="L22" s="18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 t="s">
        <v>123</v>
      </c>
      <c r="X22" s="172"/>
      <c r="Y22" s="172"/>
      <c r="Z22" s="172"/>
      <c r="AA22" s="172"/>
      <c r="AB22" s="172" t="s">
        <v>94</v>
      </c>
      <c r="AC22" s="181" t="s">
        <v>124</v>
      </c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4"/>
      <c r="AT22" s="175"/>
      <c r="AU22" s="176"/>
      <c r="AV22" s="177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</row>
    <row r="23" spans="1:87" s="179" customFormat="1" ht="27" customHeight="1">
      <c r="A23" s="171"/>
      <c r="B23" s="172" t="s">
        <v>125</v>
      </c>
      <c r="C23" s="172"/>
      <c r="D23" s="172"/>
      <c r="E23" s="173" t="s">
        <v>94</v>
      </c>
      <c r="F23" s="172" t="s">
        <v>126</v>
      </c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 t="s">
        <v>127</v>
      </c>
      <c r="X23" s="172"/>
      <c r="Y23" s="172"/>
      <c r="Z23" s="172"/>
      <c r="AA23" s="172"/>
      <c r="AB23" s="172" t="s">
        <v>94</v>
      </c>
      <c r="AC23" s="181" t="s">
        <v>128</v>
      </c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4"/>
      <c r="AT23" s="175"/>
      <c r="AU23" s="176"/>
      <c r="AV23" s="177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</row>
    <row r="24" spans="1:87" s="179" customFormat="1" ht="27" customHeight="1">
      <c r="A24" s="171"/>
      <c r="B24" s="172"/>
      <c r="C24" s="172"/>
      <c r="D24" s="172"/>
      <c r="E24" s="173"/>
      <c r="F24" s="180"/>
      <c r="G24" s="180"/>
      <c r="H24" s="180"/>
      <c r="I24" s="180"/>
      <c r="J24" s="180"/>
      <c r="K24" s="180"/>
      <c r="L24" s="180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 t="s">
        <v>129</v>
      </c>
      <c r="X24" s="172"/>
      <c r="Y24" s="172"/>
      <c r="Z24" s="172"/>
      <c r="AA24" s="172"/>
      <c r="AB24" s="172" t="s">
        <v>94</v>
      </c>
      <c r="AC24" s="181" t="s">
        <v>130</v>
      </c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4"/>
      <c r="AT24" s="175"/>
      <c r="AU24" s="176"/>
      <c r="AV24" s="177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</row>
    <row r="25" spans="1:87" s="179" customFormat="1" ht="27" customHeight="1">
      <c r="A25" s="171"/>
      <c r="B25" s="172" t="s">
        <v>131</v>
      </c>
      <c r="C25" s="172"/>
      <c r="D25" s="172"/>
      <c r="E25" s="173" t="s">
        <v>94</v>
      </c>
      <c r="F25" s="180" t="s">
        <v>98</v>
      </c>
      <c r="G25" s="180"/>
      <c r="H25" s="180"/>
      <c r="I25" s="180"/>
      <c r="J25" s="180"/>
      <c r="K25" s="180"/>
      <c r="L25" s="180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 t="s">
        <v>132</v>
      </c>
      <c r="X25" s="172"/>
      <c r="Y25" s="172"/>
      <c r="Z25" s="172"/>
      <c r="AA25" s="172"/>
      <c r="AB25" s="172" t="s">
        <v>94</v>
      </c>
      <c r="AC25" s="172" t="s">
        <v>133</v>
      </c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4"/>
      <c r="AT25" s="175"/>
      <c r="AU25" s="176"/>
      <c r="AV25" s="177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</row>
    <row r="26" spans="1:87" s="179" customFormat="1" ht="27" customHeight="1">
      <c r="A26" s="171"/>
      <c r="B26" s="172"/>
      <c r="C26" s="172"/>
      <c r="D26" s="172"/>
      <c r="E26" s="173"/>
      <c r="F26" s="172" t="s">
        <v>99</v>
      </c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 t="s">
        <v>134</v>
      </c>
      <c r="X26" s="172"/>
      <c r="Y26" s="172"/>
      <c r="Z26" s="172"/>
      <c r="AA26" s="172"/>
      <c r="AB26" s="172" t="s">
        <v>94</v>
      </c>
      <c r="AC26" s="172" t="s">
        <v>135</v>
      </c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4"/>
      <c r="AT26" s="175"/>
      <c r="AU26" s="176"/>
      <c r="AV26" s="177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</row>
    <row r="27" spans="1:87" s="179" customFormat="1" ht="27" customHeight="1">
      <c r="A27" s="171"/>
      <c r="B27" s="172"/>
      <c r="C27" s="172"/>
      <c r="D27" s="172"/>
      <c r="E27" s="173"/>
      <c r="F27" s="172" t="s">
        <v>102</v>
      </c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 t="s">
        <v>136</v>
      </c>
      <c r="X27" s="172"/>
      <c r="Y27" s="172"/>
      <c r="Z27" s="172"/>
      <c r="AA27" s="172"/>
      <c r="AB27" s="172" t="s">
        <v>94</v>
      </c>
      <c r="AC27" s="180" t="s">
        <v>98</v>
      </c>
      <c r="AD27" s="180"/>
      <c r="AE27" s="172"/>
      <c r="AF27" s="180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4"/>
      <c r="AT27" s="175"/>
      <c r="AU27" s="176"/>
      <c r="AV27" s="177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</row>
    <row r="28" spans="1:87" s="179" customFormat="1" ht="27" customHeight="1">
      <c r="A28" s="171"/>
      <c r="B28" s="172"/>
      <c r="C28" s="172"/>
      <c r="D28" s="172"/>
      <c r="E28" s="173"/>
      <c r="F28" s="172" t="s">
        <v>105</v>
      </c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 t="s">
        <v>99</v>
      </c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4"/>
      <c r="AT28" s="175"/>
      <c r="AU28" s="176"/>
      <c r="AV28" s="177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</row>
    <row r="29" spans="1:87" s="179" customFormat="1" ht="27" customHeight="1">
      <c r="A29" s="171"/>
      <c r="B29" s="172"/>
      <c r="C29" s="172"/>
      <c r="D29" s="172"/>
      <c r="E29" s="173"/>
      <c r="F29" s="172" t="s">
        <v>106</v>
      </c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 t="s">
        <v>102</v>
      </c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4"/>
      <c r="AT29" s="175"/>
      <c r="AU29" s="176"/>
      <c r="AV29" s="177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</row>
    <row r="30" spans="1:87" s="179" customFormat="1" ht="27" customHeight="1">
      <c r="A30" s="171"/>
      <c r="B30" s="172"/>
      <c r="C30" s="172"/>
      <c r="D30" s="172"/>
      <c r="E30" s="173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 t="s">
        <v>105</v>
      </c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4"/>
      <c r="AT30" s="175"/>
      <c r="AU30" s="176"/>
      <c r="AV30" s="177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</row>
    <row r="31" spans="1:87" s="179" customFormat="1" ht="27" customHeight="1">
      <c r="A31" s="171"/>
      <c r="B31" s="172" t="s">
        <v>137</v>
      </c>
      <c r="C31" s="172"/>
      <c r="D31" s="172"/>
      <c r="E31" s="173" t="s">
        <v>94</v>
      </c>
      <c r="F31" s="172" t="s">
        <v>112</v>
      </c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 t="s">
        <v>106</v>
      </c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4"/>
      <c r="AT31" s="175"/>
      <c r="AU31" s="176"/>
      <c r="AV31" s="177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</row>
    <row r="32" spans="1:87" s="179" customFormat="1" ht="27" customHeight="1">
      <c r="A32" s="171"/>
      <c r="B32" s="172" t="s">
        <v>138</v>
      </c>
      <c r="C32" s="172"/>
      <c r="D32" s="172"/>
      <c r="E32" s="173" t="s">
        <v>94</v>
      </c>
      <c r="F32" s="181" t="s">
        <v>116</v>
      </c>
      <c r="G32" s="181"/>
      <c r="H32" s="181"/>
      <c r="I32" s="181"/>
      <c r="J32" s="181"/>
      <c r="K32" s="181"/>
      <c r="L32" s="181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 t="s">
        <v>139</v>
      </c>
      <c r="X32" s="172"/>
      <c r="Y32" s="172"/>
      <c r="Z32" s="172"/>
      <c r="AA32" s="172"/>
      <c r="AB32" s="172" t="s">
        <v>94</v>
      </c>
      <c r="AC32" s="172" t="s">
        <v>140</v>
      </c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4"/>
      <c r="AT32" s="175"/>
      <c r="AU32" s="176"/>
      <c r="AV32" s="177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</row>
    <row r="33" spans="1:87" s="179" customFormat="1" ht="27" customHeight="1">
      <c r="A33" s="171"/>
      <c r="B33" s="172" t="s">
        <v>141</v>
      </c>
      <c r="C33" s="172"/>
      <c r="D33" s="172"/>
      <c r="E33" s="173" t="s">
        <v>94</v>
      </c>
      <c r="F33" s="181" t="s">
        <v>119</v>
      </c>
      <c r="G33" s="181"/>
      <c r="H33" s="181"/>
      <c r="I33" s="181"/>
      <c r="J33" s="181"/>
      <c r="K33" s="181"/>
      <c r="L33" s="181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 t="s">
        <v>142</v>
      </c>
      <c r="X33" s="172"/>
      <c r="Y33" s="172"/>
      <c r="Z33" s="172"/>
      <c r="AA33" s="172"/>
      <c r="AB33" s="172" t="s">
        <v>94</v>
      </c>
      <c r="AC33" s="172" t="s">
        <v>143</v>
      </c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4"/>
      <c r="AT33" s="175"/>
      <c r="AU33" s="176"/>
      <c r="AV33" s="177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</row>
    <row r="34" spans="1:87" s="179" customFormat="1" ht="27" customHeight="1">
      <c r="A34" s="171"/>
      <c r="B34" s="172" t="s">
        <v>144</v>
      </c>
      <c r="C34" s="172"/>
      <c r="D34" s="172"/>
      <c r="E34" s="173" t="s">
        <v>94</v>
      </c>
      <c r="F34" s="182" t="s">
        <v>122</v>
      </c>
      <c r="G34" s="182"/>
      <c r="H34" s="182"/>
      <c r="I34" s="182"/>
      <c r="J34" s="182"/>
      <c r="K34" s="182"/>
      <c r="L34" s="18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 t="s">
        <v>145</v>
      </c>
      <c r="X34" s="172"/>
      <c r="Y34" s="172"/>
      <c r="Z34" s="172"/>
      <c r="AA34" s="172"/>
      <c r="AB34" s="172" t="s">
        <v>94</v>
      </c>
      <c r="AC34" s="172" t="s">
        <v>146</v>
      </c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4"/>
      <c r="AT34" s="175"/>
      <c r="AU34" s="176"/>
      <c r="AV34" s="177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</row>
    <row r="35" spans="1:87" s="179" customFormat="1" ht="27" customHeight="1">
      <c r="A35" s="171"/>
      <c r="B35" s="172"/>
      <c r="C35" s="172"/>
      <c r="D35" s="172"/>
      <c r="E35" s="173"/>
      <c r="F35" s="182"/>
      <c r="G35" s="182"/>
      <c r="H35" s="182"/>
      <c r="I35" s="182"/>
      <c r="J35" s="182"/>
      <c r="K35" s="182"/>
      <c r="L35" s="18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 t="s">
        <v>147</v>
      </c>
      <c r="X35" s="172"/>
      <c r="Y35" s="172"/>
      <c r="Z35" s="172"/>
      <c r="AA35" s="172"/>
      <c r="AB35" s="172" t="s">
        <v>94</v>
      </c>
      <c r="AC35" s="172" t="s">
        <v>148</v>
      </c>
      <c r="AD35" s="172"/>
      <c r="AE35" s="385">
        <v>43374</v>
      </c>
      <c r="AF35" s="385"/>
      <c r="AG35" s="385"/>
      <c r="AH35" s="385"/>
      <c r="AI35" s="385"/>
      <c r="AJ35" s="172" t="s">
        <v>149</v>
      </c>
      <c r="AK35" s="386">
        <v>43465</v>
      </c>
      <c r="AL35" s="386"/>
      <c r="AM35" s="386"/>
      <c r="AN35" s="386"/>
      <c r="AO35" s="386"/>
      <c r="AP35" s="172"/>
      <c r="AQ35" s="172"/>
      <c r="AR35" s="172"/>
      <c r="AS35" s="174"/>
      <c r="AT35" s="175"/>
      <c r="AU35" s="176"/>
      <c r="AV35" s="177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</row>
    <row r="36" spans="1:87" s="179" customFormat="1" ht="27" customHeight="1">
      <c r="A36" s="171"/>
      <c r="B36" s="172"/>
      <c r="C36" s="172"/>
      <c r="D36" s="172"/>
      <c r="E36" s="173"/>
      <c r="F36" s="182"/>
      <c r="G36" s="182"/>
      <c r="H36" s="182"/>
      <c r="I36" s="182"/>
      <c r="J36" s="182"/>
      <c r="K36" s="182"/>
      <c r="L36" s="18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80"/>
      <c r="AL36" s="172"/>
      <c r="AM36" s="172"/>
      <c r="AN36" s="172"/>
      <c r="AO36" s="172"/>
      <c r="AP36" s="172"/>
      <c r="AQ36" s="172"/>
      <c r="AR36" s="172"/>
      <c r="AS36" s="174"/>
      <c r="AT36" s="175"/>
      <c r="AU36" s="176"/>
      <c r="AV36" s="177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</row>
    <row r="37" spans="1:87" s="179" customFormat="1" ht="27" customHeight="1">
      <c r="A37" s="171"/>
      <c r="B37" s="172"/>
      <c r="C37" s="172"/>
      <c r="D37" s="172"/>
      <c r="E37" s="173" t="s">
        <v>150</v>
      </c>
      <c r="F37" s="182"/>
      <c r="G37" s="172"/>
      <c r="H37" s="172"/>
      <c r="I37" s="172"/>
      <c r="J37" s="172"/>
      <c r="K37" s="172"/>
      <c r="L37" s="172" t="s">
        <v>94</v>
      </c>
      <c r="M37" s="183"/>
      <c r="N37" s="172" t="s">
        <v>151</v>
      </c>
      <c r="O37" s="172"/>
      <c r="P37" s="172"/>
      <c r="Q37" s="172"/>
      <c r="R37" s="180"/>
      <c r="S37" s="172"/>
      <c r="T37" s="183"/>
      <c r="U37" s="172" t="s">
        <v>152</v>
      </c>
      <c r="V37" s="172"/>
      <c r="W37" s="172"/>
      <c r="X37" s="172"/>
      <c r="Y37" s="172"/>
      <c r="Z37" s="172"/>
      <c r="AA37" s="183"/>
      <c r="AB37" s="172" t="s">
        <v>153</v>
      </c>
      <c r="AC37" s="172"/>
      <c r="AD37" s="172"/>
      <c r="AE37" s="172"/>
      <c r="AF37" s="172"/>
      <c r="AG37" s="172"/>
      <c r="AH37" s="184"/>
      <c r="AI37" s="172" t="s">
        <v>154</v>
      </c>
      <c r="AJ37" s="172"/>
      <c r="AK37" s="172"/>
      <c r="AL37" s="172"/>
      <c r="AM37" s="172"/>
      <c r="AN37" s="172"/>
      <c r="AO37" s="172"/>
      <c r="AP37" s="180"/>
      <c r="AQ37" s="180"/>
      <c r="AR37" s="172"/>
      <c r="AS37" s="174"/>
      <c r="AT37" s="175"/>
      <c r="AU37" s="176"/>
      <c r="AV37" s="177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</row>
    <row r="38" spans="1:87" s="179" customFormat="1" ht="27" customHeight="1">
      <c r="A38" s="171"/>
      <c r="B38" s="185"/>
      <c r="C38" s="185"/>
      <c r="D38" s="185"/>
      <c r="E38" s="186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5"/>
      <c r="AN38" s="185"/>
      <c r="AO38" s="185"/>
      <c r="AP38" s="185"/>
      <c r="AQ38" s="185"/>
      <c r="AR38" s="185"/>
      <c r="AS38" s="174"/>
      <c r="AT38" s="175"/>
      <c r="AU38" s="176"/>
      <c r="AV38" s="177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</row>
    <row r="39" spans="1:87" s="179" customFormat="1" ht="27" customHeight="1">
      <c r="A39" s="171"/>
      <c r="B39" s="387" t="s">
        <v>155</v>
      </c>
      <c r="C39" s="387"/>
      <c r="D39" s="387"/>
      <c r="E39" s="387"/>
      <c r="F39" s="389" t="s">
        <v>156</v>
      </c>
      <c r="G39" s="389"/>
      <c r="H39" s="389"/>
      <c r="I39" s="389"/>
      <c r="J39" s="389"/>
      <c r="K39" s="389"/>
      <c r="L39" s="389"/>
      <c r="M39" s="364" t="s">
        <v>157</v>
      </c>
      <c r="N39" s="364"/>
      <c r="O39" s="364"/>
      <c r="P39" s="364"/>
      <c r="Q39" s="364"/>
      <c r="R39" s="364"/>
      <c r="S39" s="364"/>
      <c r="T39" s="391" t="s">
        <v>158</v>
      </c>
      <c r="U39" s="391"/>
      <c r="V39" s="391"/>
      <c r="W39" s="391"/>
      <c r="X39" s="393" t="s">
        <v>159</v>
      </c>
      <c r="Y39" s="393"/>
      <c r="Z39" s="393"/>
      <c r="AA39" s="393"/>
      <c r="AB39" s="393"/>
      <c r="AC39" s="393"/>
      <c r="AD39" s="393"/>
      <c r="AE39" s="393"/>
      <c r="AF39" s="387" t="s">
        <v>160</v>
      </c>
      <c r="AG39" s="387"/>
      <c r="AH39" s="387"/>
      <c r="AI39" s="387"/>
      <c r="AJ39" s="387"/>
      <c r="AK39" s="387"/>
      <c r="AL39" s="387"/>
      <c r="AM39" s="387"/>
      <c r="AN39" s="387"/>
      <c r="AO39" s="387"/>
      <c r="AP39" s="387"/>
      <c r="AQ39" s="387"/>
      <c r="AR39" s="387"/>
      <c r="AS39" s="174"/>
      <c r="AT39" s="175"/>
      <c r="AU39" s="176"/>
      <c r="AV39" s="177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</row>
    <row r="40" spans="1:87" s="179" customFormat="1" ht="27" customHeight="1" thickBot="1">
      <c r="A40" s="171"/>
      <c r="B40" s="388"/>
      <c r="C40" s="388"/>
      <c r="D40" s="388"/>
      <c r="E40" s="388"/>
      <c r="F40" s="390"/>
      <c r="G40" s="390"/>
      <c r="H40" s="390"/>
      <c r="I40" s="390"/>
      <c r="J40" s="390"/>
      <c r="K40" s="390"/>
      <c r="L40" s="390"/>
      <c r="M40" s="378" t="s">
        <v>161</v>
      </c>
      <c r="N40" s="378"/>
      <c r="O40" s="378"/>
      <c r="P40" s="379" t="s">
        <v>162</v>
      </c>
      <c r="Q40" s="379"/>
      <c r="R40" s="379"/>
      <c r="S40" s="379"/>
      <c r="T40" s="392"/>
      <c r="U40" s="392"/>
      <c r="V40" s="392"/>
      <c r="W40" s="392"/>
      <c r="X40" s="380" t="s">
        <v>163</v>
      </c>
      <c r="Y40" s="380"/>
      <c r="Z40" s="380"/>
      <c r="AA40" s="380"/>
      <c r="AB40" s="381" t="s">
        <v>164</v>
      </c>
      <c r="AC40" s="381"/>
      <c r="AD40" s="381"/>
      <c r="AE40" s="381"/>
      <c r="AF40" s="388"/>
      <c r="AG40" s="388"/>
      <c r="AH40" s="388"/>
      <c r="AI40" s="388"/>
      <c r="AJ40" s="388"/>
      <c r="AK40" s="388"/>
      <c r="AL40" s="388"/>
      <c r="AM40" s="388"/>
      <c r="AN40" s="388"/>
      <c r="AO40" s="388"/>
      <c r="AP40" s="388"/>
      <c r="AQ40" s="388"/>
      <c r="AR40" s="388"/>
      <c r="AS40" s="174"/>
      <c r="AT40" s="175"/>
      <c r="AU40" s="176"/>
      <c r="AV40" s="177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</row>
    <row r="41" spans="1:87" s="179" customFormat="1" ht="27" customHeight="1" thickTop="1">
      <c r="A41" s="171"/>
      <c r="B41" s="374" t="s">
        <v>165</v>
      </c>
      <c r="C41" s="374"/>
      <c r="D41" s="374"/>
      <c r="E41" s="374"/>
      <c r="F41" s="375" t="s">
        <v>166</v>
      </c>
      <c r="G41" s="375"/>
      <c r="H41" s="375"/>
      <c r="I41" s="375"/>
      <c r="J41" s="375"/>
      <c r="K41" s="375"/>
      <c r="L41" s="375"/>
      <c r="M41" s="382">
        <v>100</v>
      </c>
      <c r="N41" s="382"/>
      <c r="O41" s="382"/>
      <c r="P41" s="382">
        <v>1000</v>
      </c>
      <c r="Q41" s="382"/>
      <c r="R41" s="382"/>
      <c r="S41" s="382"/>
      <c r="T41" s="382">
        <v>70000</v>
      </c>
      <c r="U41" s="382"/>
      <c r="V41" s="382"/>
      <c r="W41" s="382"/>
      <c r="X41" s="361">
        <v>0.75690000000000002</v>
      </c>
      <c r="Y41" s="361"/>
      <c r="Z41" s="361"/>
      <c r="AA41" s="361"/>
      <c r="AB41" s="372">
        <v>0.92</v>
      </c>
      <c r="AC41" s="372"/>
      <c r="AD41" s="372"/>
      <c r="AE41" s="372"/>
      <c r="AF41" s="172" t="s">
        <v>167</v>
      </c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4"/>
      <c r="AT41" s="187">
        <f t="shared" ref="AT41:AT48" si="0">AB41/4.0568</f>
        <v>0.22677972786432657</v>
      </c>
      <c r="AU41" s="188">
        <f>(AB41/X41)-1</f>
        <v>0.21548421191702993</v>
      </c>
      <c r="AV41" s="177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</row>
    <row r="42" spans="1:87" s="179" customFormat="1" ht="27" customHeight="1">
      <c r="A42" s="171"/>
      <c r="B42" s="374" t="s">
        <v>168</v>
      </c>
      <c r="C42" s="374"/>
      <c r="D42" s="374"/>
      <c r="E42" s="374"/>
      <c r="F42" s="375" t="s">
        <v>169</v>
      </c>
      <c r="G42" s="375"/>
      <c r="H42" s="375"/>
      <c r="I42" s="375"/>
      <c r="J42" s="375"/>
      <c r="K42" s="375"/>
      <c r="L42" s="375"/>
      <c r="M42" s="376">
        <v>100</v>
      </c>
      <c r="N42" s="376"/>
      <c r="O42" s="376"/>
      <c r="P42" s="376">
        <v>1400</v>
      </c>
      <c r="Q42" s="376"/>
      <c r="R42" s="376"/>
      <c r="S42" s="376"/>
      <c r="T42" s="376">
        <v>120400</v>
      </c>
      <c r="U42" s="376"/>
      <c r="V42" s="376"/>
      <c r="W42" s="376"/>
      <c r="X42" s="377">
        <v>0.56430000000000002</v>
      </c>
      <c r="Y42" s="377"/>
      <c r="Z42" s="377"/>
      <c r="AA42" s="377"/>
      <c r="AB42" s="372">
        <v>0.6361</v>
      </c>
      <c r="AC42" s="372"/>
      <c r="AD42" s="372"/>
      <c r="AE42" s="372"/>
      <c r="AF42" s="172" t="s">
        <v>170</v>
      </c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4"/>
      <c r="AT42" s="187">
        <f t="shared" si="0"/>
        <v>0.15679846184184579</v>
      </c>
      <c r="AU42" s="188">
        <f>(AB42/X42)-1</f>
        <v>0.12723728513202182</v>
      </c>
      <c r="AV42" s="189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</row>
    <row r="43" spans="1:87" s="179" customFormat="1" ht="27" customHeight="1">
      <c r="A43" s="171"/>
      <c r="B43" s="374" t="s">
        <v>171</v>
      </c>
      <c r="C43" s="374"/>
      <c r="D43" s="374"/>
      <c r="E43" s="374"/>
      <c r="F43" s="375" t="s">
        <v>172</v>
      </c>
      <c r="G43" s="375"/>
      <c r="H43" s="375"/>
      <c r="I43" s="375"/>
      <c r="J43" s="375"/>
      <c r="K43" s="375"/>
      <c r="L43" s="375"/>
      <c r="M43" s="376">
        <v>100</v>
      </c>
      <c r="N43" s="376"/>
      <c r="O43" s="376"/>
      <c r="P43" s="376">
        <v>1500</v>
      </c>
      <c r="Q43" s="376"/>
      <c r="R43" s="376"/>
      <c r="S43" s="376"/>
      <c r="T43" s="376">
        <v>150000</v>
      </c>
      <c r="U43" s="376"/>
      <c r="V43" s="376"/>
      <c r="W43" s="376"/>
      <c r="X43" s="377">
        <v>0.4264</v>
      </c>
      <c r="Y43" s="377"/>
      <c r="Z43" s="377"/>
      <c r="AA43" s="377"/>
      <c r="AB43" s="372">
        <v>0.48110000000000003</v>
      </c>
      <c r="AC43" s="372"/>
      <c r="AD43" s="372"/>
      <c r="AE43" s="372"/>
      <c r="AF43" s="172" t="s">
        <v>173</v>
      </c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4"/>
      <c r="AT43" s="187">
        <f t="shared" si="0"/>
        <v>0.11859100769079078</v>
      </c>
      <c r="AU43" s="188">
        <f t="shared" ref="AU43:AU48" si="1">(AB43/X43)-1</f>
        <v>0.12828330206378991</v>
      </c>
      <c r="AV43" s="189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</row>
    <row r="44" spans="1:87" s="179" customFormat="1" ht="27" customHeight="1">
      <c r="A44" s="171"/>
      <c r="B44" s="374" t="s">
        <v>174</v>
      </c>
      <c r="C44" s="374"/>
      <c r="D44" s="374"/>
      <c r="E44" s="374"/>
      <c r="F44" s="375" t="s">
        <v>175</v>
      </c>
      <c r="G44" s="375"/>
      <c r="H44" s="375"/>
      <c r="I44" s="375"/>
      <c r="J44" s="375"/>
      <c r="K44" s="375"/>
      <c r="L44" s="375"/>
      <c r="M44" s="376">
        <v>100</v>
      </c>
      <c r="N44" s="376"/>
      <c r="O44" s="376"/>
      <c r="P44" s="376">
        <v>1500</v>
      </c>
      <c r="Q44" s="376"/>
      <c r="R44" s="376"/>
      <c r="S44" s="376"/>
      <c r="T44" s="376">
        <v>150000</v>
      </c>
      <c r="U44" s="376"/>
      <c r="V44" s="376"/>
      <c r="W44" s="376"/>
      <c r="X44" s="377">
        <v>0.4264</v>
      </c>
      <c r="Y44" s="377"/>
      <c r="Z44" s="377"/>
      <c r="AA44" s="377"/>
      <c r="AB44" s="372">
        <v>0.48110000000000003</v>
      </c>
      <c r="AC44" s="372"/>
      <c r="AD44" s="372"/>
      <c r="AE44" s="372"/>
      <c r="AF44" s="172" t="s">
        <v>176</v>
      </c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4"/>
      <c r="AT44" s="187">
        <f t="shared" si="0"/>
        <v>0.11859100769079078</v>
      </c>
      <c r="AU44" s="188">
        <f t="shared" si="1"/>
        <v>0.12828330206378991</v>
      </c>
      <c r="AV44" s="189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</row>
    <row r="45" spans="1:87" s="179" customFormat="1" ht="27" customHeight="1">
      <c r="A45" s="171"/>
      <c r="B45" s="190" t="s">
        <v>177</v>
      </c>
      <c r="C45" s="190"/>
      <c r="D45" s="190"/>
      <c r="E45" s="191"/>
      <c r="F45" s="375" t="s">
        <v>178</v>
      </c>
      <c r="G45" s="375"/>
      <c r="H45" s="375"/>
      <c r="I45" s="375"/>
      <c r="J45" s="375"/>
      <c r="K45" s="375"/>
      <c r="L45" s="375"/>
      <c r="M45" s="376">
        <v>100</v>
      </c>
      <c r="N45" s="376"/>
      <c r="O45" s="376"/>
      <c r="P45" s="376">
        <v>1500</v>
      </c>
      <c r="Q45" s="376"/>
      <c r="R45" s="376"/>
      <c r="S45" s="376"/>
      <c r="T45" s="376">
        <v>600000</v>
      </c>
      <c r="U45" s="376"/>
      <c r="V45" s="376"/>
      <c r="W45" s="376"/>
      <c r="X45" s="377">
        <v>0.4264</v>
      </c>
      <c r="Y45" s="377"/>
      <c r="Z45" s="377"/>
      <c r="AA45" s="377"/>
      <c r="AB45" s="372">
        <v>0.48110000000000003</v>
      </c>
      <c r="AC45" s="372"/>
      <c r="AD45" s="372"/>
      <c r="AE45" s="372"/>
      <c r="AF45" s="172" t="s">
        <v>179</v>
      </c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4"/>
      <c r="AT45" s="187">
        <f t="shared" si="0"/>
        <v>0.11859100769079078</v>
      </c>
      <c r="AU45" s="188">
        <f t="shared" si="1"/>
        <v>0.12828330206378991</v>
      </c>
      <c r="AV45" s="189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</row>
    <row r="46" spans="1:87" s="179" customFormat="1" ht="27" customHeight="1">
      <c r="A46" s="171"/>
      <c r="B46" s="190" t="s">
        <v>180</v>
      </c>
      <c r="C46" s="190"/>
      <c r="D46" s="190"/>
      <c r="E46" s="191"/>
      <c r="F46" s="375" t="s">
        <v>181</v>
      </c>
      <c r="G46" s="375"/>
      <c r="H46" s="375"/>
      <c r="I46" s="375"/>
      <c r="J46" s="375"/>
      <c r="K46" s="375"/>
      <c r="L46" s="375"/>
      <c r="M46" s="376">
        <v>100</v>
      </c>
      <c r="N46" s="376"/>
      <c r="O46" s="376"/>
      <c r="P46" s="376">
        <v>1500</v>
      </c>
      <c r="Q46" s="376"/>
      <c r="R46" s="376"/>
      <c r="S46" s="376"/>
      <c r="T46" s="376">
        <v>150000</v>
      </c>
      <c r="U46" s="376"/>
      <c r="V46" s="376"/>
      <c r="W46" s="376"/>
      <c r="X46" s="377">
        <v>0.43880000000000002</v>
      </c>
      <c r="Y46" s="377"/>
      <c r="Z46" s="377"/>
      <c r="AA46" s="377"/>
      <c r="AB46" s="372">
        <v>0.497</v>
      </c>
      <c r="AC46" s="372"/>
      <c r="AD46" s="372"/>
      <c r="AE46" s="372"/>
      <c r="AF46" s="172" t="s">
        <v>182</v>
      </c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4"/>
      <c r="AT46" s="187">
        <f t="shared" si="0"/>
        <v>0.12251035298757641</v>
      </c>
      <c r="AU46" s="188">
        <f t="shared" si="1"/>
        <v>0.13263445761166803</v>
      </c>
      <c r="AV46" s="189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</row>
    <row r="47" spans="1:87" s="179" customFormat="1" ht="27" customHeight="1">
      <c r="A47" s="171"/>
      <c r="B47" s="190" t="s">
        <v>183</v>
      </c>
      <c r="C47" s="190"/>
      <c r="D47" s="190"/>
      <c r="E47" s="191"/>
      <c r="F47" s="375" t="s">
        <v>184</v>
      </c>
      <c r="G47" s="375"/>
      <c r="H47" s="375"/>
      <c r="I47" s="375"/>
      <c r="J47" s="375"/>
      <c r="K47" s="375"/>
      <c r="L47" s="375"/>
      <c r="M47" s="376">
        <v>100</v>
      </c>
      <c r="N47" s="376"/>
      <c r="O47" s="376"/>
      <c r="P47" s="376">
        <v>1500</v>
      </c>
      <c r="Q47" s="376"/>
      <c r="R47" s="376"/>
      <c r="S47" s="376"/>
      <c r="T47" s="376">
        <v>150000</v>
      </c>
      <c r="U47" s="376"/>
      <c r="V47" s="376"/>
      <c r="W47" s="376"/>
      <c r="X47" s="377">
        <v>0.43880000000000002</v>
      </c>
      <c r="Y47" s="377"/>
      <c r="Z47" s="377"/>
      <c r="AA47" s="377"/>
      <c r="AB47" s="372">
        <v>0.497</v>
      </c>
      <c r="AC47" s="372"/>
      <c r="AD47" s="372"/>
      <c r="AE47" s="372"/>
      <c r="AF47" s="172" t="s">
        <v>185</v>
      </c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4"/>
      <c r="AT47" s="187">
        <f t="shared" si="0"/>
        <v>0.12251035298757641</v>
      </c>
      <c r="AU47" s="188">
        <f t="shared" si="1"/>
        <v>0.13263445761166803</v>
      </c>
      <c r="AV47" s="189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</row>
    <row r="48" spans="1:87" s="179" customFormat="1" ht="27" customHeight="1">
      <c r="A48" s="171"/>
      <c r="B48" s="190" t="s">
        <v>186</v>
      </c>
      <c r="C48" s="190"/>
      <c r="D48" s="190"/>
      <c r="E48" s="191"/>
      <c r="F48" s="375" t="s">
        <v>187</v>
      </c>
      <c r="G48" s="375"/>
      <c r="H48" s="375"/>
      <c r="I48" s="375"/>
      <c r="J48" s="375"/>
      <c r="K48" s="375"/>
      <c r="L48" s="375"/>
      <c r="M48" s="376">
        <v>100</v>
      </c>
      <c r="N48" s="376"/>
      <c r="O48" s="376"/>
      <c r="P48" s="376">
        <v>1500</v>
      </c>
      <c r="Q48" s="376"/>
      <c r="R48" s="376"/>
      <c r="S48" s="376"/>
      <c r="T48" s="376">
        <v>150000</v>
      </c>
      <c r="U48" s="376"/>
      <c r="V48" s="376"/>
      <c r="W48" s="376"/>
      <c r="X48" s="377">
        <v>0.43880000000000002</v>
      </c>
      <c r="Y48" s="377"/>
      <c r="Z48" s="377"/>
      <c r="AA48" s="377"/>
      <c r="AB48" s="372">
        <v>0.497</v>
      </c>
      <c r="AC48" s="372"/>
      <c r="AD48" s="372"/>
      <c r="AE48" s="372"/>
      <c r="AF48" s="172" t="s">
        <v>188</v>
      </c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4"/>
      <c r="AT48" s="187">
        <f t="shared" si="0"/>
        <v>0.12251035298757641</v>
      </c>
      <c r="AU48" s="188">
        <f t="shared" si="1"/>
        <v>0.13263445761166803</v>
      </c>
      <c r="AV48" s="189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</row>
    <row r="49" spans="1:87" s="179" customFormat="1" ht="27" customHeight="1">
      <c r="A49" s="171"/>
      <c r="B49" s="190" t="s">
        <v>189</v>
      </c>
      <c r="C49" s="190"/>
      <c r="D49" s="190"/>
      <c r="E49" s="191"/>
      <c r="F49" s="192" t="s">
        <v>190</v>
      </c>
      <c r="G49" s="192"/>
      <c r="H49" s="192"/>
      <c r="I49" s="192"/>
      <c r="J49" s="192"/>
      <c r="K49" s="192"/>
      <c r="L49" s="192"/>
      <c r="M49" s="376">
        <v>105</v>
      </c>
      <c r="N49" s="376"/>
      <c r="O49" s="376"/>
      <c r="P49" s="376">
        <v>1575</v>
      </c>
      <c r="Q49" s="376"/>
      <c r="R49" s="376"/>
      <c r="S49" s="376"/>
      <c r="T49" s="376"/>
      <c r="U49" s="376"/>
      <c r="V49" s="376"/>
      <c r="W49" s="376"/>
      <c r="X49" s="377">
        <v>0.94930000000000003</v>
      </c>
      <c r="Y49" s="377"/>
      <c r="Z49" s="377"/>
      <c r="AA49" s="377"/>
      <c r="AB49" s="377">
        <v>0.94930000000000003</v>
      </c>
      <c r="AC49" s="377"/>
      <c r="AD49" s="377"/>
      <c r="AE49" s="377"/>
      <c r="AF49" s="172" t="s">
        <v>191</v>
      </c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4"/>
      <c r="AT49" s="187">
        <f>AB49/4.0568</f>
        <v>0.23400216919739697</v>
      </c>
      <c r="AU49" s="176"/>
      <c r="AV49" s="177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</row>
    <row r="50" spans="1:87" s="179" customFormat="1" ht="27" customHeight="1">
      <c r="A50" s="171"/>
      <c r="B50" s="190" t="s">
        <v>192</v>
      </c>
      <c r="C50" s="190"/>
      <c r="D50" s="190"/>
      <c r="E50" s="191"/>
      <c r="F50" s="192" t="s">
        <v>193</v>
      </c>
      <c r="G50" s="192"/>
      <c r="H50" s="192"/>
      <c r="I50" s="192"/>
      <c r="J50" s="192"/>
      <c r="K50" s="192"/>
      <c r="L50" s="192"/>
      <c r="M50" s="376">
        <v>100</v>
      </c>
      <c r="N50" s="376"/>
      <c r="O50" s="376"/>
      <c r="P50" s="376">
        <v>1500</v>
      </c>
      <c r="Q50" s="376"/>
      <c r="R50" s="376"/>
      <c r="S50" s="376"/>
      <c r="T50" s="376"/>
      <c r="U50" s="376"/>
      <c r="V50" s="376"/>
      <c r="W50" s="376"/>
      <c r="X50" s="377">
        <v>3.9847000000000001</v>
      </c>
      <c r="Y50" s="377"/>
      <c r="Z50" s="377"/>
      <c r="AA50" s="377"/>
      <c r="AB50" s="377">
        <v>3.9847000000000001</v>
      </c>
      <c r="AC50" s="377"/>
      <c r="AD50" s="377"/>
      <c r="AE50" s="377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4"/>
      <c r="AT50" s="187">
        <f t="shared" ref="AT50:AT52" si="2">AB50/4.0568</f>
        <v>0.98222737132715443</v>
      </c>
      <c r="AU50" s="176"/>
      <c r="AV50" s="177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</row>
    <row r="51" spans="1:87" s="179" customFormat="1" ht="27" customHeight="1">
      <c r="A51" s="171"/>
      <c r="B51" s="190" t="s">
        <v>194</v>
      </c>
      <c r="C51" s="190"/>
      <c r="D51" s="190"/>
      <c r="E51" s="191"/>
      <c r="F51" s="192" t="s">
        <v>195</v>
      </c>
      <c r="G51" s="192"/>
      <c r="H51" s="192"/>
      <c r="I51" s="192"/>
      <c r="J51" s="192"/>
      <c r="K51" s="192"/>
      <c r="L51" s="192"/>
      <c r="M51" s="376">
        <v>100</v>
      </c>
      <c r="N51" s="376"/>
      <c r="O51" s="376"/>
      <c r="P51" s="376">
        <v>1500</v>
      </c>
      <c r="Q51" s="376"/>
      <c r="R51" s="376"/>
      <c r="S51" s="376"/>
      <c r="T51" s="376"/>
      <c r="U51" s="376"/>
      <c r="V51" s="376"/>
      <c r="W51" s="376"/>
      <c r="X51" s="377">
        <v>1.2878000000000001</v>
      </c>
      <c r="Y51" s="377"/>
      <c r="Z51" s="377"/>
      <c r="AA51" s="377"/>
      <c r="AB51" s="377">
        <v>1.2878000000000001</v>
      </c>
      <c r="AC51" s="377"/>
      <c r="AD51" s="377"/>
      <c r="AE51" s="377"/>
      <c r="AF51" s="172" t="s">
        <v>191</v>
      </c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4"/>
      <c r="AT51" s="187">
        <f t="shared" si="2"/>
        <v>0.31744231906921716</v>
      </c>
      <c r="AU51" s="176"/>
      <c r="AV51" s="177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</row>
    <row r="52" spans="1:87" s="179" customFormat="1" ht="27" customHeight="1">
      <c r="A52" s="171"/>
      <c r="B52" s="374" t="s">
        <v>196</v>
      </c>
      <c r="C52" s="374"/>
      <c r="D52" s="374"/>
      <c r="E52" s="374"/>
      <c r="F52" s="375" t="s">
        <v>197</v>
      </c>
      <c r="G52" s="375"/>
      <c r="H52" s="375"/>
      <c r="I52" s="375"/>
      <c r="J52" s="375"/>
      <c r="K52" s="375"/>
      <c r="L52" s="375"/>
      <c r="M52" s="376">
        <v>100</v>
      </c>
      <c r="N52" s="376"/>
      <c r="O52" s="376"/>
      <c r="P52" s="376">
        <v>1500</v>
      </c>
      <c r="Q52" s="376"/>
      <c r="R52" s="376"/>
      <c r="S52" s="376"/>
      <c r="T52" s="376"/>
      <c r="U52" s="376"/>
      <c r="V52" s="376"/>
      <c r="W52" s="376"/>
      <c r="X52" s="377">
        <v>1.9097999999999999</v>
      </c>
      <c r="Y52" s="377"/>
      <c r="Z52" s="377"/>
      <c r="AA52" s="377"/>
      <c r="AB52" s="377">
        <v>1.9097999999999999</v>
      </c>
      <c r="AC52" s="377"/>
      <c r="AD52" s="377"/>
      <c r="AE52" s="377"/>
      <c r="AF52" s="172" t="s">
        <v>191</v>
      </c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4"/>
      <c r="AT52" s="187">
        <f t="shared" si="2"/>
        <v>0.47076513508183787</v>
      </c>
      <c r="AU52" s="176"/>
      <c r="AV52" s="177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</row>
    <row r="53" spans="1:87" s="179" customFormat="1" ht="27" customHeight="1">
      <c r="A53" s="171"/>
      <c r="B53" s="190"/>
      <c r="C53" s="190"/>
      <c r="D53" s="190"/>
      <c r="E53" s="190"/>
      <c r="F53" s="192"/>
      <c r="G53" s="192"/>
      <c r="H53" s="192"/>
      <c r="I53" s="192"/>
      <c r="J53" s="192"/>
      <c r="K53" s="192"/>
      <c r="L53" s="192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4"/>
      <c r="Y53" s="194"/>
      <c r="Z53" s="194"/>
      <c r="AA53" s="194"/>
      <c r="AB53" s="194"/>
      <c r="AC53" s="194"/>
      <c r="AD53" s="194"/>
      <c r="AE53" s="194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4"/>
      <c r="AT53" s="187"/>
      <c r="AU53" s="176"/>
      <c r="AV53" s="177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</row>
    <row r="54" spans="1:87" s="179" customFormat="1" ht="27" customHeight="1">
      <c r="A54" s="171"/>
      <c r="B54" s="190"/>
      <c r="C54" s="190"/>
      <c r="D54" s="190"/>
      <c r="E54" s="190"/>
      <c r="F54" s="192"/>
      <c r="G54" s="192"/>
      <c r="H54" s="192"/>
      <c r="I54" s="192"/>
      <c r="J54" s="192"/>
      <c r="K54" s="192"/>
      <c r="L54" s="192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4"/>
      <c r="Y54" s="194"/>
      <c r="Z54" s="194"/>
      <c r="AA54" s="194"/>
      <c r="AB54" s="194"/>
      <c r="AC54" s="194"/>
      <c r="AD54" s="194"/>
      <c r="AE54" s="194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4"/>
      <c r="AT54" s="187"/>
      <c r="AU54" s="176"/>
      <c r="AV54" s="177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</row>
    <row r="55" spans="1:87" s="179" customFormat="1" ht="27" customHeight="1">
      <c r="A55" s="171"/>
      <c r="B55" s="190"/>
      <c r="C55" s="190"/>
      <c r="D55" s="190"/>
      <c r="E55" s="190"/>
      <c r="F55" s="192"/>
      <c r="G55" s="192"/>
      <c r="H55" s="192"/>
      <c r="I55" s="192"/>
      <c r="J55" s="192"/>
      <c r="K55" s="192"/>
      <c r="L55" s="192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4"/>
      <c r="Y55" s="194"/>
      <c r="Z55" s="194"/>
      <c r="AA55" s="194"/>
      <c r="AB55" s="194"/>
      <c r="AC55" s="194"/>
      <c r="AD55" s="194"/>
      <c r="AE55" s="194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4"/>
      <c r="AT55" s="187"/>
      <c r="AU55" s="176"/>
      <c r="AV55" s="177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</row>
    <row r="56" spans="1:87" s="179" customFormat="1" ht="27" customHeight="1">
      <c r="A56" s="171"/>
      <c r="B56" s="190"/>
      <c r="C56" s="190"/>
      <c r="D56" s="190"/>
      <c r="E56" s="190"/>
      <c r="F56" s="192"/>
      <c r="G56" s="192"/>
      <c r="H56" s="192"/>
      <c r="I56" s="192"/>
      <c r="J56" s="192"/>
      <c r="K56" s="192"/>
      <c r="L56" s="192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4"/>
      <c r="Y56" s="194"/>
      <c r="Z56" s="194"/>
      <c r="AA56" s="194"/>
      <c r="AB56" s="194"/>
      <c r="AC56" s="194"/>
      <c r="AD56" s="194"/>
      <c r="AE56" s="194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4"/>
      <c r="AT56" s="187"/>
      <c r="AU56" s="176"/>
      <c r="AV56" s="177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</row>
    <row r="57" spans="1:87" s="179" customFormat="1" ht="27" customHeight="1">
      <c r="A57" s="171"/>
      <c r="B57" s="190"/>
      <c r="C57" s="190"/>
      <c r="D57" s="190"/>
      <c r="E57" s="190"/>
      <c r="F57" s="192"/>
      <c r="G57" s="192"/>
      <c r="H57" s="192"/>
      <c r="I57" s="192"/>
      <c r="J57" s="192"/>
      <c r="K57" s="192"/>
      <c r="L57" s="192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4"/>
      <c r="Y57" s="194"/>
      <c r="Z57" s="194"/>
      <c r="AA57" s="194"/>
      <c r="AB57" s="194"/>
      <c r="AC57" s="194"/>
      <c r="AD57" s="194"/>
      <c r="AE57" s="194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4"/>
      <c r="AT57" s="187"/>
      <c r="AU57" s="176"/>
      <c r="AV57" s="177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</row>
    <row r="58" spans="1:87" s="179" customFormat="1" ht="27" customHeight="1">
      <c r="A58" s="171"/>
      <c r="B58" s="190"/>
      <c r="C58" s="190"/>
      <c r="D58" s="190"/>
      <c r="E58" s="190"/>
      <c r="F58" s="192"/>
      <c r="G58" s="192"/>
      <c r="H58" s="192"/>
      <c r="I58" s="192"/>
      <c r="J58" s="192"/>
      <c r="K58" s="192"/>
      <c r="L58" s="192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4"/>
      <c r="Y58" s="194"/>
      <c r="Z58" s="194"/>
      <c r="AA58" s="194"/>
      <c r="AB58" s="194"/>
      <c r="AC58" s="194"/>
      <c r="AD58" s="194"/>
      <c r="AE58" s="194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4"/>
      <c r="AT58" s="187"/>
      <c r="AU58" s="176"/>
      <c r="AV58" s="177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</row>
    <row r="59" spans="1:87" s="179" customFormat="1" ht="27" customHeight="1">
      <c r="A59" s="171"/>
      <c r="B59" s="374"/>
      <c r="C59" s="374"/>
      <c r="D59" s="374"/>
      <c r="E59" s="374"/>
      <c r="F59" s="375"/>
      <c r="G59" s="375"/>
      <c r="H59" s="375"/>
      <c r="I59" s="375"/>
      <c r="J59" s="375"/>
      <c r="K59" s="375"/>
      <c r="L59" s="375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7"/>
      <c r="Y59" s="377"/>
      <c r="Z59" s="377"/>
      <c r="AA59" s="377"/>
      <c r="AB59" s="372"/>
      <c r="AC59" s="372"/>
      <c r="AD59" s="372"/>
      <c r="AE59" s="372"/>
      <c r="AF59" s="373"/>
      <c r="AG59" s="373"/>
      <c r="AH59" s="373"/>
      <c r="AI59" s="373"/>
      <c r="AJ59" s="172"/>
      <c r="AK59" s="172"/>
      <c r="AL59" s="172"/>
      <c r="AM59" s="172"/>
      <c r="AN59" s="172"/>
      <c r="AO59" s="172"/>
      <c r="AP59" s="172"/>
      <c r="AQ59" s="172"/>
      <c r="AR59" s="172"/>
      <c r="AS59" s="174"/>
      <c r="AT59" s="175"/>
      <c r="AU59" s="176"/>
      <c r="AV59" s="177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</row>
    <row r="60" spans="1:87" s="179" customFormat="1" ht="27" customHeight="1">
      <c r="A60" s="171"/>
      <c r="B60" s="374"/>
      <c r="C60" s="374"/>
      <c r="D60" s="374"/>
      <c r="E60" s="374"/>
      <c r="F60" s="375"/>
      <c r="G60" s="375"/>
      <c r="H60" s="375"/>
      <c r="I60" s="375"/>
      <c r="J60" s="375"/>
      <c r="K60" s="375"/>
      <c r="L60" s="375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7"/>
      <c r="Y60" s="377"/>
      <c r="Z60" s="377"/>
      <c r="AA60" s="377"/>
      <c r="AB60" s="372"/>
      <c r="AC60" s="372"/>
      <c r="AD60" s="372"/>
      <c r="AE60" s="372"/>
      <c r="AF60" s="373"/>
      <c r="AG60" s="373"/>
      <c r="AH60" s="373"/>
      <c r="AI60" s="373"/>
      <c r="AJ60" s="172"/>
      <c r="AK60" s="172"/>
      <c r="AL60" s="172"/>
      <c r="AM60" s="172"/>
      <c r="AN60" s="172"/>
      <c r="AO60" s="172"/>
      <c r="AP60" s="172"/>
      <c r="AQ60" s="172"/>
      <c r="AR60" s="172"/>
      <c r="AS60" s="174"/>
      <c r="AT60" s="175"/>
      <c r="AU60" s="176"/>
      <c r="AV60" s="177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</row>
    <row r="61" spans="1:87" s="179" customFormat="1" ht="27" customHeight="1">
      <c r="A61" s="171"/>
      <c r="B61" s="374"/>
      <c r="C61" s="374"/>
      <c r="D61" s="374"/>
      <c r="E61" s="374"/>
      <c r="F61" s="375"/>
      <c r="G61" s="375"/>
      <c r="H61" s="375"/>
      <c r="I61" s="375"/>
      <c r="J61" s="375"/>
      <c r="K61" s="375"/>
      <c r="L61" s="375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7"/>
      <c r="Y61" s="377"/>
      <c r="Z61" s="377"/>
      <c r="AA61" s="377"/>
      <c r="AB61" s="372"/>
      <c r="AC61" s="372"/>
      <c r="AD61" s="372"/>
      <c r="AE61" s="372"/>
      <c r="AF61" s="373"/>
      <c r="AG61" s="373"/>
      <c r="AH61" s="373"/>
      <c r="AI61" s="373"/>
      <c r="AJ61" s="172"/>
      <c r="AK61" s="172"/>
      <c r="AL61" s="172"/>
      <c r="AM61" s="172"/>
      <c r="AN61" s="172"/>
      <c r="AO61" s="172"/>
      <c r="AP61" s="172"/>
      <c r="AQ61" s="172"/>
      <c r="AR61" s="172"/>
      <c r="AS61" s="174"/>
      <c r="AT61" s="175"/>
      <c r="AU61" s="176"/>
      <c r="AV61" s="177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</row>
    <row r="62" spans="1:87" s="179" customFormat="1" ht="27" customHeight="1">
      <c r="A62" s="171"/>
      <c r="B62" s="374"/>
      <c r="C62" s="374"/>
      <c r="D62" s="374"/>
      <c r="E62" s="374"/>
      <c r="F62" s="375"/>
      <c r="G62" s="375"/>
      <c r="H62" s="375"/>
      <c r="I62" s="375"/>
      <c r="J62" s="375"/>
      <c r="K62" s="375"/>
      <c r="L62" s="375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7"/>
      <c r="Y62" s="377"/>
      <c r="Z62" s="377"/>
      <c r="AA62" s="377"/>
      <c r="AB62" s="372"/>
      <c r="AC62" s="372"/>
      <c r="AD62" s="372"/>
      <c r="AE62" s="372"/>
      <c r="AF62" s="373"/>
      <c r="AG62" s="373"/>
      <c r="AH62" s="373"/>
      <c r="AI62" s="373"/>
      <c r="AJ62" s="172"/>
      <c r="AK62" s="172"/>
      <c r="AL62" s="172"/>
      <c r="AM62" s="172"/>
      <c r="AN62" s="172"/>
      <c r="AO62" s="172"/>
      <c r="AP62" s="172"/>
      <c r="AQ62" s="172"/>
      <c r="AR62" s="172"/>
      <c r="AS62" s="174"/>
      <c r="AT62" s="175"/>
      <c r="AU62" s="176"/>
      <c r="AV62" s="177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</row>
    <row r="63" spans="1:87" s="179" customFormat="1" ht="27" customHeight="1">
      <c r="A63" s="171"/>
      <c r="B63" s="374"/>
      <c r="C63" s="374"/>
      <c r="D63" s="374"/>
      <c r="E63" s="374"/>
      <c r="F63" s="375"/>
      <c r="G63" s="375"/>
      <c r="H63" s="375"/>
      <c r="I63" s="375"/>
      <c r="J63" s="375"/>
      <c r="K63" s="375"/>
      <c r="L63" s="375"/>
      <c r="M63" s="376"/>
      <c r="N63" s="376"/>
      <c r="O63" s="376"/>
      <c r="P63" s="376"/>
      <c r="Q63" s="376"/>
      <c r="R63" s="376"/>
      <c r="S63" s="376"/>
      <c r="T63" s="376"/>
      <c r="U63" s="376"/>
      <c r="V63" s="376"/>
      <c r="W63" s="376"/>
      <c r="X63" s="377"/>
      <c r="Y63" s="377"/>
      <c r="Z63" s="377"/>
      <c r="AA63" s="377"/>
      <c r="AB63" s="372"/>
      <c r="AC63" s="372"/>
      <c r="AD63" s="372"/>
      <c r="AE63" s="372"/>
      <c r="AF63" s="373"/>
      <c r="AG63" s="373"/>
      <c r="AH63" s="373"/>
      <c r="AI63" s="373"/>
      <c r="AJ63" s="172"/>
      <c r="AK63" s="172"/>
      <c r="AL63" s="172"/>
      <c r="AM63" s="172"/>
      <c r="AN63" s="172"/>
      <c r="AO63" s="172"/>
      <c r="AP63" s="172"/>
      <c r="AQ63" s="172"/>
      <c r="AR63" s="172"/>
      <c r="AS63" s="174"/>
      <c r="AT63" s="175"/>
      <c r="AU63" s="176"/>
      <c r="AV63" s="177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</row>
    <row r="64" spans="1:87" s="179" customFormat="1" ht="27" customHeight="1">
      <c r="A64" s="171"/>
      <c r="B64" s="374"/>
      <c r="C64" s="374"/>
      <c r="D64" s="374"/>
      <c r="E64" s="374"/>
      <c r="F64" s="375"/>
      <c r="G64" s="375"/>
      <c r="H64" s="375"/>
      <c r="I64" s="375"/>
      <c r="J64" s="375"/>
      <c r="K64" s="375"/>
      <c r="L64" s="375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7"/>
      <c r="Y64" s="377"/>
      <c r="Z64" s="377"/>
      <c r="AA64" s="377"/>
      <c r="AB64" s="372"/>
      <c r="AC64" s="372"/>
      <c r="AD64" s="372"/>
      <c r="AE64" s="372"/>
      <c r="AF64" s="373"/>
      <c r="AG64" s="373"/>
      <c r="AH64" s="373"/>
      <c r="AI64" s="373"/>
      <c r="AJ64" s="172"/>
      <c r="AK64" s="172"/>
      <c r="AL64" s="172"/>
      <c r="AM64" s="172"/>
      <c r="AN64" s="172"/>
      <c r="AO64" s="172"/>
      <c r="AP64" s="172"/>
      <c r="AQ64" s="172"/>
      <c r="AR64" s="172"/>
      <c r="AS64" s="174"/>
      <c r="AT64" s="175"/>
      <c r="AU64" s="176"/>
      <c r="AV64" s="177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</row>
    <row r="65" spans="1:87" s="179" customFormat="1" ht="27" customHeight="1">
      <c r="A65" s="171"/>
      <c r="B65" s="368"/>
      <c r="C65" s="368"/>
      <c r="D65" s="368"/>
      <c r="E65" s="368"/>
      <c r="F65" s="369"/>
      <c r="G65" s="369"/>
      <c r="H65" s="369"/>
      <c r="I65" s="369"/>
      <c r="J65" s="369"/>
      <c r="K65" s="369"/>
      <c r="L65" s="369"/>
      <c r="M65" s="370"/>
      <c r="N65" s="370"/>
      <c r="O65" s="370"/>
      <c r="P65" s="370"/>
      <c r="Q65" s="370"/>
      <c r="R65" s="370"/>
      <c r="S65" s="370"/>
      <c r="T65" s="370">
        <f>SUM(T41:W64)</f>
        <v>1540400</v>
      </c>
      <c r="U65" s="370"/>
      <c r="V65" s="370"/>
      <c r="W65" s="370"/>
      <c r="X65" s="371"/>
      <c r="Y65" s="371"/>
      <c r="Z65" s="371"/>
      <c r="AA65" s="371"/>
      <c r="AB65" s="365"/>
      <c r="AC65" s="365"/>
      <c r="AD65" s="365"/>
      <c r="AE65" s="365"/>
      <c r="AF65" s="366"/>
      <c r="AG65" s="366"/>
      <c r="AH65" s="366"/>
      <c r="AI65" s="366"/>
      <c r="AJ65" s="185"/>
      <c r="AK65" s="185"/>
      <c r="AL65" s="185"/>
      <c r="AM65" s="185"/>
      <c r="AN65" s="185"/>
      <c r="AO65" s="185"/>
      <c r="AP65" s="185"/>
      <c r="AQ65" s="185"/>
      <c r="AR65" s="185"/>
      <c r="AS65" s="174"/>
      <c r="AT65" s="175"/>
      <c r="AU65" s="176"/>
      <c r="AV65" s="177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</row>
    <row r="66" spans="1:87" s="179" customFormat="1" ht="27" customHeight="1">
      <c r="A66" s="171"/>
      <c r="B66" s="172"/>
      <c r="C66" s="172"/>
      <c r="D66" s="172"/>
      <c r="E66" s="173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95"/>
      <c r="X66" s="195"/>
      <c r="Y66" s="195"/>
      <c r="Z66" s="195"/>
      <c r="AA66" s="195"/>
      <c r="AB66" s="195"/>
      <c r="AC66" s="195"/>
      <c r="AD66" s="172"/>
      <c r="AE66" s="172"/>
      <c r="AF66" s="172"/>
      <c r="AG66" s="196"/>
      <c r="AH66" s="196"/>
      <c r="AI66" s="196"/>
      <c r="AJ66" s="196"/>
      <c r="AK66" s="196"/>
      <c r="AL66" s="172"/>
      <c r="AM66" s="172"/>
      <c r="AN66" s="172"/>
      <c r="AO66" s="172"/>
      <c r="AP66" s="172"/>
      <c r="AQ66" s="172"/>
      <c r="AR66" s="172"/>
      <c r="AS66" s="174"/>
      <c r="AT66" s="175"/>
      <c r="AU66" s="176"/>
      <c r="AV66" s="177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</row>
    <row r="67" spans="1:87" s="179" customFormat="1" ht="27" customHeight="1">
      <c r="A67" s="171"/>
      <c r="B67" s="172" t="s">
        <v>198</v>
      </c>
      <c r="C67" s="172"/>
      <c r="D67" s="172"/>
      <c r="E67" s="197" t="s">
        <v>199</v>
      </c>
      <c r="F67" s="172"/>
      <c r="G67" s="172"/>
      <c r="H67" s="172"/>
      <c r="I67" s="172"/>
      <c r="J67" s="172"/>
      <c r="K67" s="172"/>
      <c r="L67" s="172"/>
      <c r="M67" s="197"/>
      <c r="N67" s="197"/>
      <c r="O67" s="198"/>
      <c r="P67" s="198"/>
      <c r="Q67" s="198"/>
      <c r="R67" s="198"/>
      <c r="S67" s="198"/>
      <c r="T67" s="172"/>
      <c r="U67" s="172"/>
      <c r="V67" s="172"/>
      <c r="W67" s="199"/>
      <c r="X67" s="199"/>
      <c r="Y67" s="199"/>
      <c r="Z67" s="199"/>
      <c r="AA67" s="199"/>
      <c r="AB67" s="199"/>
      <c r="AC67" s="199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4"/>
      <c r="AT67" s="175"/>
      <c r="AU67" s="176"/>
      <c r="AV67" s="177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</row>
    <row r="68" spans="1:87" s="179" customFormat="1" ht="27" customHeight="1">
      <c r="A68" s="171"/>
      <c r="B68" s="172"/>
      <c r="C68" s="172"/>
      <c r="D68" s="172"/>
      <c r="E68" s="173"/>
      <c r="F68" s="172"/>
      <c r="G68" s="172"/>
      <c r="H68" s="172"/>
      <c r="I68" s="172"/>
      <c r="J68" s="172"/>
      <c r="K68" s="172"/>
      <c r="L68" s="172"/>
      <c r="M68" s="197"/>
      <c r="N68" s="197"/>
      <c r="O68" s="198"/>
      <c r="P68" s="198"/>
      <c r="Q68" s="198"/>
      <c r="R68" s="198"/>
      <c r="S68" s="198"/>
      <c r="T68" s="367"/>
      <c r="U68" s="367"/>
      <c r="V68" s="367"/>
      <c r="W68" s="367"/>
      <c r="X68" s="195"/>
      <c r="Y68" s="195"/>
      <c r="Z68" s="195"/>
      <c r="AA68" s="195"/>
      <c r="AB68" s="195"/>
      <c r="AC68" s="195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4"/>
      <c r="AT68" s="175"/>
      <c r="AU68" s="176"/>
      <c r="AV68" s="177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</row>
    <row r="69" spans="1:87" s="179" customFormat="1" ht="27" customHeight="1">
      <c r="A69" s="171"/>
      <c r="B69" s="172"/>
      <c r="C69" s="172"/>
      <c r="D69" s="172"/>
      <c r="E69" s="173"/>
      <c r="F69" s="172"/>
      <c r="G69" s="172"/>
      <c r="H69" s="172"/>
      <c r="I69" s="172"/>
      <c r="J69" s="172"/>
      <c r="K69" s="172"/>
      <c r="L69" s="172"/>
      <c r="M69" s="197"/>
      <c r="N69" s="197"/>
      <c r="O69" s="198"/>
      <c r="P69" s="198"/>
      <c r="Q69" s="198"/>
      <c r="R69" s="198"/>
      <c r="S69" s="198"/>
      <c r="T69" s="367"/>
      <c r="U69" s="367"/>
      <c r="V69" s="367"/>
      <c r="W69" s="367"/>
      <c r="X69" s="195"/>
      <c r="Y69" s="195"/>
      <c r="Z69" s="195"/>
      <c r="AA69" s="195"/>
      <c r="AB69" s="195"/>
      <c r="AC69" s="195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4"/>
      <c r="AT69" s="175"/>
      <c r="AU69" s="176"/>
      <c r="AV69" s="177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</row>
    <row r="70" spans="1:87" s="179" customFormat="1" ht="27" customHeight="1">
      <c r="A70" s="171"/>
      <c r="B70" s="172"/>
      <c r="C70" s="172"/>
      <c r="D70" s="172"/>
      <c r="E70" s="173"/>
      <c r="F70" s="172"/>
      <c r="G70" s="172"/>
      <c r="H70" s="172"/>
      <c r="I70" s="172"/>
      <c r="J70" s="172"/>
      <c r="K70" s="172"/>
      <c r="L70" s="172"/>
      <c r="M70" s="197"/>
      <c r="N70" s="197"/>
      <c r="O70" s="198"/>
      <c r="P70" s="198"/>
      <c r="Q70" s="198"/>
      <c r="R70" s="198"/>
      <c r="S70" s="198"/>
      <c r="T70" s="367"/>
      <c r="U70" s="367"/>
      <c r="V70" s="367"/>
      <c r="W70" s="367"/>
      <c r="X70" s="195"/>
      <c r="Y70" s="195"/>
      <c r="Z70" s="195"/>
      <c r="AA70" s="195"/>
      <c r="AB70" s="195"/>
      <c r="AC70" s="195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4"/>
      <c r="AT70" s="175"/>
      <c r="AU70" s="176"/>
      <c r="AV70" s="177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</row>
    <row r="71" spans="1:87" s="179" customFormat="1" ht="27" customHeight="1">
      <c r="A71" s="171"/>
      <c r="B71" s="181"/>
      <c r="C71" s="181"/>
      <c r="D71" s="181"/>
      <c r="E71" s="191"/>
      <c r="F71" s="172"/>
      <c r="G71" s="172"/>
      <c r="H71" s="172"/>
      <c r="I71" s="172"/>
      <c r="J71" s="172"/>
      <c r="K71" s="172"/>
      <c r="L71" s="172"/>
      <c r="M71" s="197"/>
      <c r="N71" s="197"/>
      <c r="O71" s="198"/>
      <c r="P71" s="198"/>
      <c r="Q71" s="198"/>
      <c r="R71" s="198"/>
      <c r="S71" s="198"/>
      <c r="T71" s="367"/>
      <c r="U71" s="367"/>
      <c r="V71" s="367"/>
      <c r="W71" s="367"/>
      <c r="X71" s="199"/>
      <c r="Y71" s="199"/>
      <c r="Z71" s="199"/>
      <c r="AA71" s="199"/>
      <c r="AB71" s="199"/>
      <c r="AC71" s="199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4"/>
      <c r="AT71" s="175"/>
      <c r="AU71" s="176"/>
      <c r="AV71" s="177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</row>
    <row r="72" spans="1:87" s="179" customFormat="1" ht="27" customHeight="1">
      <c r="A72" s="171"/>
      <c r="B72" s="181"/>
      <c r="C72" s="181"/>
      <c r="D72" s="181"/>
      <c r="E72" s="191"/>
      <c r="F72" s="172"/>
      <c r="G72" s="172"/>
      <c r="H72" s="172"/>
      <c r="I72" s="172"/>
      <c r="J72" s="172"/>
      <c r="K72" s="172"/>
      <c r="L72" s="172"/>
      <c r="M72" s="197"/>
      <c r="N72" s="197"/>
      <c r="O72" s="198"/>
      <c r="P72" s="198"/>
      <c r="Q72" s="198"/>
      <c r="R72" s="198"/>
      <c r="S72" s="198"/>
      <c r="T72" s="172"/>
      <c r="U72" s="172"/>
      <c r="V72" s="172"/>
      <c r="W72" s="199"/>
      <c r="X72" s="199"/>
      <c r="Y72" s="199"/>
      <c r="Z72" s="199"/>
      <c r="AA72" s="199"/>
      <c r="AB72" s="199"/>
      <c r="AC72" s="199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4"/>
      <c r="AT72" s="175"/>
      <c r="AU72" s="176"/>
      <c r="AV72" s="177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</row>
    <row r="73" spans="1:87" s="179" customFormat="1" ht="27" customHeight="1">
      <c r="A73" s="171"/>
      <c r="B73" s="172"/>
      <c r="C73" s="172"/>
      <c r="D73" s="172"/>
      <c r="E73" s="173"/>
      <c r="F73" s="172"/>
      <c r="G73" s="172"/>
      <c r="H73" s="172"/>
      <c r="I73" s="172"/>
      <c r="J73" s="172"/>
      <c r="K73" s="172"/>
      <c r="L73" s="172"/>
      <c r="M73" s="172"/>
      <c r="N73" s="172"/>
      <c r="O73" s="195"/>
      <c r="P73" s="195"/>
      <c r="Q73" s="195"/>
      <c r="R73" s="195"/>
      <c r="S73" s="195"/>
      <c r="T73" s="172"/>
      <c r="U73" s="172"/>
      <c r="V73" s="172"/>
      <c r="W73" s="195"/>
      <c r="X73" s="195"/>
      <c r="Y73" s="195"/>
      <c r="Z73" s="195"/>
      <c r="AA73" s="195"/>
      <c r="AB73" s="195"/>
      <c r="AC73" s="195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4"/>
      <c r="AT73" s="175"/>
      <c r="AU73" s="176"/>
      <c r="AV73" s="177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</row>
    <row r="74" spans="1:87" s="206" customFormat="1" ht="60">
      <c r="A74" s="200"/>
      <c r="B74" s="363" t="s">
        <v>200</v>
      </c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  <c r="AN74" s="363"/>
      <c r="AO74" s="363"/>
      <c r="AP74" s="363"/>
      <c r="AQ74" s="363"/>
      <c r="AR74" s="363"/>
      <c r="AS74" s="201"/>
      <c r="AT74" s="202"/>
      <c r="AU74" s="203"/>
      <c r="AV74" s="204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</row>
    <row r="75" spans="1:87" s="214" customFormat="1" ht="27" customHeight="1">
      <c r="A75" s="207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80"/>
      <c r="X75" s="180"/>
      <c r="Y75" s="180"/>
      <c r="Z75" s="180"/>
      <c r="AA75" s="180"/>
      <c r="AB75" s="180"/>
      <c r="AC75" s="180"/>
      <c r="AD75" s="180"/>
      <c r="AE75" s="180"/>
      <c r="AF75" s="208"/>
      <c r="AG75" s="208"/>
      <c r="AH75" s="208"/>
      <c r="AI75" s="208"/>
      <c r="AJ75" s="208"/>
      <c r="AK75" s="208"/>
      <c r="AL75" s="180"/>
      <c r="AM75" s="180"/>
      <c r="AN75" s="180"/>
      <c r="AO75" s="180"/>
      <c r="AP75" s="180"/>
      <c r="AQ75" s="180"/>
      <c r="AR75" s="180"/>
      <c r="AS75" s="209"/>
      <c r="AT75" s="210"/>
      <c r="AU75" s="211"/>
      <c r="AV75" s="212"/>
      <c r="AW75" s="213"/>
      <c r="AX75" s="213"/>
      <c r="AY75" s="213"/>
      <c r="AZ75" s="213"/>
      <c r="BA75" s="213"/>
      <c r="BB75" s="213"/>
      <c r="BC75" s="213"/>
      <c r="BD75" s="213"/>
      <c r="BE75" s="213"/>
      <c r="BF75" s="213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3"/>
      <c r="BT75" s="213"/>
      <c r="BU75" s="213"/>
      <c r="BV75" s="213"/>
      <c r="BW75" s="213"/>
      <c r="BX75" s="213"/>
      <c r="BY75" s="213"/>
      <c r="BZ75" s="213"/>
      <c r="CA75" s="213"/>
      <c r="CB75" s="213"/>
      <c r="CC75" s="213"/>
      <c r="CD75" s="213"/>
      <c r="CE75" s="213"/>
      <c r="CF75" s="213"/>
      <c r="CG75" s="213"/>
      <c r="CH75" s="213"/>
      <c r="CI75" s="213"/>
    </row>
    <row r="76" spans="1:87" s="214" customFormat="1" ht="27" customHeight="1">
      <c r="A76" s="207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80"/>
      <c r="X76" s="180"/>
      <c r="Y76" s="180"/>
      <c r="Z76" s="180"/>
      <c r="AA76" s="180"/>
      <c r="AB76" s="180"/>
      <c r="AC76" s="180"/>
      <c r="AD76" s="180"/>
      <c r="AE76" s="180"/>
      <c r="AF76" s="208"/>
      <c r="AG76" s="208"/>
      <c r="AH76" s="208"/>
      <c r="AI76" s="208"/>
      <c r="AJ76" s="208"/>
      <c r="AK76" s="208"/>
      <c r="AL76" s="180"/>
      <c r="AM76" s="180"/>
      <c r="AN76" s="180"/>
      <c r="AO76" s="180"/>
      <c r="AP76" s="180"/>
      <c r="AQ76" s="180"/>
      <c r="AR76" s="180"/>
      <c r="AS76" s="209"/>
      <c r="AT76" s="210"/>
      <c r="AU76" s="211"/>
      <c r="AV76" s="212"/>
      <c r="AW76" s="213"/>
      <c r="AX76" s="213"/>
      <c r="AY76" s="213"/>
      <c r="AZ76" s="213"/>
      <c r="BA76" s="213"/>
      <c r="BB76" s="213"/>
      <c r="BC76" s="213"/>
      <c r="BD76" s="213"/>
      <c r="BE76" s="213"/>
      <c r="BF76" s="213"/>
      <c r="BG76" s="213"/>
      <c r="BH76" s="213"/>
      <c r="BI76" s="213"/>
      <c r="BJ76" s="213"/>
      <c r="BK76" s="213"/>
      <c r="BL76" s="213"/>
      <c r="BM76" s="213"/>
      <c r="BN76" s="213"/>
      <c r="BO76" s="213"/>
      <c r="BP76" s="213"/>
      <c r="BQ76" s="213"/>
      <c r="BR76" s="213"/>
      <c r="BS76" s="213"/>
      <c r="BT76" s="213"/>
      <c r="BU76" s="213"/>
      <c r="BV76" s="213"/>
      <c r="BW76" s="213"/>
      <c r="BX76" s="213"/>
      <c r="BY76" s="213"/>
      <c r="BZ76" s="213"/>
      <c r="CA76" s="213"/>
      <c r="CB76" s="213"/>
      <c r="CC76" s="213"/>
      <c r="CD76" s="213"/>
      <c r="CE76" s="213"/>
      <c r="CF76" s="213"/>
      <c r="CG76" s="213"/>
      <c r="CH76" s="213"/>
      <c r="CI76" s="213"/>
    </row>
    <row r="77" spans="1:87" s="179" customFormat="1" ht="27" customHeight="1">
      <c r="A77" s="171"/>
      <c r="B77" s="172"/>
      <c r="C77" s="172"/>
      <c r="D77" s="172"/>
      <c r="E77" s="173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4"/>
      <c r="AT77" s="175"/>
      <c r="AU77" s="176"/>
      <c r="AV77" s="177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</row>
    <row r="78" spans="1:87" s="179" customFormat="1" ht="27" customHeight="1">
      <c r="A78" s="171"/>
      <c r="B78" s="172"/>
      <c r="C78" s="172"/>
      <c r="D78" s="172"/>
      <c r="E78" s="173"/>
      <c r="F78" s="172"/>
      <c r="G78" s="172"/>
      <c r="H78" s="172"/>
      <c r="I78" s="172"/>
      <c r="J78" s="215"/>
      <c r="K78" s="215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4"/>
      <c r="AT78" s="175"/>
      <c r="AU78" s="176"/>
      <c r="AV78" s="177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</row>
    <row r="79" spans="1:87" s="179" customFormat="1" ht="27" customHeight="1">
      <c r="A79" s="171"/>
      <c r="B79" s="185"/>
      <c r="C79" s="185"/>
      <c r="D79" s="185"/>
      <c r="E79" s="186"/>
      <c r="F79" s="185"/>
      <c r="G79" s="185"/>
      <c r="H79" s="185"/>
      <c r="I79" s="185"/>
      <c r="J79" s="185"/>
      <c r="K79" s="172"/>
      <c r="L79" s="172"/>
      <c r="M79" s="172"/>
      <c r="N79" s="172"/>
      <c r="O79" s="172"/>
      <c r="P79" s="172"/>
      <c r="Q79" s="185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74"/>
      <c r="AT79" s="175"/>
      <c r="AU79" s="176"/>
      <c r="AV79" s="177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</row>
    <row r="80" spans="1:87" s="179" customFormat="1" ht="27" customHeight="1">
      <c r="A80" s="171"/>
      <c r="B80" s="364" t="s">
        <v>201</v>
      </c>
      <c r="C80" s="364"/>
      <c r="D80" s="364"/>
      <c r="E80" s="364"/>
      <c r="F80" s="364"/>
      <c r="G80" s="364"/>
      <c r="H80" s="364"/>
      <c r="I80" s="364"/>
      <c r="J80" s="364"/>
      <c r="K80" s="172"/>
      <c r="L80" s="172"/>
      <c r="M80" s="172"/>
      <c r="N80" s="172"/>
      <c r="O80" s="172"/>
      <c r="P80" s="172"/>
      <c r="Q80" s="364" t="s">
        <v>202</v>
      </c>
      <c r="R80" s="364"/>
      <c r="S80" s="364"/>
      <c r="T80" s="364"/>
      <c r="U80" s="364"/>
      <c r="V80" s="364"/>
      <c r="W80" s="364"/>
      <c r="X80" s="364"/>
      <c r="Y80" s="364"/>
      <c r="Z80" s="364"/>
      <c r="AA80" s="364"/>
      <c r="AB80" s="172"/>
      <c r="AC80" s="172"/>
      <c r="AD80" s="172"/>
      <c r="AE80" s="172"/>
      <c r="AF80" s="172"/>
      <c r="AG80" s="172"/>
      <c r="AH80" s="364" t="s">
        <v>203</v>
      </c>
      <c r="AI80" s="364"/>
      <c r="AJ80" s="364"/>
      <c r="AK80" s="364"/>
      <c r="AL80" s="364"/>
      <c r="AM80" s="364"/>
      <c r="AN80" s="364"/>
      <c r="AO80" s="364"/>
      <c r="AP80" s="364"/>
      <c r="AQ80" s="364"/>
      <c r="AR80" s="364"/>
      <c r="AS80" s="174"/>
      <c r="AT80" s="175"/>
      <c r="AU80" s="176"/>
      <c r="AV80" s="177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</row>
    <row r="81" spans="1:87" s="179" customFormat="1" ht="27" customHeight="1">
      <c r="A81" s="171"/>
      <c r="B81" s="361" t="s">
        <v>143</v>
      </c>
      <c r="C81" s="361"/>
      <c r="D81" s="361"/>
      <c r="E81" s="361"/>
      <c r="F81" s="361"/>
      <c r="G81" s="361"/>
      <c r="H81" s="361"/>
      <c r="I81" s="361"/>
      <c r="J81" s="361"/>
      <c r="K81" s="172"/>
      <c r="L81" s="172"/>
      <c r="M81" s="172"/>
      <c r="N81" s="172"/>
      <c r="O81" s="172"/>
      <c r="P81" s="172"/>
      <c r="Q81" s="361" t="s">
        <v>204</v>
      </c>
      <c r="R81" s="361"/>
      <c r="S81" s="361"/>
      <c r="T81" s="361"/>
      <c r="U81" s="361"/>
      <c r="V81" s="361"/>
      <c r="W81" s="361"/>
      <c r="X81" s="361"/>
      <c r="Y81" s="361"/>
      <c r="Z81" s="361"/>
      <c r="AA81" s="361"/>
      <c r="AB81" s="172"/>
      <c r="AC81" s="172"/>
      <c r="AD81" s="172"/>
      <c r="AE81" s="172"/>
      <c r="AF81" s="172"/>
      <c r="AG81" s="172"/>
      <c r="AH81" s="361" t="s">
        <v>205</v>
      </c>
      <c r="AI81" s="361"/>
      <c r="AJ81" s="361"/>
      <c r="AK81" s="361"/>
      <c r="AL81" s="361"/>
      <c r="AM81" s="361"/>
      <c r="AN81" s="361"/>
      <c r="AO81" s="361"/>
      <c r="AP81" s="361"/>
      <c r="AQ81" s="361"/>
      <c r="AR81" s="361"/>
      <c r="AS81" s="174"/>
      <c r="AT81" s="175"/>
      <c r="AU81" s="176"/>
      <c r="AV81" s="177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178"/>
      <c r="BT81" s="178"/>
      <c r="BU81" s="178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</row>
    <row r="82" spans="1:87" s="179" customFormat="1" ht="27" customHeight="1">
      <c r="A82" s="171"/>
      <c r="B82" s="361" t="s">
        <v>206</v>
      </c>
      <c r="C82" s="361"/>
      <c r="D82" s="361"/>
      <c r="E82" s="361"/>
      <c r="F82" s="361"/>
      <c r="G82" s="361"/>
      <c r="H82" s="361"/>
      <c r="I82" s="361"/>
      <c r="J82" s="361"/>
      <c r="K82" s="172"/>
      <c r="L82" s="172"/>
      <c r="M82" s="172"/>
      <c r="N82" s="172"/>
      <c r="O82" s="172"/>
      <c r="P82" s="172"/>
      <c r="Q82" s="361" t="s">
        <v>207</v>
      </c>
      <c r="R82" s="361"/>
      <c r="S82" s="361"/>
      <c r="T82" s="361"/>
      <c r="U82" s="361"/>
      <c r="V82" s="361"/>
      <c r="W82" s="361"/>
      <c r="X82" s="361"/>
      <c r="Y82" s="361"/>
      <c r="Z82" s="361"/>
      <c r="AA82" s="361"/>
      <c r="AB82" s="172"/>
      <c r="AC82" s="172"/>
      <c r="AD82" s="172"/>
      <c r="AE82" s="172"/>
      <c r="AF82" s="172"/>
      <c r="AG82" s="172"/>
      <c r="AH82" s="361" t="s">
        <v>208</v>
      </c>
      <c r="AI82" s="361"/>
      <c r="AJ82" s="361"/>
      <c r="AK82" s="361"/>
      <c r="AL82" s="361"/>
      <c r="AM82" s="361"/>
      <c r="AN82" s="361"/>
      <c r="AO82" s="361"/>
      <c r="AP82" s="361"/>
      <c r="AQ82" s="361"/>
      <c r="AR82" s="361"/>
      <c r="AS82" s="174"/>
      <c r="AT82" s="175"/>
      <c r="AU82" s="176"/>
      <c r="AV82" s="177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178"/>
      <c r="BT82" s="178"/>
      <c r="BU82" s="178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</row>
    <row r="83" spans="1:87" s="179" customFormat="1" ht="27" customHeight="1">
      <c r="A83" s="171"/>
      <c r="B83" s="173"/>
      <c r="C83" s="173"/>
      <c r="D83" s="173"/>
      <c r="E83" s="173"/>
      <c r="F83" s="173"/>
      <c r="G83" s="173"/>
      <c r="H83" s="173"/>
      <c r="I83" s="173"/>
      <c r="J83" s="173"/>
      <c r="K83" s="172"/>
      <c r="L83" s="172"/>
      <c r="M83" s="172"/>
      <c r="N83" s="172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2"/>
      <c r="AE83" s="172"/>
      <c r="AF83" s="172"/>
      <c r="AG83" s="172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4"/>
      <c r="AT83" s="175"/>
      <c r="AU83" s="176"/>
      <c r="AV83" s="177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8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</row>
    <row r="84" spans="1:87" s="179" customFormat="1" ht="27" customHeight="1" thickBot="1">
      <c r="A84" s="216"/>
      <c r="B84" s="362"/>
      <c r="C84" s="362"/>
      <c r="D84" s="362"/>
      <c r="E84" s="362"/>
      <c r="F84" s="362"/>
      <c r="G84" s="362"/>
      <c r="H84" s="362"/>
      <c r="I84" s="362"/>
      <c r="J84" s="362"/>
      <c r="K84" s="217"/>
      <c r="L84" s="217"/>
      <c r="M84" s="217"/>
      <c r="N84" s="217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  <c r="Z84" s="362"/>
      <c r="AA84" s="362"/>
      <c r="AB84" s="362"/>
      <c r="AC84" s="362"/>
      <c r="AD84" s="217"/>
      <c r="AE84" s="217"/>
      <c r="AF84" s="217"/>
      <c r="AG84" s="217"/>
      <c r="AH84" s="217"/>
      <c r="AI84" s="362"/>
      <c r="AJ84" s="362"/>
      <c r="AK84" s="362"/>
      <c r="AL84" s="362"/>
      <c r="AM84" s="362"/>
      <c r="AN84" s="362"/>
      <c r="AO84" s="362"/>
      <c r="AP84" s="362"/>
      <c r="AQ84" s="362"/>
      <c r="AR84" s="362"/>
      <c r="AS84" s="218"/>
      <c r="AT84" s="175"/>
      <c r="AU84" s="176"/>
      <c r="AV84" s="177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8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</row>
    <row r="85" spans="1:87" s="224" customFormat="1" ht="27" customHeight="1">
      <c r="A85" s="219"/>
      <c r="B85" s="220"/>
      <c r="C85" s="220"/>
      <c r="D85" s="220"/>
      <c r="E85" s="221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  <c r="AM85" s="220"/>
      <c r="AN85" s="220"/>
      <c r="AO85" s="220"/>
      <c r="AP85" s="220"/>
      <c r="AQ85" s="220"/>
      <c r="AR85" s="220"/>
      <c r="AS85" s="220"/>
      <c r="AT85" s="222"/>
      <c r="AU85" s="223"/>
      <c r="AV85" s="221"/>
      <c r="AW85" s="220"/>
      <c r="AX85" s="220"/>
      <c r="AY85" s="220"/>
      <c r="AZ85" s="220"/>
      <c r="BA85" s="220"/>
      <c r="BB85" s="220"/>
      <c r="BC85" s="220"/>
      <c r="BD85" s="220"/>
      <c r="BE85" s="220"/>
      <c r="BF85" s="220"/>
      <c r="BG85" s="220"/>
      <c r="BH85" s="220"/>
      <c r="BI85" s="220"/>
      <c r="BJ85" s="220"/>
      <c r="BK85" s="220"/>
      <c r="BL85" s="220"/>
      <c r="BM85" s="220"/>
      <c r="BN85" s="220"/>
      <c r="BO85" s="220"/>
      <c r="BP85" s="220"/>
      <c r="BQ85" s="220"/>
      <c r="BR85" s="220"/>
      <c r="BS85" s="220"/>
      <c r="BT85" s="220"/>
      <c r="BU85" s="220"/>
      <c r="BV85" s="220"/>
      <c r="BW85" s="220"/>
      <c r="BX85" s="220"/>
      <c r="BY85" s="220"/>
      <c r="BZ85" s="220"/>
      <c r="CA85" s="220"/>
      <c r="CB85" s="220"/>
      <c r="CC85" s="220"/>
      <c r="CD85" s="220"/>
      <c r="CE85" s="220"/>
      <c r="CF85" s="220"/>
      <c r="CG85" s="220"/>
      <c r="CH85" s="220"/>
      <c r="CI85" s="220"/>
    </row>
    <row r="86" spans="1:87" s="224" customFormat="1" ht="27" customHeight="1">
      <c r="A86" s="219"/>
      <c r="B86" s="220"/>
      <c r="C86" s="220"/>
      <c r="D86" s="220"/>
      <c r="E86" s="221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  <c r="AM86" s="220"/>
      <c r="AN86" s="220"/>
      <c r="AO86" s="220"/>
      <c r="AP86" s="220"/>
      <c r="AQ86" s="220"/>
      <c r="AR86" s="220"/>
      <c r="AS86" s="220"/>
      <c r="AT86" s="222"/>
      <c r="AU86" s="223"/>
      <c r="AV86" s="221"/>
      <c r="AW86" s="220"/>
      <c r="AX86" s="220"/>
      <c r="AY86" s="220"/>
      <c r="AZ86" s="220"/>
      <c r="BA86" s="220"/>
      <c r="BB86" s="220"/>
      <c r="BC86" s="220"/>
      <c r="BD86" s="220"/>
      <c r="BE86" s="220"/>
      <c r="BF86" s="220"/>
      <c r="BG86" s="220"/>
      <c r="BH86" s="220"/>
      <c r="BI86" s="220"/>
      <c r="BJ86" s="220"/>
      <c r="BK86" s="220"/>
      <c r="BL86" s="220"/>
      <c r="BM86" s="220"/>
      <c r="BN86" s="220"/>
      <c r="BO86" s="220"/>
      <c r="BP86" s="220"/>
      <c r="BQ86" s="220"/>
      <c r="BR86" s="220"/>
      <c r="BS86" s="220"/>
      <c r="BT86" s="220"/>
      <c r="BU86" s="220"/>
      <c r="BV86" s="220"/>
      <c r="BW86" s="220"/>
      <c r="BX86" s="220"/>
      <c r="BY86" s="220"/>
      <c r="BZ86" s="220"/>
      <c r="CA86" s="220"/>
      <c r="CB86" s="220"/>
      <c r="CC86" s="220"/>
      <c r="CD86" s="220"/>
      <c r="CE86" s="220"/>
      <c r="CF86" s="220"/>
      <c r="CG86" s="220"/>
      <c r="CH86" s="220"/>
      <c r="CI86" s="220"/>
    </row>
    <row r="87" spans="1:87" s="224" customFormat="1" ht="27" customHeight="1">
      <c r="A87" s="219"/>
      <c r="B87" s="220"/>
      <c r="C87" s="220"/>
      <c r="D87" s="220"/>
      <c r="E87" s="221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  <c r="AM87" s="220"/>
      <c r="AN87" s="220"/>
      <c r="AO87" s="220"/>
      <c r="AP87" s="220"/>
      <c r="AQ87" s="220"/>
      <c r="AR87" s="220"/>
      <c r="AS87" s="220"/>
      <c r="AT87" s="222"/>
      <c r="AU87" s="223"/>
      <c r="AV87" s="221"/>
      <c r="AW87" s="220"/>
      <c r="AX87" s="220"/>
      <c r="AY87" s="220"/>
      <c r="AZ87" s="220"/>
      <c r="BA87" s="220"/>
      <c r="BB87" s="220"/>
      <c r="BC87" s="220"/>
      <c r="BD87" s="220"/>
      <c r="BE87" s="220"/>
      <c r="BF87" s="220"/>
      <c r="BG87" s="220"/>
      <c r="BH87" s="220"/>
      <c r="BI87" s="220"/>
      <c r="BJ87" s="220"/>
      <c r="BK87" s="220"/>
      <c r="BL87" s="220"/>
      <c r="BM87" s="220"/>
      <c r="BN87" s="220"/>
      <c r="BO87" s="220"/>
      <c r="BP87" s="220"/>
      <c r="BQ87" s="220"/>
      <c r="BR87" s="220"/>
      <c r="BS87" s="220"/>
      <c r="BT87" s="220"/>
      <c r="BU87" s="220"/>
      <c r="BV87" s="220"/>
      <c r="BW87" s="220"/>
      <c r="BX87" s="220"/>
      <c r="BY87" s="220"/>
      <c r="BZ87" s="220"/>
      <c r="CA87" s="220"/>
      <c r="CB87" s="220"/>
      <c r="CC87" s="220"/>
      <c r="CD87" s="220"/>
      <c r="CE87" s="220"/>
      <c r="CF87" s="220"/>
      <c r="CG87" s="220"/>
      <c r="CH87" s="220"/>
      <c r="CI87" s="220"/>
    </row>
    <row r="88" spans="1:87" s="224" customFormat="1" ht="27" customHeight="1">
      <c r="A88" s="219"/>
      <c r="B88" s="220"/>
      <c r="C88" s="220"/>
      <c r="D88" s="220"/>
      <c r="E88" s="221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2"/>
      <c r="AU88" s="223"/>
      <c r="AV88" s="221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  <c r="BM88" s="220"/>
      <c r="BN88" s="220"/>
      <c r="BO88" s="220"/>
      <c r="BP88" s="220"/>
      <c r="BQ88" s="220"/>
      <c r="BR88" s="220"/>
      <c r="BS88" s="220"/>
      <c r="BT88" s="220"/>
      <c r="BU88" s="220"/>
      <c r="BV88" s="220"/>
      <c r="BW88" s="220"/>
      <c r="BX88" s="220"/>
      <c r="BY88" s="220"/>
      <c r="BZ88" s="220"/>
      <c r="CA88" s="220"/>
      <c r="CB88" s="220"/>
      <c r="CC88" s="220"/>
      <c r="CD88" s="220"/>
      <c r="CE88" s="220"/>
      <c r="CF88" s="220"/>
      <c r="CG88" s="220"/>
      <c r="CH88" s="220"/>
      <c r="CI88" s="220"/>
    </row>
    <row r="89" spans="1:87" s="224" customFormat="1" ht="27" customHeight="1">
      <c r="A89" s="219"/>
      <c r="B89" s="220"/>
      <c r="C89" s="220"/>
      <c r="D89" s="220"/>
      <c r="E89" s="221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  <c r="AM89" s="220"/>
      <c r="AN89" s="220"/>
      <c r="AO89" s="220"/>
      <c r="AP89" s="220"/>
      <c r="AQ89" s="220"/>
      <c r="AR89" s="220"/>
      <c r="AS89" s="220"/>
      <c r="AT89" s="222"/>
      <c r="AU89" s="223"/>
      <c r="AV89" s="221"/>
      <c r="AW89" s="220"/>
      <c r="AX89" s="220"/>
      <c r="AY89" s="220"/>
      <c r="AZ89" s="220"/>
      <c r="BA89" s="220"/>
      <c r="BB89" s="220"/>
      <c r="BC89" s="220"/>
      <c r="BD89" s="220"/>
      <c r="BE89" s="220"/>
      <c r="BF89" s="220"/>
      <c r="BG89" s="220"/>
      <c r="BH89" s="220"/>
      <c r="BI89" s="220"/>
      <c r="BJ89" s="220"/>
      <c r="BK89" s="220"/>
      <c r="BL89" s="220"/>
      <c r="BM89" s="220"/>
      <c r="BN89" s="220"/>
      <c r="BO89" s="220"/>
      <c r="BP89" s="220"/>
      <c r="BQ89" s="220"/>
      <c r="BR89" s="220"/>
      <c r="BS89" s="220"/>
      <c r="BT89" s="220"/>
      <c r="BU89" s="220"/>
      <c r="BV89" s="220"/>
      <c r="BW89" s="220"/>
      <c r="BX89" s="220"/>
      <c r="BY89" s="220"/>
      <c r="BZ89" s="220"/>
      <c r="CA89" s="220"/>
      <c r="CB89" s="220"/>
      <c r="CC89" s="220"/>
      <c r="CD89" s="220"/>
      <c r="CE89" s="220"/>
      <c r="CF89" s="220"/>
      <c r="CG89" s="220"/>
      <c r="CH89" s="220"/>
      <c r="CI89" s="220"/>
    </row>
    <row r="90" spans="1:87" s="224" customFormat="1" ht="27" customHeight="1">
      <c r="A90" s="219"/>
      <c r="B90" s="220"/>
      <c r="C90" s="220"/>
      <c r="D90" s="220"/>
      <c r="E90" s="221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  <c r="AM90" s="220"/>
      <c r="AN90" s="220"/>
      <c r="AO90" s="220"/>
      <c r="AP90" s="220"/>
      <c r="AQ90" s="220"/>
      <c r="AR90" s="220"/>
      <c r="AS90" s="220"/>
      <c r="AT90" s="222"/>
      <c r="AU90" s="223"/>
      <c r="AV90" s="221"/>
      <c r="AW90" s="220"/>
      <c r="AX90" s="220"/>
      <c r="AY90" s="220"/>
      <c r="AZ90" s="220"/>
      <c r="BA90" s="220"/>
      <c r="BB90" s="220"/>
      <c r="BC90" s="220"/>
      <c r="BD90" s="220"/>
      <c r="BE90" s="220"/>
      <c r="BF90" s="220"/>
      <c r="BG90" s="220"/>
      <c r="BH90" s="220"/>
      <c r="BI90" s="220"/>
      <c r="BJ90" s="220"/>
      <c r="BK90" s="220"/>
      <c r="BL90" s="220"/>
      <c r="BM90" s="220"/>
      <c r="BN90" s="220"/>
      <c r="BO90" s="220"/>
      <c r="BP90" s="220"/>
      <c r="BQ90" s="220"/>
      <c r="BR90" s="220"/>
      <c r="BS90" s="220"/>
      <c r="BT90" s="220"/>
      <c r="BU90" s="220"/>
      <c r="BV90" s="220"/>
      <c r="BW90" s="220"/>
      <c r="BX90" s="220"/>
      <c r="BY90" s="220"/>
      <c r="BZ90" s="220"/>
      <c r="CA90" s="220"/>
      <c r="CB90" s="220"/>
      <c r="CC90" s="220"/>
      <c r="CD90" s="220"/>
      <c r="CE90" s="220"/>
      <c r="CF90" s="220"/>
      <c r="CG90" s="220"/>
      <c r="CH90" s="220"/>
      <c r="CI90" s="220"/>
    </row>
    <row r="91" spans="1:87" s="224" customFormat="1" ht="27" customHeight="1">
      <c r="A91" s="219"/>
      <c r="B91" s="220"/>
      <c r="C91" s="220"/>
      <c r="D91" s="220"/>
      <c r="E91" s="221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  <c r="AM91" s="220"/>
      <c r="AN91" s="220"/>
      <c r="AO91" s="220"/>
      <c r="AP91" s="220"/>
      <c r="AQ91" s="220"/>
      <c r="AR91" s="220"/>
      <c r="AS91" s="220"/>
      <c r="AT91" s="222"/>
      <c r="AU91" s="223"/>
      <c r="AV91" s="221"/>
      <c r="AW91" s="220"/>
      <c r="AX91" s="220"/>
      <c r="AY91" s="220"/>
      <c r="AZ91" s="220"/>
      <c r="BA91" s="220"/>
      <c r="BB91" s="220"/>
      <c r="BC91" s="220"/>
      <c r="BD91" s="220"/>
      <c r="BE91" s="220"/>
      <c r="BF91" s="220"/>
      <c r="BG91" s="220"/>
      <c r="BH91" s="220"/>
      <c r="BI91" s="220"/>
      <c r="BJ91" s="220"/>
      <c r="BK91" s="220"/>
      <c r="BL91" s="220"/>
      <c r="BM91" s="220"/>
      <c r="BN91" s="220"/>
      <c r="BO91" s="220"/>
      <c r="BP91" s="220"/>
      <c r="BQ91" s="220"/>
      <c r="BR91" s="220"/>
      <c r="BS91" s="220"/>
      <c r="BT91" s="220"/>
      <c r="BU91" s="220"/>
      <c r="BV91" s="220"/>
      <c r="BW91" s="220"/>
      <c r="BX91" s="220"/>
      <c r="BY91" s="220"/>
      <c r="BZ91" s="220"/>
      <c r="CA91" s="220"/>
      <c r="CB91" s="220"/>
      <c r="CC91" s="220"/>
      <c r="CD91" s="220"/>
      <c r="CE91" s="220"/>
      <c r="CF91" s="220"/>
      <c r="CG91" s="220"/>
      <c r="CH91" s="220"/>
      <c r="CI91" s="220"/>
    </row>
    <row r="92" spans="1:87" s="224" customFormat="1" ht="27" customHeight="1">
      <c r="A92" s="219"/>
      <c r="B92" s="220"/>
      <c r="C92" s="220"/>
      <c r="D92" s="220"/>
      <c r="E92" s="221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  <c r="AM92" s="220"/>
      <c r="AN92" s="220"/>
      <c r="AO92" s="220"/>
      <c r="AP92" s="220"/>
      <c r="AQ92" s="220"/>
      <c r="AR92" s="220"/>
      <c r="AS92" s="220"/>
      <c r="AT92" s="222"/>
      <c r="AU92" s="223"/>
      <c r="AV92" s="221"/>
      <c r="AW92" s="220"/>
      <c r="AX92" s="220"/>
      <c r="AY92" s="220"/>
      <c r="AZ92" s="220"/>
      <c r="BA92" s="220"/>
      <c r="BB92" s="220"/>
      <c r="BC92" s="220"/>
      <c r="BD92" s="220"/>
      <c r="BE92" s="220"/>
      <c r="BF92" s="220"/>
      <c r="BG92" s="220"/>
      <c r="BH92" s="220"/>
      <c r="BI92" s="220"/>
      <c r="BJ92" s="220"/>
      <c r="BK92" s="220"/>
      <c r="BL92" s="220"/>
      <c r="BM92" s="220"/>
      <c r="BN92" s="220"/>
      <c r="BO92" s="220"/>
      <c r="BP92" s="220"/>
      <c r="BQ92" s="220"/>
      <c r="BR92" s="220"/>
      <c r="BS92" s="220"/>
      <c r="BT92" s="220"/>
      <c r="BU92" s="220"/>
      <c r="BV92" s="220"/>
      <c r="BW92" s="220"/>
      <c r="BX92" s="220"/>
      <c r="BY92" s="220"/>
      <c r="BZ92" s="220"/>
      <c r="CA92" s="220"/>
      <c r="CB92" s="220"/>
      <c r="CC92" s="220"/>
      <c r="CD92" s="220"/>
      <c r="CE92" s="220"/>
      <c r="CF92" s="220"/>
      <c r="CG92" s="220"/>
      <c r="CH92" s="220"/>
      <c r="CI92" s="220"/>
    </row>
    <row r="93" spans="1:87" s="224" customFormat="1" ht="27" customHeight="1">
      <c r="A93" s="219"/>
      <c r="B93" s="220"/>
      <c r="C93" s="220"/>
      <c r="D93" s="220"/>
      <c r="E93" s="221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  <c r="AM93" s="220"/>
      <c r="AN93" s="220"/>
      <c r="AO93" s="220"/>
      <c r="AP93" s="220"/>
      <c r="AQ93" s="220"/>
      <c r="AR93" s="220"/>
      <c r="AS93" s="220"/>
      <c r="AT93" s="222"/>
      <c r="AU93" s="223"/>
      <c r="AV93" s="221"/>
      <c r="AW93" s="220"/>
      <c r="AX93" s="220"/>
      <c r="AY93" s="220"/>
      <c r="AZ93" s="220"/>
      <c r="BA93" s="220"/>
      <c r="BB93" s="220"/>
      <c r="BC93" s="220"/>
      <c r="BD93" s="220"/>
      <c r="BE93" s="220"/>
      <c r="BF93" s="220"/>
      <c r="BG93" s="220"/>
      <c r="BH93" s="220"/>
      <c r="BI93" s="220"/>
      <c r="BJ93" s="220"/>
      <c r="BK93" s="220"/>
      <c r="BL93" s="220"/>
      <c r="BM93" s="220"/>
      <c r="BN93" s="220"/>
      <c r="BO93" s="220"/>
      <c r="BP93" s="220"/>
      <c r="BQ93" s="220"/>
      <c r="BR93" s="220"/>
      <c r="BS93" s="220"/>
      <c r="BT93" s="220"/>
      <c r="BU93" s="220"/>
      <c r="BV93" s="220"/>
      <c r="BW93" s="220"/>
      <c r="BX93" s="220"/>
      <c r="BY93" s="220"/>
      <c r="BZ93" s="220"/>
      <c r="CA93" s="220"/>
      <c r="CB93" s="220"/>
      <c r="CC93" s="220"/>
      <c r="CD93" s="220"/>
      <c r="CE93" s="220"/>
      <c r="CF93" s="220"/>
      <c r="CG93" s="220"/>
      <c r="CH93" s="220"/>
      <c r="CI93" s="220"/>
    </row>
    <row r="94" spans="1:87" s="224" customFormat="1" ht="27" customHeight="1">
      <c r="A94" s="219"/>
      <c r="B94" s="220"/>
      <c r="C94" s="220"/>
      <c r="D94" s="220"/>
      <c r="E94" s="221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  <c r="AM94" s="220"/>
      <c r="AN94" s="220"/>
      <c r="AO94" s="220"/>
      <c r="AP94" s="220"/>
      <c r="AQ94" s="220"/>
      <c r="AR94" s="220"/>
      <c r="AS94" s="220"/>
      <c r="AT94" s="222"/>
      <c r="AU94" s="223"/>
      <c r="AV94" s="221"/>
      <c r="AW94" s="220"/>
      <c r="AX94" s="220"/>
      <c r="AY94" s="220"/>
      <c r="AZ94" s="220"/>
      <c r="BA94" s="220"/>
      <c r="BB94" s="220"/>
      <c r="BC94" s="220"/>
      <c r="BD94" s="220"/>
      <c r="BE94" s="220"/>
      <c r="BF94" s="220"/>
      <c r="BG94" s="220"/>
      <c r="BH94" s="220"/>
      <c r="BI94" s="220"/>
      <c r="BJ94" s="220"/>
      <c r="BK94" s="220"/>
      <c r="BL94" s="220"/>
      <c r="BM94" s="220"/>
      <c r="BN94" s="220"/>
      <c r="BO94" s="220"/>
      <c r="BP94" s="220"/>
      <c r="BQ94" s="220"/>
      <c r="BR94" s="220"/>
      <c r="BS94" s="220"/>
      <c r="BT94" s="220"/>
      <c r="BU94" s="220"/>
      <c r="BV94" s="220"/>
      <c r="BW94" s="220"/>
      <c r="BX94" s="220"/>
      <c r="BY94" s="220"/>
      <c r="BZ94" s="220"/>
      <c r="CA94" s="220"/>
      <c r="CB94" s="220"/>
      <c r="CC94" s="220"/>
      <c r="CD94" s="220"/>
      <c r="CE94" s="220"/>
      <c r="CF94" s="220"/>
      <c r="CG94" s="220"/>
      <c r="CH94" s="220"/>
      <c r="CI94" s="220"/>
    </row>
    <row r="95" spans="1:87" s="224" customFormat="1" ht="27" customHeight="1">
      <c r="A95" s="219"/>
      <c r="B95" s="220"/>
      <c r="C95" s="220"/>
      <c r="D95" s="220"/>
      <c r="E95" s="221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  <c r="AM95" s="220"/>
      <c r="AN95" s="220"/>
      <c r="AO95" s="220"/>
      <c r="AP95" s="220"/>
      <c r="AQ95" s="220"/>
      <c r="AR95" s="220"/>
      <c r="AS95" s="220"/>
      <c r="AT95" s="222"/>
      <c r="AU95" s="223"/>
      <c r="AV95" s="221"/>
      <c r="AW95" s="220"/>
      <c r="AX95" s="220"/>
      <c r="AY95" s="220"/>
      <c r="AZ95" s="220"/>
      <c r="BA95" s="220"/>
      <c r="BB95" s="220"/>
      <c r="BC95" s="220"/>
      <c r="BD95" s="220"/>
      <c r="BE95" s="220"/>
      <c r="BF95" s="220"/>
      <c r="BG95" s="220"/>
      <c r="BH95" s="220"/>
      <c r="BI95" s="220"/>
      <c r="BJ95" s="220"/>
      <c r="BK95" s="220"/>
      <c r="BL95" s="220"/>
      <c r="BM95" s="220"/>
      <c r="BN95" s="220"/>
      <c r="BO95" s="220"/>
      <c r="BP95" s="220"/>
      <c r="BQ95" s="220"/>
      <c r="BR95" s="220"/>
      <c r="BS95" s="220"/>
      <c r="BT95" s="220"/>
      <c r="BU95" s="220"/>
      <c r="BV95" s="220"/>
      <c r="BW95" s="220"/>
      <c r="BX95" s="220"/>
      <c r="BY95" s="220"/>
      <c r="BZ95" s="220"/>
      <c r="CA95" s="220"/>
      <c r="CB95" s="220"/>
      <c r="CC95" s="220"/>
      <c r="CD95" s="220"/>
      <c r="CE95" s="220"/>
      <c r="CF95" s="220"/>
      <c r="CG95" s="220"/>
      <c r="CH95" s="220"/>
      <c r="CI95" s="220"/>
    </row>
    <row r="96" spans="1:87" s="224" customFormat="1" ht="27" customHeight="1">
      <c r="A96" s="219"/>
      <c r="B96" s="220"/>
      <c r="C96" s="220"/>
      <c r="D96" s="220"/>
      <c r="E96" s="221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  <c r="AM96" s="220"/>
      <c r="AN96" s="220"/>
      <c r="AO96" s="220"/>
      <c r="AP96" s="220"/>
      <c r="AQ96" s="220"/>
      <c r="AR96" s="220"/>
      <c r="AS96" s="220"/>
      <c r="AT96" s="222"/>
      <c r="AU96" s="223"/>
      <c r="AV96" s="221"/>
      <c r="AW96" s="220"/>
      <c r="AX96" s="220"/>
      <c r="AY96" s="220"/>
      <c r="AZ96" s="220"/>
      <c r="BA96" s="220"/>
      <c r="BB96" s="220"/>
      <c r="BC96" s="220"/>
      <c r="BD96" s="220"/>
      <c r="BE96" s="220"/>
      <c r="BF96" s="220"/>
      <c r="BG96" s="220"/>
      <c r="BH96" s="220"/>
      <c r="BI96" s="220"/>
      <c r="BJ96" s="220"/>
      <c r="BK96" s="220"/>
      <c r="BL96" s="220"/>
      <c r="BM96" s="220"/>
      <c r="BN96" s="220"/>
      <c r="BO96" s="220"/>
      <c r="BP96" s="220"/>
      <c r="BQ96" s="220"/>
      <c r="BR96" s="220"/>
      <c r="BS96" s="220"/>
      <c r="BT96" s="220"/>
      <c r="BU96" s="220"/>
      <c r="BV96" s="220"/>
      <c r="BW96" s="220"/>
      <c r="BX96" s="220"/>
      <c r="BY96" s="220"/>
      <c r="BZ96" s="220"/>
      <c r="CA96" s="220"/>
      <c r="CB96" s="220"/>
      <c r="CC96" s="220"/>
      <c r="CD96" s="220"/>
      <c r="CE96" s="220"/>
      <c r="CF96" s="220"/>
      <c r="CG96" s="220"/>
      <c r="CH96" s="220"/>
      <c r="CI96" s="220"/>
    </row>
    <row r="97" spans="1:87" s="224" customFormat="1" ht="27" customHeight="1">
      <c r="A97" s="219"/>
      <c r="B97" s="220"/>
      <c r="C97" s="220"/>
      <c r="D97" s="220"/>
      <c r="E97" s="221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  <c r="AM97" s="220"/>
      <c r="AN97" s="220"/>
      <c r="AO97" s="220"/>
      <c r="AP97" s="220"/>
      <c r="AQ97" s="220"/>
      <c r="AR97" s="220"/>
      <c r="AS97" s="220"/>
      <c r="AT97" s="222"/>
      <c r="AU97" s="223"/>
      <c r="AV97" s="221"/>
      <c r="AW97" s="220"/>
      <c r="AX97" s="220"/>
      <c r="AY97" s="220"/>
      <c r="AZ97" s="220"/>
      <c r="BA97" s="220"/>
      <c r="BB97" s="220"/>
      <c r="BC97" s="220"/>
      <c r="BD97" s="220"/>
      <c r="BE97" s="220"/>
      <c r="BF97" s="220"/>
      <c r="BG97" s="220"/>
      <c r="BH97" s="220"/>
      <c r="BI97" s="220"/>
      <c r="BJ97" s="220"/>
      <c r="BK97" s="220"/>
      <c r="BL97" s="220"/>
      <c r="BM97" s="220"/>
      <c r="BN97" s="220"/>
      <c r="BO97" s="220"/>
      <c r="BP97" s="220"/>
      <c r="BQ97" s="220"/>
      <c r="BR97" s="220"/>
      <c r="BS97" s="220"/>
      <c r="BT97" s="220"/>
      <c r="BU97" s="220"/>
      <c r="BV97" s="220"/>
      <c r="BW97" s="220"/>
      <c r="BX97" s="220"/>
      <c r="BY97" s="220"/>
      <c r="BZ97" s="220"/>
      <c r="CA97" s="220"/>
      <c r="CB97" s="220"/>
      <c r="CC97" s="220"/>
      <c r="CD97" s="220"/>
      <c r="CE97" s="220"/>
      <c r="CF97" s="220"/>
      <c r="CG97" s="220"/>
      <c r="CH97" s="220"/>
      <c r="CI97" s="220"/>
    </row>
    <row r="98" spans="1:87" s="224" customFormat="1" ht="27" customHeight="1">
      <c r="A98" s="219"/>
      <c r="B98" s="220"/>
      <c r="C98" s="220"/>
      <c r="D98" s="220"/>
      <c r="E98" s="221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  <c r="AM98" s="220"/>
      <c r="AN98" s="220"/>
      <c r="AO98" s="220"/>
      <c r="AP98" s="220"/>
      <c r="AQ98" s="220"/>
      <c r="AR98" s="220"/>
      <c r="AS98" s="220"/>
      <c r="AT98" s="222"/>
      <c r="AU98" s="223"/>
      <c r="AV98" s="221"/>
      <c r="AW98" s="220"/>
      <c r="AX98" s="220"/>
      <c r="AY98" s="220"/>
      <c r="AZ98" s="220"/>
      <c r="BA98" s="220"/>
      <c r="BB98" s="220"/>
      <c r="BC98" s="220"/>
      <c r="BD98" s="220"/>
      <c r="BE98" s="220"/>
      <c r="BF98" s="220"/>
      <c r="BG98" s="220"/>
      <c r="BH98" s="220"/>
      <c r="BI98" s="220"/>
      <c r="BJ98" s="220"/>
      <c r="BK98" s="220"/>
      <c r="BL98" s="220"/>
      <c r="BM98" s="220"/>
      <c r="BN98" s="220"/>
      <c r="BO98" s="220"/>
      <c r="BP98" s="220"/>
      <c r="BQ98" s="220"/>
      <c r="BR98" s="220"/>
      <c r="BS98" s="220"/>
      <c r="BT98" s="220"/>
      <c r="BU98" s="220"/>
      <c r="BV98" s="220"/>
      <c r="BW98" s="220"/>
      <c r="BX98" s="220"/>
      <c r="BY98" s="220"/>
      <c r="BZ98" s="220"/>
      <c r="CA98" s="220"/>
      <c r="CB98" s="220"/>
      <c r="CC98" s="220"/>
      <c r="CD98" s="220"/>
      <c r="CE98" s="220"/>
      <c r="CF98" s="220"/>
      <c r="CG98" s="220"/>
      <c r="CH98" s="220"/>
      <c r="CI98" s="220"/>
    </row>
    <row r="99" spans="1:87" s="224" customFormat="1" ht="27" customHeight="1">
      <c r="A99" s="219"/>
      <c r="B99" s="220"/>
      <c r="C99" s="220"/>
      <c r="D99" s="220"/>
      <c r="E99" s="221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  <c r="AM99" s="220"/>
      <c r="AN99" s="220"/>
      <c r="AO99" s="220"/>
      <c r="AP99" s="220"/>
      <c r="AQ99" s="220"/>
      <c r="AR99" s="220"/>
      <c r="AS99" s="220"/>
      <c r="AT99" s="222"/>
      <c r="AU99" s="223"/>
      <c r="AV99" s="221"/>
      <c r="AW99" s="220"/>
      <c r="AX99" s="220"/>
      <c r="AY99" s="220"/>
      <c r="AZ99" s="220"/>
      <c r="BA99" s="220"/>
      <c r="BB99" s="220"/>
      <c r="BC99" s="220"/>
      <c r="BD99" s="220"/>
      <c r="BE99" s="220"/>
      <c r="BF99" s="220"/>
      <c r="BG99" s="220"/>
      <c r="BH99" s="220"/>
      <c r="BI99" s="220"/>
      <c r="BJ99" s="220"/>
      <c r="BK99" s="220"/>
      <c r="BL99" s="220"/>
      <c r="BM99" s="220"/>
      <c r="BN99" s="220"/>
      <c r="BO99" s="220"/>
      <c r="BP99" s="220"/>
      <c r="BQ99" s="220"/>
      <c r="BR99" s="220"/>
      <c r="BS99" s="220"/>
      <c r="BT99" s="220"/>
      <c r="BU99" s="220"/>
      <c r="BV99" s="220"/>
      <c r="BW99" s="220"/>
      <c r="BX99" s="220"/>
      <c r="BY99" s="220"/>
      <c r="BZ99" s="220"/>
      <c r="CA99" s="220"/>
      <c r="CB99" s="220"/>
      <c r="CC99" s="220"/>
      <c r="CD99" s="220"/>
      <c r="CE99" s="220"/>
      <c r="CF99" s="220"/>
      <c r="CG99" s="220"/>
      <c r="CH99" s="220"/>
      <c r="CI99" s="220"/>
    </row>
    <row r="100" spans="1:87" s="224" customFormat="1" ht="27" customHeight="1">
      <c r="A100" s="219"/>
      <c r="B100" s="220"/>
      <c r="C100" s="220"/>
      <c r="D100" s="220"/>
      <c r="E100" s="221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2"/>
      <c r="AU100" s="223"/>
      <c r="AV100" s="221"/>
      <c r="AW100" s="220"/>
      <c r="AX100" s="220"/>
      <c r="AY100" s="220"/>
      <c r="AZ100" s="220"/>
      <c r="BA100" s="220"/>
      <c r="BB100" s="220"/>
      <c r="BC100" s="220"/>
      <c r="BD100" s="220"/>
      <c r="BE100" s="220"/>
      <c r="BF100" s="220"/>
      <c r="BG100" s="220"/>
      <c r="BH100" s="220"/>
      <c r="BI100" s="220"/>
      <c r="BJ100" s="220"/>
      <c r="BK100" s="220"/>
      <c r="BL100" s="220"/>
      <c r="BM100" s="220"/>
      <c r="BN100" s="220"/>
      <c r="BO100" s="220"/>
      <c r="BP100" s="220"/>
      <c r="BQ100" s="220"/>
      <c r="BR100" s="220"/>
      <c r="BS100" s="220"/>
      <c r="BT100" s="220"/>
      <c r="BU100" s="220"/>
      <c r="BV100" s="220"/>
      <c r="BW100" s="220"/>
      <c r="BX100" s="220"/>
      <c r="BY100" s="220"/>
      <c r="BZ100" s="220"/>
      <c r="CA100" s="220"/>
      <c r="CB100" s="220"/>
      <c r="CC100" s="220"/>
      <c r="CD100" s="220"/>
      <c r="CE100" s="220"/>
      <c r="CF100" s="220"/>
      <c r="CG100" s="220"/>
      <c r="CH100" s="220"/>
      <c r="CI100" s="220"/>
    </row>
    <row r="101" spans="1:87" s="224" customFormat="1" ht="27" customHeight="1">
      <c r="A101" s="219"/>
      <c r="B101" s="220"/>
      <c r="C101" s="220"/>
      <c r="D101" s="220"/>
      <c r="E101" s="221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2"/>
      <c r="AU101" s="223"/>
      <c r="AV101" s="221"/>
      <c r="AW101" s="220"/>
      <c r="AX101" s="220"/>
      <c r="AY101" s="220"/>
      <c r="AZ101" s="220"/>
      <c r="BA101" s="220"/>
      <c r="BB101" s="220"/>
      <c r="BC101" s="220"/>
      <c r="BD101" s="220"/>
      <c r="BE101" s="220"/>
      <c r="BF101" s="220"/>
      <c r="BG101" s="220"/>
      <c r="BH101" s="220"/>
      <c r="BI101" s="220"/>
      <c r="BJ101" s="220"/>
      <c r="BK101" s="220"/>
      <c r="BL101" s="220"/>
      <c r="BM101" s="220"/>
      <c r="BN101" s="220"/>
      <c r="BO101" s="220"/>
      <c r="BP101" s="220"/>
      <c r="BQ101" s="220"/>
      <c r="BR101" s="220"/>
      <c r="BS101" s="220"/>
      <c r="BT101" s="220"/>
      <c r="BU101" s="220"/>
      <c r="BV101" s="220"/>
      <c r="BW101" s="220"/>
      <c r="BX101" s="220"/>
      <c r="BY101" s="220"/>
      <c r="BZ101" s="220"/>
      <c r="CA101" s="220"/>
      <c r="CB101" s="220"/>
      <c r="CC101" s="220"/>
      <c r="CD101" s="220"/>
      <c r="CE101" s="220"/>
      <c r="CF101" s="220"/>
      <c r="CG101" s="220"/>
      <c r="CH101" s="220"/>
      <c r="CI101" s="220"/>
    </row>
    <row r="102" spans="1:87" s="232" customFormat="1" ht="27" customHeight="1">
      <c r="A102" s="225"/>
      <c r="B102" s="226"/>
      <c r="C102" s="226"/>
      <c r="D102" s="226"/>
      <c r="E102" s="227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/>
      <c r="AD102" s="226"/>
      <c r="AE102" s="226"/>
      <c r="AF102" s="226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8"/>
      <c r="AT102" s="229"/>
      <c r="AU102" s="230"/>
      <c r="AV102" s="231"/>
      <c r="AW102" s="228"/>
      <c r="AX102" s="228"/>
      <c r="AY102" s="228"/>
      <c r="AZ102" s="228"/>
      <c r="BA102" s="228"/>
      <c r="BB102" s="228"/>
      <c r="BC102" s="228"/>
      <c r="BD102" s="228"/>
      <c r="BE102" s="228"/>
      <c r="BF102" s="228"/>
      <c r="BG102" s="228"/>
      <c r="BH102" s="228"/>
      <c r="BI102" s="228"/>
      <c r="BJ102" s="228"/>
      <c r="BK102" s="228"/>
      <c r="BL102" s="228"/>
      <c r="BM102" s="228"/>
      <c r="BN102" s="228"/>
      <c r="BO102" s="228"/>
      <c r="BP102" s="228"/>
      <c r="BQ102" s="228"/>
      <c r="BR102" s="228"/>
      <c r="BS102" s="228"/>
      <c r="BT102" s="228"/>
      <c r="BU102" s="228"/>
      <c r="BV102" s="228"/>
      <c r="BW102" s="228"/>
      <c r="BX102" s="228"/>
      <c r="BY102" s="228"/>
      <c r="BZ102" s="228"/>
      <c r="CA102" s="228"/>
      <c r="CB102" s="228"/>
      <c r="CC102" s="228"/>
      <c r="CD102" s="228"/>
      <c r="CE102" s="228"/>
      <c r="CF102" s="228"/>
      <c r="CG102" s="228"/>
      <c r="CH102" s="228"/>
      <c r="CI102" s="228"/>
    </row>
    <row r="103" spans="1:87" s="232" customFormat="1" ht="27" customHeight="1">
      <c r="A103" s="225"/>
      <c r="B103" s="226"/>
      <c r="C103" s="226"/>
      <c r="D103" s="226"/>
      <c r="E103" s="227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/>
      <c r="AD103" s="226"/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8"/>
      <c r="AT103" s="229"/>
      <c r="AU103" s="230"/>
      <c r="AV103" s="231"/>
      <c r="AW103" s="228"/>
      <c r="AX103" s="228"/>
      <c r="AY103" s="228"/>
      <c r="AZ103" s="228"/>
      <c r="BA103" s="228"/>
      <c r="BB103" s="228"/>
      <c r="BC103" s="228"/>
      <c r="BD103" s="228"/>
      <c r="BE103" s="228"/>
      <c r="BF103" s="228"/>
      <c r="BG103" s="228"/>
      <c r="BH103" s="228"/>
      <c r="BI103" s="228"/>
      <c r="BJ103" s="228"/>
      <c r="BK103" s="228"/>
      <c r="BL103" s="228"/>
      <c r="BM103" s="228"/>
      <c r="BN103" s="228"/>
      <c r="BO103" s="228"/>
      <c r="BP103" s="228"/>
      <c r="BQ103" s="228"/>
      <c r="BR103" s="228"/>
      <c r="BS103" s="228"/>
      <c r="BT103" s="228"/>
      <c r="BU103" s="228"/>
      <c r="BV103" s="228"/>
      <c r="BW103" s="228"/>
      <c r="BX103" s="228"/>
      <c r="BY103" s="228"/>
      <c r="BZ103" s="228"/>
      <c r="CA103" s="228"/>
      <c r="CB103" s="228"/>
      <c r="CC103" s="228"/>
      <c r="CD103" s="228"/>
      <c r="CE103" s="228"/>
      <c r="CF103" s="228"/>
      <c r="CG103" s="228"/>
      <c r="CH103" s="228"/>
      <c r="CI103" s="228"/>
    </row>
    <row r="104" spans="1:87" s="232" customFormat="1" ht="27" customHeight="1">
      <c r="A104" s="225"/>
      <c r="B104" s="226"/>
      <c r="C104" s="226"/>
      <c r="D104" s="226"/>
      <c r="E104" s="227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6"/>
      <c r="AA104" s="226"/>
      <c r="AB104" s="226"/>
      <c r="AC104" s="226"/>
      <c r="AD104" s="226"/>
      <c r="AE104" s="226"/>
      <c r="AF104" s="226"/>
      <c r="AG104" s="226"/>
      <c r="AH104" s="226"/>
      <c r="AI104" s="226"/>
      <c r="AJ104" s="226"/>
      <c r="AK104" s="226"/>
      <c r="AL104" s="226"/>
      <c r="AM104" s="226"/>
      <c r="AN104" s="226"/>
      <c r="AO104" s="226"/>
      <c r="AP104" s="226"/>
      <c r="AQ104" s="226"/>
      <c r="AR104" s="226"/>
      <c r="AS104" s="228"/>
      <c r="AT104" s="229"/>
      <c r="AU104" s="230"/>
      <c r="AV104" s="231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8"/>
      <c r="BI104" s="228"/>
      <c r="BJ104" s="228"/>
      <c r="BK104" s="228"/>
      <c r="BL104" s="228"/>
      <c r="BM104" s="228"/>
      <c r="BN104" s="228"/>
      <c r="BO104" s="228"/>
      <c r="BP104" s="228"/>
      <c r="BQ104" s="228"/>
      <c r="BR104" s="228"/>
      <c r="BS104" s="228"/>
      <c r="BT104" s="228"/>
      <c r="BU104" s="228"/>
      <c r="BV104" s="228"/>
      <c r="BW104" s="228"/>
      <c r="BX104" s="228"/>
      <c r="BY104" s="228"/>
      <c r="BZ104" s="228"/>
      <c r="CA104" s="228"/>
      <c r="CB104" s="228"/>
      <c r="CC104" s="228"/>
      <c r="CD104" s="228"/>
      <c r="CE104" s="228"/>
      <c r="CF104" s="228"/>
      <c r="CG104" s="228"/>
      <c r="CH104" s="228"/>
      <c r="CI104" s="228"/>
    </row>
    <row r="105" spans="1:87" s="232" customFormat="1" ht="27" customHeight="1">
      <c r="A105" s="225"/>
      <c r="B105" s="226"/>
      <c r="C105" s="226"/>
      <c r="D105" s="226"/>
      <c r="E105" s="227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6"/>
      <c r="AN105" s="226"/>
      <c r="AO105" s="226"/>
      <c r="AP105" s="226"/>
      <c r="AQ105" s="226"/>
      <c r="AR105" s="226"/>
      <c r="AS105" s="228"/>
      <c r="AT105" s="229"/>
      <c r="AU105" s="230"/>
      <c r="AV105" s="231"/>
      <c r="AW105" s="228"/>
      <c r="AX105" s="228"/>
      <c r="AY105" s="228"/>
      <c r="AZ105" s="228"/>
      <c r="BA105" s="228"/>
      <c r="BB105" s="228"/>
      <c r="BC105" s="228"/>
      <c r="BD105" s="228"/>
      <c r="BE105" s="228"/>
      <c r="BF105" s="228"/>
      <c r="BG105" s="228"/>
      <c r="BH105" s="228"/>
      <c r="BI105" s="228"/>
      <c r="BJ105" s="228"/>
      <c r="BK105" s="228"/>
      <c r="BL105" s="228"/>
      <c r="BM105" s="228"/>
      <c r="BN105" s="228"/>
      <c r="BO105" s="228"/>
      <c r="BP105" s="228"/>
      <c r="BQ105" s="228"/>
      <c r="BR105" s="228"/>
      <c r="BS105" s="228"/>
      <c r="BT105" s="228"/>
      <c r="BU105" s="228"/>
      <c r="BV105" s="228"/>
      <c r="BW105" s="228"/>
      <c r="BX105" s="228"/>
      <c r="BY105" s="228"/>
      <c r="BZ105" s="228"/>
      <c r="CA105" s="228"/>
      <c r="CB105" s="228"/>
      <c r="CC105" s="228"/>
      <c r="CD105" s="228"/>
      <c r="CE105" s="228"/>
      <c r="CF105" s="228"/>
      <c r="CG105" s="228"/>
      <c r="CH105" s="228"/>
      <c r="CI105" s="228"/>
    </row>
    <row r="106" spans="1:87" s="232" customFormat="1" ht="27" customHeight="1">
      <c r="A106" s="225"/>
      <c r="B106" s="226"/>
      <c r="C106" s="226"/>
      <c r="D106" s="226"/>
      <c r="E106" s="227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  <c r="AL106" s="226"/>
      <c r="AM106" s="226"/>
      <c r="AN106" s="226"/>
      <c r="AO106" s="226"/>
      <c r="AP106" s="226"/>
      <c r="AQ106" s="226"/>
      <c r="AR106" s="226"/>
      <c r="AS106" s="228"/>
      <c r="AT106" s="229"/>
      <c r="AU106" s="230"/>
      <c r="AV106" s="231"/>
      <c r="AW106" s="228"/>
      <c r="AX106" s="228"/>
      <c r="AY106" s="228"/>
      <c r="AZ106" s="228"/>
      <c r="BA106" s="228"/>
      <c r="BB106" s="228"/>
      <c r="BC106" s="228"/>
      <c r="BD106" s="228"/>
      <c r="BE106" s="228"/>
      <c r="BF106" s="228"/>
      <c r="BG106" s="228"/>
      <c r="BH106" s="228"/>
      <c r="BI106" s="228"/>
      <c r="BJ106" s="228"/>
      <c r="BK106" s="228"/>
      <c r="BL106" s="228"/>
      <c r="BM106" s="228"/>
      <c r="BN106" s="228"/>
      <c r="BO106" s="228"/>
      <c r="BP106" s="228"/>
      <c r="BQ106" s="228"/>
      <c r="BR106" s="228"/>
      <c r="BS106" s="228"/>
      <c r="BT106" s="228"/>
      <c r="BU106" s="228"/>
      <c r="BV106" s="228"/>
      <c r="BW106" s="228"/>
      <c r="BX106" s="228"/>
      <c r="BY106" s="228"/>
      <c r="BZ106" s="228"/>
      <c r="CA106" s="228"/>
      <c r="CB106" s="228"/>
      <c r="CC106" s="228"/>
      <c r="CD106" s="228"/>
      <c r="CE106" s="228"/>
      <c r="CF106" s="228"/>
      <c r="CG106" s="228"/>
      <c r="CH106" s="228"/>
      <c r="CI106" s="228"/>
    </row>
    <row r="107" spans="1:87" s="232" customFormat="1" ht="27" customHeight="1">
      <c r="A107" s="225"/>
      <c r="B107" s="226"/>
      <c r="C107" s="226"/>
      <c r="D107" s="226"/>
      <c r="E107" s="227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  <c r="Z107" s="226"/>
      <c r="AA107" s="226"/>
      <c r="AB107" s="226"/>
      <c r="AC107" s="226"/>
      <c r="AD107" s="226"/>
      <c r="AE107" s="226"/>
      <c r="AF107" s="226"/>
      <c r="AG107" s="226"/>
      <c r="AH107" s="226"/>
      <c r="AI107" s="226"/>
      <c r="AJ107" s="226"/>
      <c r="AK107" s="226"/>
      <c r="AL107" s="226"/>
      <c r="AM107" s="226"/>
      <c r="AN107" s="226"/>
      <c r="AO107" s="226"/>
      <c r="AP107" s="226"/>
      <c r="AQ107" s="226"/>
      <c r="AR107" s="226"/>
      <c r="AS107" s="228"/>
      <c r="AT107" s="229"/>
      <c r="AU107" s="230"/>
      <c r="AV107" s="231"/>
      <c r="AW107" s="228"/>
      <c r="AX107" s="228"/>
      <c r="AY107" s="228"/>
      <c r="AZ107" s="228"/>
      <c r="BA107" s="228"/>
      <c r="BB107" s="228"/>
      <c r="BC107" s="228"/>
      <c r="BD107" s="228"/>
      <c r="BE107" s="228"/>
      <c r="BF107" s="228"/>
      <c r="BG107" s="228"/>
      <c r="BH107" s="228"/>
      <c r="BI107" s="228"/>
      <c r="BJ107" s="228"/>
      <c r="BK107" s="228"/>
      <c r="BL107" s="228"/>
      <c r="BM107" s="228"/>
      <c r="BN107" s="228"/>
      <c r="BO107" s="228"/>
      <c r="BP107" s="228"/>
      <c r="BQ107" s="228"/>
      <c r="BR107" s="228"/>
      <c r="BS107" s="228"/>
      <c r="BT107" s="228"/>
      <c r="BU107" s="228"/>
      <c r="BV107" s="228"/>
      <c r="BW107" s="228"/>
      <c r="BX107" s="228"/>
      <c r="BY107" s="228"/>
      <c r="BZ107" s="228"/>
      <c r="CA107" s="228"/>
      <c r="CB107" s="228"/>
      <c r="CC107" s="228"/>
      <c r="CD107" s="228"/>
      <c r="CE107" s="228"/>
      <c r="CF107" s="228"/>
      <c r="CG107" s="228"/>
      <c r="CH107" s="228"/>
      <c r="CI107" s="228"/>
    </row>
  </sheetData>
  <mergeCells count="161">
    <mergeCell ref="B9:AR9"/>
    <mergeCell ref="AC11:AH11"/>
    <mergeCell ref="AE35:AI35"/>
    <mergeCell ref="AK35:AO35"/>
    <mergeCell ref="B39:E40"/>
    <mergeCell ref="F39:L40"/>
    <mergeCell ref="M39:S39"/>
    <mergeCell ref="T39:W40"/>
    <mergeCell ref="X39:AE39"/>
    <mergeCell ref="AF39:AR40"/>
    <mergeCell ref="AB41:AE41"/>
    <mergeCell ref="B42:E42"/>
    <mergeCell ref="F42:L42"/>
    <mergeCell ref="M42:O42"/>
    <mergeCell ref="P42:S42"/>
    <mergeCell ref="T42:W42"/>
    <mergeCell ref="X42:AA42"/>
    <mergeCell ref="AB42:AE42"/>
    <mergeCell ref="M40:O40"/>
    <mergeCell ref="P40:S40"/>
    <mergeCell ref="X40:AA40"/>
    <mergeCell ref="AB40:AE40"/>
    <mergeCell ref="B41:E41"/>
    <mergeCell ref="F41:L41"/>
    <mergeCell ref="M41:O41"/>
    <mergeCell ref="P41:S41"/>
    <mergeCell ref="T41:W41"/>
    <mergeCell ref="X41:AA41"/>
    <mergeCell ref="AB43:AE43"/>
    <mergeCell ref="B44:E44"/>
    <mergeCell ref="F44:L44"/>
    <mergeCell ref="M44:O44"/>
    <mergeCell ref="P44:S44"/>
    <mergeCell ref="T44:W44"/>
    <mergeCell ref="X44:AA44"/>
    <mergeCell ref="AB44:AE44"/>
    <mergeCell ref="B43:E43"/>
    <mergeCell ref="F43:L43"/>
    <mergeCell ref="M43:O43"/>
    <mergeCell ref="P43:S43"/>
    <mergeCell ref="T43:W43"/>
    <mergeCell ref="X43:AA43"/>
    <mergeCell ref="F46:L46"/>
    <mergeCell ref="M46:O46"/>
    <mergeCell ref="P46:S46"/>
    <mergeCell ref="T46:W46"/>
    <mergeCell ref="X46:AA46"/>
    <mergeCell ref="AB46:AE46"/>
    <mergeCell ref="F45:L45"/>
    <mergeCell ref="M45:O45"/>
    <mergeCell ref="P45:S45"/>
    <mergeCell ref="T45:W45"/>
    <mergeCell ref="X45:AA45"/>
    <mergeCell ref="AB45:AE45"/>
    <mergeCell ref="F48:L48"/>
    <mergeCell ref="M48:O48"/>
    <mergeCell ref="P48:S48"/>
    <mergeCell ref="T48:W48"/>
    <mergeCell ref="X48:AA48"/>
    <mergeCell ref="AB48:AE48"/>
    <mergeCell ref="F47:L47"/>
    <mergeCell ref="M47:O47"/>
    <mergeCell ref="P47:S47"/>
    <mergeCell ref="T47:W47"/>
    <mergeCell ref="X47:AA47"/>
    <mergeCell ref="AB47:AE47"/>
    <mergeCell ref="M49:O49"/>
    <mergeCell ref="P49:S49"/>
    <mergeCell ref="T49:W49"/>
    <mergeCell ref="X49:AA49"/>
    <mergeCell ref="AB49:AE49"/>
    <mergeCell ref="M50:O50"/>
    <mergeCell ref="P50:S50"/>
    <mergeCell ref="T50:W50"/>
    <mergeCell ref="X50:AA50"/>
    <mergeCell ref="AB50:AE50"/>
    <mergeCell ref="M51:O51"/>
    <mergeCell ref="P51:S51"/>
    <mergeCell ref="T51:W51"/>
    <mergeCell ref="X51:AA51"/>
    <mergeCell ref="AB51:AE51"/>
    <mergeCell ref="B52:E52"/>
    <mergeCell ref="F52:L52"/>
    <mergeCell ref="M52:O52"/>
    <mergeCell ref="P52:S52"/>
    <mergeCell ref="T52:W52"/>
    <mergeCell ref="X52:AA52"/>
    <mergeCell ref="AB52:AE52"/>
    <mergeCell ref="B59:E59"/>
    <mergeCell ref="F59:L59"/>
    <mergeCell ref="M59:O59"/>
    <mergeCell ref="P59:S59"/>
    <mergeCell ref="T59:W59"/>
    <mergeCell ref="X59:AA59"/>
    <mergeCell ref="AB59:AE59"/>
    <mergeCell ref="AF59:AI59"/>
    <mergeCell ref="B60:E60"/>
    <mergeCell ref="F60:L60"/>
    <mergeCell ref="M60:O60"/>
    <mergeCell ref="P60:S60"/>
    <mergeCell ref="T60:W60"/>
    <mergeCell ref="X60:AA60"/>
    <mergeCell ref="AB60:AE60"/>
    <mergeCell ref="AF60:AI60"/>
    <mergeCell ref="AB61:AE61"/>
    <mergeCell ref="AF61:AI61"/>
    <mergeCell ref="B62:E62"/>
    <mergeCell ref="F62:L62"/>
    <mergeCell ref="M62:O62"/>
    <mergeCell ref="P62:S62"/>
    <mergeCell ref="T62:W62"/>
    <mergeCell ref="X62:AA62"/>
    <mergeCell ref="AB62:AE62"/>
    <mergeCell ref="AF62:AI62"/>
    <mergeCell ref="B61:E61"/>
    <mergeCell ref="F61:L61"/>
    <mergeCell ref="M61:O61"/>
    <mergeCell ref="P61:S61"/>
    <mergeCell ref="T61:W61"/>
    <mergeCell ref="X61:AA61"/>
    <mergeCell ref="AB63:AE63"/>
    <mergeCell ref="AF63:AI63"/>
    <mergeCell ref="B64:E64"/>
    <mergeCell ref="F64:L64"/>
    <mergeCell ref="M64:O64"/>
    <mergeCell ref="P64:S64"/>
    <mergeCell ref="T64:W64"/>
    <mergeCell ref="X64:AA64"/>
    <mergeCell ref="AB64:AE64"/>
    <mergeCell ref="AF64:AI64"/>
    <mergeCell ref="B63:E63"/>
    <mergeCell ref="F63:L63"/>
    <mergeCell ref="M63:O63"/>
    <mergeCell ref="P63:S63"/>
    <mergeCell ref="T63:W63"/>
    <mergeCell ref="X63:AA63"/>
    <mergeCell ref="AB65:AE65"/>
    <mergeCell ref="AF65:AI65"/>
    <mergeCell ref="T68:W68"/>
    <mergeCell ref="T69:W69"/>
    <mergeCell ref="T70:W70"/>
    <mergeCell ref="T71:W71"/>
    <mergeCell ref="B65:E65"/>
    <mergeCell ref="F65:L65"/>
    <mergeCell ref="M65:O65"/>
    <mergeCell ref="P65:S65"/>
    <mergeCell ref="T65:W65"/>
    <mergeCell ref="X65:AA65"/>
    <mergeCell ref="B82:J82"/>
    <mergeCell ref="Q82:AA82"/>
    <mergeCell ref="AH82:AR82"/>
    <mergeCell ref="B84:J84"/>
    <mergeCell ref="O84:AC84"/>
    <mergeCell ref="AI84:AR84"/>
    <mergeCell ref="B74:AR74"/>
    <mergeCell ref="B80:J80"/>
    <mergeCell ref="Q80:AA80"/>
    <mergeCell ref="AH80:AR80"/>
    <mergeCell ref="B81:J81"/>
    <mergeCell ref="Q81:AA81"/>
    <mergeCell ref="AH81:AR81"/>
  </mergeCells>
  <printOptions horizontalCentered="1" verticalCentered="1"/>
  <pageMargins left="0.39370078740157483" right="0.39370078740157483" top="0.19685039370078741" bottom="0.19685039370078741" header="0.19685039370078741" footer="0.19685039370078741"/>
  <pageSetup paperSize="9" scale="3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105"/>
  <sheetViews>
    <sheetView topLeftCell="A31" zoomScale="60" workbookViewId="0">
      <selection activeCell="T13" sqref="T13"/>
    </sheetView>
  </sheetViews>
  <sheetFormatPr defaultRowHeight="27" customHeight="1"/>
  <cols>
    <col min="1" max="1" width="1.85546875" style="293" customWidth="1"/>
    <col min="2" max="44" width="6.7109375" style="290" customWidth="1"/>
    <col min="45" max="45" width="1.85546875" style="239" customWidth="1"/>
    <col min="46" max="89" width="9.140625" style="239"/>
    <col min="90" max="256" width="9.140625" style="240"/>
    <col min="257" max="257" width="1.85546875" style="240" customWidth="1"/>
    <col min="258" max="300" width="6.7109375" style="240" customWidth="1"/>
    <col min="301" max="301" width="1.85546875" style="240" customWidth="1"/>
    <col min="302" max="512" width="9.140625" style="240"/>
    <col min="513" max="513" width="1.85546875" style="240" customWidth="1"/>
    <col min="514" max="556" width="6.7109375" style="240" customWidth="1"/>
    <col min="557" max="557" width="1.85546875" style="240" customWidth="1"/>
    <col min="558" max="768" width="9.140625" style="240"/>
    <col min="769" max="769" width="1.85546875" style="240" customWidth="1"/>
    <col min="770" max="812" width="6.7109375" style="240" customWidth="1"/>
    <col min="813" max="813" width="1.85546875" style="240" customWidth="1"/>
    <col min="814" max="1024" width="9.140625" style="240"/>
    <col min="1025" max="1025" width="1.85546875" style="240" customWidth="1"/>
    <col min="1026" max="1068" width="6.7109375" style="240" customWidth="1"/>
    <col min="1069" max="1069" width="1.85546875" style="240" customWidth="1"/>
    <col min="1070" max="1280" width="9.140625" style="240"/>
    <col min="1281" max="1281" width="1.85546875" style="240" customWidth="1"/>
    <col min="1282" max="1324" width="6.7109375" style="240" customWidth="1"/>
    <col min="1325" max="1325" width="1.85546875" style="240" customWidth="1"/>
    <col min="1326" max="1536" width="9.140625" style="240"/>
    <col min="1537" max="1537" width="1.85546875" style="240" customWidth="1"/>
    <col min="1538" max="1580" width="6.7109375" style="240" customWidth="1"/>
    <col min="1581" max="1581" width="1.85546875" style="240" customWidth="1"/>
    <col min="1582" max="1792" width="9.140625" style="240"/>
    <col min="1793" max="1793" width="1.85546875" style="240" customWidth="1"/>
    <col min="1794" max="1836" width="6.7109375" style="240" customWidth="1"/>
    <col min="1837" max="1837" width="1.85546875" style="240" customWidth="1"/>
    <col min="1838" max="2048" width="9.140625" style="240"/>
    <col min="2049" max="2049" width="1.85546875" style="240" customWidth="1"/>
    <col min="2050" max="2092" width="6.7109375" style="240" customWidth="1"/>
    <col min="2093" max="2093" width="1.85546875" style="240" customWidth="1"/>
    <col min="2094" max="2304" width="9.140625" style="240"/>
    <col min="2305" max="2305" width="1.85546875" style="240" customWidth="1"/>
    <col min="2306" max="2348" width="6.7109375" style="240" customWidth="1"/>
    <col min="2349" max="2349" width="1.85546875" style="240" customWidth="1"/>
    <col min="2350" max="2560" width="9.140625" style="240"/>
    <col min="2561" max="2561" width="1.85546875" style="240" customWidth="1"/>
    <col min="2562" max="2604" width="6.7109375" style="240" customWidth="1"/>
    <col min="2605" max="2605" width="1.85546875" style="240" customWidth="1"/>
    <col min="2606" max="2816" width="9.140625" style="240"/>
    <col min="2817" max="2817" width="1.85546875" style="240" customWidth="1"/>
    <col min="2818" max="2860" width="6.7109375" style="240" customWidth="1"/>
    <col min="2861" max="2861" width="1.85546875" style="240" customWidth="1"/>
    <col min="2862" max="3072" width="9.140625" style="240"/>
    <col min="3073" max="3073" width="1.85546875" style="240" customWidth="1"/>
    <col min="3074" max="3116" width="6.7109375" style="240" customWidth="1"/>
    <col min="3117" max="3117" width="1.85546875" style="240" customWidth="1"/>
    <col min="3118" max="3328" width="9.140625" style="240"/>
    <col min="3329" max="3329" width="1.85546875" style="240" customWidth="1"/>
    <col min="3330" max="3372" width="6.7109375" style="240" customWidth="1"/>
    <col min="3373" max="3373" width="1.85546875" style="240" customWidth="1"/>
    <col min="3374" max="3584" width="9.140625" style="240"/>
    <col min="3585" max="3585" width="1.85546875" style="240" customWidth="1"/>
    <col min="3586" max="3628" width="6.7109375" style="240" customWidth="1"/>
    <col min="3629" max="3629" width="1.85546875" style="240" customWidth="1"/>
    <col min="3630" max="3840" width="9.140625" style="240"/>
    <col min="3841" max="3841" width="1.85546875" style="240" customWidth="1"/>
    <col min="3842" max="3884" width="6.7109375" style="240" customWidth="1"/>
    <col min="3885" max="3885" width="1.85546875" style="240" customWidth="1"/>
    <col min="3886" max="4096" width="9.140625" style="240"/>
    <col min="4097" max="4097" width="1.85546875" style="240" customWidth="1"/>
    <col min="4098" max="4140" width="6.7109375" style="240" customWidth="1"/>
    <col min="4141" max="4141" width="1.85546875" style="240" customWidth="1"/>
    <col min="4142" max="4352" width="9.140625" style="240"/>
    <col min="4353" max="4353" width="1.85546875" style="240" customWidth="1"/>
    <col min="4354" max="4396" width="6.7109375" style="240" customWidth="1"/>
    <col min="4397" max="4397" width="1.85546875" style="240" customWidth="1"/>
    <col min="4398" max="4608" width="9.140625" style="240"/>
    <col min="4609" max="4609" width="1.85546875" style="240" customWidth="1"/>
    <col min="4610" max="4652" width="6.7109375" style="240" customWidth="1"/>
    <col min="4653" max="4653" width="1.85546875" style="240" customWidth="1"/>
    <col min="4654" max="4864" width="9.140625" style="240"/>
    <col min="4865" max="4865" width="1.85546875" style="240" customWidth="1"/>
    <col min="4866" max="4908" width="6.7109375" style="240" customWidth="1"/>
    <col min="4909" max="4909" width="1.85546875" style="240" customWidth="1"/>
    <col min="4910" max="5120" width="9.140625" style="240"/>
    <col min="5121" max="5121" width="1.85546875" style="240" customWidth="1"/>
    <col min="5122" max="5164" width="6.7109375" style="240" customWidth="1"/>
    <col min="5165" max="5165" width="1.85546875" style="240" customWidth="1"/>
    <col min="5166" max="5376" width="9.140625" style="240"/>
    <col min="5377" max="5377" width="1.85546875" style="240" customWidth="1"/>
    <col min="5378" max="5420" width="6.7109375" style="240" customWidth="1"/>
    <col min="5421" max="5421" width="1.85546875" style="240" customWidth="1"/>
    <col min="5422" max="5632" width="9.140625" style="240"/>
    <col min="5633" max="5633" width="1.85546875" style="240" customWidth="1"/>
    <col min="5634" max="5676" width="6.7109375" style="240" customWidth="1"/>
    <col min="5677" max="5677" width="1.85546875" style="240" customWidth="1"/>
    <col min="5678" max="5888" width="9.140625" style="240"/>
    <col min="5889" max="5889" width="1.85546875" style="240" customWidth="1"/>
    <col min="5890" max="5932" width="6.7109375" style="240" customWidth="1"/>
    <col min="5933" max="5933" width="1.85546875" style="240" customWidth="1"/>
    <col min="5934" max="6144" width="9.140625" style="240"/>
    <col min="6145" max="6145" width="1.85546875" style="240" customWidth="1"/>
    <col min="6146" max="6188" width="6.7109375" style="240" customWidth="1"/>
    <col min="6189" max="6189" width="1.85546875" style="240" customWidth="1"/>
    <col min="6190" max="6400" width="9.140625" style="240"/>
    <col min="6401" max="6401" width="1.85546875" style="240" customWidth="1"/>
    <col min="6402" max="6444" width="6.7109375" style="240" customWidth="1"/>
    <col min="6445" max="6445" width="1.85546875" style="240" customWidth="1"/>
    <col min="6446" max="6656" width="9.140625" style="240"/>
    <col min="6657" max="6657" width="1.85546875" style="240" customWidth="1"/>
    <col min="6658" max="6700" width="6.7109375" style="240" customWidth="1"/>
    <col min="6701" max="6701" width="1.85546875" style="240" customWidth="1"/>
    <col min="6702" max="6912" width="9.140625" style="240"/>
    <col min="6913" max="6913" width="1.85546875" style="240" customWidth="1"/>
    <col min="6914" max="6956" width="6.7109375" style="240" customWidth="1"/>
    <col min="6957" max="6957" width="1.85546875" style="240" customWidth="1"/>
    <col min="6958" max="7168" width="9.140625" style="240"/>
    <col min="7169" max="7169" width="1.85546875" style="240" customWidth="1"/>
    <col min="7170" max="7212" width="6.7109375" style="240" customWidth="1"/>
    <col min="7213" max="7213" width="1.85546875" style="240" customWidth="1"/>
    <col min="7214" max="7424" width="9.140625" style="240"/>
    <col min="7425" max="7425" width="1.85546875" style="240" customWidth="1"/>
    <col min="7426" max="7468" width="6.7109375" style="240" customWidth="1"/>
    <col min="7469" max="7469" width="1.85546875" style="240" customWidth="1"/>
    <col min="7470" max="7680" width="9.140625" style="240"/>
    <col min="7681" max="7681" width="1.85546875" style="240" customWidth="1"/>
    <col min="7682" max="7724" width="6.7109375" style="240" customWidth="1"/>
    <col min="7725" max="7725" width="1.85546875" style="240" customWidth="1"/>
    <col min="7726" max="7936" width="9.140625" style="240"/>
    <col min="7937" max="7937" width="1.85546875" style="240" customWidth="1"/>
    <col min="7938" max="7980" width="6.7109375" style="240" customWidth="1"/>
    <col min="7981" max="7981" width="1.85546875" style="240" customWidth="1"/>
    <col min="7982" max="8192" width="9.140625" style="240"/>
    <col min="8193" max="8193" width="1.85546875" style="240" customWidth="1"/>
    <col min="8194" max="8236" width="6.7109375" style="240" customWidth="1"/>
    <col min="8237" max="8237" width="1.85546875" style="240" customWidth="1"/>
    <col min="8238" max="8448" width="9.140625" style="240"/>
    <col min="8449" max="8449" width="1.85546875" style="240" customWidth="1"/>
    <col min="8450" max="8492" width="6.7109375" style="240" customWidth="1"/>
    <col min="8493" max="8493" width="1.85546875" style="240" customWidth="1"/>
    <col min="8494" max="8704" width="9.140625" style="240"/>
    <col min="8705" max="8705" width="1.85546875" style="240" customWidth="1"/>
    <col min="8706" max="8748" width="6.7109375" style="240" customWidth="1"/>
    <col min="8749" max="8749" width="1.85546875" style="240" customWidth="1"/>
    <col min="8750" max="8960" width="9.140625" style="240"/>
    <col min="8961" max="8961" width="1.85546875" style="240" customWidth="1"/>
    <col min="8962" max="9004" width="6.7109375" style="240" customWidth="1"/>
    <col min="9005" max="9005" width="1.85546875" style="240" customWidth="1"/>
    <col min="9006" max="9216" width="9.140625" style="240"/>
    <col min="9217" max="9217" width="1.85546875" style="240" customWidth="1"/>
    <col min="9218" max="9260" width="6.7109375" style="240" customWidth="1"/>
    <col min="9261" max="9261" width="1.85546875" style="240" customWidth="1"/>
    <col min="9262" max="9472" width="9.140625" style="240"/>
    <col min="9473" max="9473" width="1.85546875" style="240" customWidth="1"/>
    <col min="9474" max="9516" width="6.7109375" style="240" customWidth="1"/>
    <col min="9517" max="9517" width="1.85546875" style="240" customWidth="1"/>
    <col min="9518" max="9728" width="9.140625" style="240"/>
    <col min="9729" max="9729" width="1.85546875" style="240" customWidth="1"/>
    <col min="9730" max="9772" width="6.7109375" style="240" customWidth="1"/>
    <col min="9773" max="9773" width="1.85546875" style="240" customWidth="1"/>
    <col min="9774" max="9984" width="9.140625" style="240"/>
    <col min="9985" max="9985" width="1.85546875" style="240" customWidth="1"/>
    <col min="9986" max="10028" width="6.7109375" style="240" customWidth="1"/>
    <col min="10029" max="10029" width="1.85546875" style="240" customWidth="1"/>
    <col min="10030" max="10240" width="9.140625" style="240"/>
    <col min="10241" max="10241" width="1.85546875" style="240" customWidth="1"/>
    <col min="10242" max="10284" width="6.7109375" style="240" customWidth="1"/>
    <col min="10285" max="10285" width="1.85546875" style="240" customWidth="1"/>
    <col min="10286" max="10496" width="9.140625" style="240"/>
    <col min="10497" max="10497" width="1.85546875" style="240" customWidth="1"/>
    <col min="10498" max="10540" width="6.7109375" style="240" customWidth="1"/>
    <col min="10541" max="10541" width="1.85546875" style="240" customWidth="1"/>
    <col min="10542" max="10752" width="9.140625" style="240"/>
    <col min="10753" max="10753" width="1.85546875" style="240" customWidth="1"/>
    <col min="10754" max="10796" width="6.7109375" style="240" customWidth="1"/>
    <col min="10797" max="10797" width="1.85546875" style="240" customWidth="1"/>
    <col min="10798" max="11008" width="9.140625" style="240"/>
    <col min="11009" max="11009" width="1.85546875" style="240" customWidth="1"/>
    <col min="11010" max="11052" width="6.7109375" style="240" customWidth="1"/>
    <col min="11053" max="11053" width="1.85546875" style="240" customWidth="1"/>
    <col min="11054" max="11264" width="9.140625" style="240"/>
    <col min="11265" max="11265" width="1.85546875" style="240" customWidth="1"/>
    <col min="11266" max="11308" width="6.7109375" style="240" customWidth="1"/>
    <col min="11309" max="11309" width="1.85546875" style="240" customWidth="1"/>
    <col min="11310" max="11520" width="9.140625" style="240"/>
    <col min="11521" max="11521" width="1.85546875" style="240" customWidth="1"/>
    <col min="11522" max="11564" width="6.7109375" style="240" customWidth="1"/>
    <col min="11565" max="11565" width="1.85546875" style="240" customWidth="1"/>
    <col min="11566" max="11776" width="9.140625" style="240"/>
    <col min="11777" max="11777" width="1.85546875" style="240" customWidth="1"/>
    <col min="11778" max="11820" width="6.7109375" style="240" customWidth="1"/>
    <col min="11821" max="11821" width="1.85546875" style="240" customWidth="1"/>
    <col min="11822" max="12032" width="9.140625" style="240"/>
    <col min="12033" max="12033" width="1.85546875" style="240" customWidth="1"/>
    <col min="12034" max="12076" width="6.7109375" style="240" customWidth="1"/>
    <col min="12077" max="12077" width="1.85546875" style="240" customWidth="1"/>
    <col min="12078" max="12288" width="9.140625" style="240"/>
    <col min="12289" max="12289" width="1.85546875" style="240" customWidth="1"/>
    <col min="12290" max="12332" width="6.7109375" style="240" customWidth="1"/>
    <col min="12333" max="12333" width="1.85546875" style="240" customWidth="1"/>
    <col min="12334" max="12544" width="9.140625" style="240"/>
    <col min="12545" max="12545" width="1.85546875" style="240" customWidth="1"/>
    <col min="12546" max="12588" width="6.7109375" style="240" customWidth="1"/>
    <col min="12589" max="12589" width="1.85546875" style="240" customWidth="1"/>
    <col min="12590" max="12800" width="9.140625" style="240"/>
    <col min="12801" max="12801" width="1.85546875" style="240" customWidth="1"/>
    <col min="12802" max="12844" width="6.7109375" style="240" customWidth="1"/>
    <col min="12845" max="12845" width="1.85546875" style="240" customWidth="1"/>
    <col min="12846" max="13056" width="9.140625" style="240"/>
    <col min="13057" max="13057" width="1.85546875" style="240" customWidth="1"/>
    <col min="13058" max="13100" width="6.7109375" style="240" customWidth="1"/>
    <col min="13101" max="13101" width="1.85546875" style="240" customWidth="1"/>
    <col min="13102" max="13312" width="9.140625" style="240"/>
    <col min="13313" max="13313" width="1.85546875" style="240" customWidth="1"/>
    <col min="13314" max="13356" width="6.7109375" style="240" customWidth="1"/>
    <col min="13357" max="13357" width="1.85546875" style="240" customWidth="1"/>
    <col min="13358" max="13568" width="9.140625" style="240"/>
    <col min="13569" max="13569" width="1.85546875" style="240" customWidth="1"/>
    <col min="13570" max="13612" width="6.7109375" style="240" customWidth="1"/>
    <col min="13613" max="13613" width="1.85546875" style="240" customWidth="1"/>
    <col min="13614" max="13824" width="9.140625" style="240"/>
    <col min="13825" max="13825" width="1.85546875" style="240" customWidth="1"/>
    <col min="13826" max="13868" width="6.7109375" style="240" customWidth="1"/>
    <col min="13869" max="13869" width="1.85546875" style="240" customWidth="1"/>
    <col min="13870" max="14080" width="9.140625" style="240"/>
    <col min="14081" max="14081" width="1.85546875" style="240" customWidth="1"/>
    <col min="14082" max="14124" width="6.7109375" style="240" customWidth="1"/>
    <col min="14125" max="14125" width="1.85546875" style="240" customWidth="1"/>
    <col min="14126" max="14336" width="9.140625" style="240"/>
    <col min="14337" max="14337" width="1.85546875" style="240" customWidth="1"/>
    <col min="14338" max="14380" width="6.7109375" style="240" customWidth="1"/>
    <col min="14381" max="14381" width="1.85546875" style="240" customWidth="1"/>
    <col min="14382" max="14592" width="9.140625" style="240"/>
    <col min="14593" max="14593" width="1.85546875" style="240" customWidth="1"/>
    <col min="14594" max="14636" width="6.7109375" style="240" customWidth="1"/>
    <col min="14637" max="14637" width="1.85546875" style="240" customWidth="1"/>
    <col min="14638" max="14848" width="9.140625" style="240"/>
    <col min="14849" max="14849" width="1.85546875" style="240" customWidth="1"/>
    <col min="14850" max="14892" width="6.7109375" style="240" customWidth="1"/>
    <col min="14893" max="14893" width="1.85546875" style="240" customWidth="1"/>
    <col min="14894" max="15104" width="9.140625" style="240"/>
    <col min="15105" max="15105" width="1.85546875" style="240" customWidth="1"/>
    <col min="15106" max="15148" width="6.7109375" style="240" customWidth="1"/>
    <col min="15149" max="15149" width="1.85546875" style="240" customWidth="1"/>
    <col min="15150" max="15360" width="9.140625" style="240"/>
    <col min="15361" max="15361" width="1.85546875" style="240" customWidth="1"/>
    <col min="15362" max="15404" width="6.7109375" style="240" customWidth="1"/>
    <col min="15405" max="15405" width="1.85546875" style="240" customWidth="1"/>
    <col min="15406" max="15616" width="9.140625" style="240"/>
    <col min="15617" max="15617" width="1.85546875" style="240" customWidth="1"/>
    <col min="15618" max="15660" width="6.7109375" style="240" customWidth="1"/>
    <col min="15661" max="15661" width="1.85546875" style="240" customWidth="1"/>
    <col min="15662" max="15872" width="9.140625" style="240"/>
    <col min="15873" max="15873" width="1.85546875" style="240" customWidth="1"/>
    <col min="15874" max="15916" width="6.7109375" style="240" customWidth="1"/>
    <col min="15917" max="15917" width="1.85546875" style="240" customWidth="1"/>
    <col min="15918" max="16128" width="9.140625" style="240"/>
    <col min="16129" max="16129" width="1.85546875" style="240" customWidth="1"/>
    <col min="16130" max="16172" width="6.7109375" style="240" customWidth="1"/>
    <col min="16173" max="16173" width="1.85546875" style="240" customWidth="1"/>
    <col min="16174" max="16384" width="9.140625" style="240"/>
  </cols>
  <sheetData>
    <row r="1" spans="1:89" ht="27" customHeight="1">
      <c r="A1" s="234"/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5"/>
      <c r="AF1" s="235"/>
      <c r="AG1" s="235"/>
      <c r="AH1" s="237"/>
      <c r="AI1" s="237"/>
      <c r="AJ1" s="237"/>
      <c r="AK1" s="237"/>
      <c r="AL1" s="237"/>
      <c r="AM1" s="235"/>
      <c r="AN1" s="235"/>
      <c r="AO1" s="235"/>
      <c r="AP1" s="235"/>
      <c r="AQ1" s="235"/>
      <c r="AR1" s="235"/>
      <c r="AS1" s="238"/>
    </row>
    <row r="2" spans="1:89" ht="4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3"/>
      <c r="O2" s="243"/>
      <c r="P2" s="244" t="s">
        <v>86</v>
      </c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2"/>
      <c r="AF2" s="242"/>
      <c r="AG2" s="242"/>
      <c r="AH2" s="245"/>
      <c r="AI2" s="245"/>
      <c r="AJ2" s="245"/>
      <c r="AK2" s="245"/>
      <c r="AL2" s="245"/>
      <c r="AM2" s="242"/>
      <c r="AN2" s="242"/>
      <c r="AO2" s="242"/>
      <c r="AP2" s="242"/>
      <c r="AQ2" s="242"/>
      <c r="AR2" s="242"/>
      <c r="AS2" s="246"/>
    </row>
    <row r="3" spans="1:89" ht="27" customHeight="1">
      <c r="A3" s="241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7" t="s">
        <v>87</v>
      </c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2"/>
      <c r="AG3" s="242"/>
      <c r="AH3" s="245"/>
      <c r="AI3" s="245"/>
      <c r="AJ3" s="245"/>
      <c r="AK3" s="245"/>
      <c r="AL3" s="245"/>
      <c r="AM3" s="242"/>
      <c r="AN3" s="242"/>
      <c r="AO3" s="242"/>
      <c r="AP3" s="242"/>
      <c r="AQ3" s="242"/>
      <c r="AR3" s="242"/>
      <c r="AS3" s="246"/>
    </row>
    <row r="4" spans="1:89" ht="27" customHeight="1">
      <c r="A4" s="241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7" t="s">
        <v>88</v>
      </c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6"/>
    </row>
    <row r="5" spans="1:89" ht="27" customHeight="1">
      <c r="A5" s="241"/>
      <c r="B5" s="242"/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7" t="s">
        <v>89</v>
      </c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6"/>
    </row>
    <row r="6" spans="1:89" ht="27" customHeight="1">
      <c r="A6" s="241"/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7" t="s">
        <v>90</v>
      </c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2"/>
      <c r="AG6" s="242"/>
      <c r="AH6" s="242"/>
      <c r="AI6" s="242"/>
      <c r="AJ6" s="242"/>
      <c r="AK6" s="242"/>
      <c r="AL6" s="242"/>
      <c r="AM6" s="242"/>
      <c r="AN6" s="242"/>
      <c r="AO6" s="242"/>
      <c r="AP6" s="242"/>
      <c r="AQ6" s="242"/>
      <c r="AR6" s="242"/>
      <c r="AS6" s="246"/>
    </row>
    <row r="7" spans="1:89" ht="27" customHeight="1">
      <c r="A7" s="241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6"/>
    </row>
    <row r="8" spans="1:89" ht="27" customHeight="1">
      <c r="A8" s="241"/>
      <c r="B8" s="242"/>
      <c r="C8" s="242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2"/>
      <c r="AG8" s="242"/>
      <c r="AH8" s="245"/>
      <c r="AI8" s="245"/>
      <c r="AJ8" s="242"/>
      <c r="AK8" s="242"/>
      <c r="AL8" s="242"/>
      <c r="AM8" s="242"/>
      <c r="AN8" s="242"/>
      <c r="AO8" s="242"/>
      <c r="AP8" s="242"/>
      <c r="AQ8" s="242"/>
      <c r="AR8" s="249" t="s">
        <v>91</v>
      </c>
      <c r="AS8" s="246"/>
    </row>
    <row r="9" spans="1:89" ht="69">
      <c r="A9" s="241"/>
      <c r="B9" s="420" t="s">
        <v>92</v>
      </c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  <c r="P9" s="420"/>
      <c r="Q9" s="420"/>
      <c r="R9" s="420"/>
      <c r="S9" s="420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  <c r="AK9" s="420"/>
      <c r="AL9" s="420"/>
      <c r="AM9" s="420"/>
      <c r="AN9" s="420"/>
      <c r="AO9" s="420"/>
      <c r="AP9" s="250"/>
      <c r="AQ9" s="242"/>
      <c r="AR9" s="242"/>
      <c r="AS9" s="246"/>
    </row>
    <row r="10" spans="1:89" s="255" customFormat="1" ht="27" customHeight="1">
      <c r="A10" s="251"/>
      <c r="B10" s="252"/>
      <c r="C10" s="252"/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3"/>
      <c r="AT10" s="254"/>
      <c r="AU10" s="254"/>
      <c r="AV10" s="254"/>
      <c r="AW10" s="254"/>
      <c r="AX10" s="254"/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4"/>
      <c r="BU10" s="254"/>
      <c r="BV10" s="254"/>
      <c r="BW10" s="254"/>
      <c r="BX10" s="254"/>
      <c r="BY10" s="254"/>
      <c r="BZ10" s="254"/>
      <c r="CA10" s="254"/>
      <c r="CB10" s="254"/>
      <c r="CC10" s="254"/>
      <c r="CD10" s="254"/>
      <c r="CE10" s="254"/>
      <c r="CF10" s="254"/>
      <c r="CG10" s="254"/>
      <c r="CH10" s="254"/>
      <c r="CI10" s="254"/>
      <c r="CJ10" s="254"/>
      <c r="CK10" s="254"/>
    </row>
    <row r="11" spans="1:89" s="255" customFormat="1" ht="27" customHeight="1">
      <c r="A11" s="251"/>
      <c r="B11" s="252" t="s">
        <v>93</v>
      </c>
      <c r="C11" s="252"/>
      <c r="D11" s="252"/>
      <c r="E11" s="252"/>
      <c r="F11" s="252" t="s">
        <v>94</v>
      </c>
      <c r="G11" s="252" t="s">
        <v>209</v>
      </c>
      <c r="H11" s="252"/>
      <c r="I11" s="252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 t="s">
        <v>96</v>
      </c>
      <c r="Y11" s="252"/>
      <c r="Z11" s="252"/>
      <c r="AA11" s="252"/>
      <c r="AB11" s="252"/>
      <c r="AC11" s="252" t="s">
        <v>94</v>
      </c>
      <c r="AD11" s="421">
        <v>43348</v>
      </c>
      <c r="AE11" s="421"/>
      <c r="AF11" s="421"/>
      <c r="AG11" s="421"/>
      <c r="AH11" s="421"/>
      <c r="AI11" s="421"/>
      <c r="AJ11" s="252"/>
      <c r="AK11" s="252"/>
      <c r="AL11" s="252"/>
      <c r="AM11" s="252"/>
      <c r="AN11" s="252"/>
      <c r="AO11" s="252"/>
      <c r="AP11" s="252"/>
      <c r="AQ11" s="252"/>
      <c r="AR11" s="252"/>
      <c r="AS11" s="253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4"/>
      <c r="BL11" s="254"/>
      <c r="BM11" s="254"/>
      <c r="BN11" s="254"/>
      <c r="BO11" s="254"/>
      <c r="BP11" s="254"/>
      <c r="BQ11" s="254"/>
      <c r="BR11" s="254"/>
      <c r="BS11" s="254"/>
      <c r="BT11" s="254"/>
      <c r="BU11" s="254"/>
      <c r="BV11" s="254"/>
      <c r="BW11" s="254"/>
      <c r="BX11" s="254"/>
      <c r="BY11" s="254"/>
      <c r="BZ11" s="254"/>
      <c r="CA11" s="254"/>
      <c r="CB11" s="254"/>
      <c r="CC11" s="254"/>
      <c r="CD11" s="254"/>
      <c r="CE11" s="254"/>
      <c r="CF11" s="254"/>
      <c r="CG11" s="254"/>
      <c r="CH11" s="254"/>
      <c r="CI11" s="254"/>
      <c r="CJ11" s="254"/>
      <c r="CK11" s="254"/>
    </row>
    <row r="12" spans="1:89" s="255" customFormat="1" ht="27" customHeight="1">
      <c r="A12" s="251"/>
      <c r="B12" s="252" t="s">
        <v>97</v>
      </c>
      <c r="C12" s="252"/>
      <c r="D12" s="252"/>
      <c r="E12" s="252"/>
      <c r="F12" s="252" t="s">
        <v>94</v>
      </c>
      <c r="G12" s="256" t="s">
        <v>98</v>
      </c>
      <c r="H12" s="256"/>
      <c r="I12" s="256"/>
      <c r="J12" s="256"/>
      <c r="K12" s="256"/>
      <c r="L12" s="256"/>
      <c r="M12" s="256"/>
      <c r="N12" s="252"/>
      <c r="O12" s="252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  <c r="AE12" s="252"/>
      <c r="AF12" s="252"/>
      <c r="AG12" s="252"/>
      <c r="AH12" s="252"/>
      <c r="AI12" s="252"/>
      <c r="AJ12" s="252"/>
      <c r="AK12" s="252"/>
      <c r="AL12" s="252"/>
      <c r="AM12" s="252"/>
      <c r="AN12" s="252"/>
      <c r="AO12" s="252"/>
      <c r="AP12" s="252"/>
      <c r="AQ12" s="252"/>
      <c r="AR12" s="252"/>
      <c r="AS12" s="253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4"/>
      <c r="BI12" s="254"/>
      <c r="BJ12" s="254"/>
      <c r="BK12" s="254"/>
      <c r="BL12" s="254"/>
      <c r="BM12" s="254"/>
      <c r="BN12" s="254"/>
      <c r="BO12" s="254"/>
      <c r="BP12" s="254"/>
      <c r="BQ12" s="254"/>
      <c r="BR12" s="254"/>
      <c r="BS12" s="254"/>
      <c r="BT12" s="254"/>
      <c r="BU12" s="254"/>
      <c r="BV12" s="254"/>
      <c r="BW12" s="254"/>
      <c r="BX12" s="254"/>
      <c r="BY12" s="254"/>
      <c r="BZ12" s="254"/>
      <c r="CA12" s="254"/>
      <c r="CB12" s="254"/>
      <c r="CC12" s="254"/>
      <c r="CD12" s="254"/>
      <c r="CE12" s="254"/>
      <c r="CF12" s="254"/>
      <c r="CG12" s="254"/>
      <c r="CH12" s="254"/>
      <c r="CI12" s="254"/>
      <c r="CJ12" s="254"/>
      <c r="CK12" s="254"/>
    </row>
    <row r="13" spans="1:89" s="255" customFormat="1" ht="27" customHeight="1">
      <c r="A13" s="251"/>
      <c r="B13" s="252"/>
      <c r="C13" s="252"/>
      <c r="D13" s="252"/>
      <c r="E13" s="252"/>
      <c r="F13" s="252"/>
      <c r="G13" s="252" t="s">
        <v>99</v>
      </c>
      <c r="H13" s="252"/>
      <c r="I13" s="252"/>
      <c r="J13" s="252"/>
      <c r="K13" s="252"/>
      <c r="L13" s="252"/>
      <c r="M13" s="252"/>
      <c r="N13" s="252"/>
      <c r="O13" s="252"/>
      <c r="P13" s="252"/>
      <c r="Q13" s="252"/>
      <c r="R13" s="252"/>
      <c r="S13" s="252"/>
      <c r="T13" s="252"/>
      <c r="U13" s="252"/>
      <c r="V13" s="252"/>
      <c r="W13" s="252"/>
      <c r="X13" s="252" t="s">
        <v>100</v>
      </c>
      <c r="Y13" s="252"/>
      <c r="Z13" s="252"/>
      <c r="AA13" s="252"/>
      <c r="AB13" s="252"/>
      <c r="AC13" s="252" t="s">
        <v>94</v>
      </c>
      <c r="AD13" s="252" t="s">
        <v>210</v>
      </c>
      <c r="AE13" s="252"/>
      <c r="AF13" s="252"/>
      <c r="AG13" s="252"/>
      <c r="AH13" s="252"/>
      <c r="AI13" s="252"/>
      <c r="AJ13" s="252"/>
      <c r="AK13" s="252"/>
      <c r="AL13" s="252"/>
      <c r="AM13" s="252"/>
      <c r="AN13" s="252"/>
      <c r="AO13" s="252"/>
      <c r="AP13" s="252"/>
      <c r="AQ13" s="252"/>
      <c r="AR13" s="252"/>
      <c r="AS13" s="253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</row>
    <row r="14" spans="1:89" s="255" customFormat="1" ht="27" customHeight="1">
      <c r="A14" s="251"/>
      <c r="B14" s="252"/>
      <c r="C14" s="252"/>
      <c r="D14" s="252"/>
      <c r="E14" s="252"/>
      <c r="F14" s="252"/>
      <c r="G14" s="252" t="s">
        <v>102</v>
      </c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/>
      <c r="T14" s="252"/>
      <c r="U14" s="252"/>
      <c r="V14" s="252"/>
      <c r="W14" s="252"/>
      <c r="X14" s="252" t="s">
        <v>103</v>
      </c>
      <c r="Y14" s="252"/>
      <c r="Z14" s="252"/>
      <c r="AA14" s="252"/>
      <c r="AB14" s="252"/>
      <c r="AC14" s="252" t="s">
        <v>94</v>
      </c>
      <c r="AD14" s="252" t="s">
        <v>211</v>
      </c>
      <c r="AE14" s="252"/>
      <c r="AF14" s="252"/>
      <c r="AG14" s="252"/>
      <c r="AH14" s="257"/>
      <c r="AI14" s="257"/>
      <c r="AJ14" s="257"/>
      <c r="AK14" s="257"/>
      <c r="AL14" s="257"/>
      <c r="AM14" s="252"/>
      <c r="AN14" s="252"/>
      <c r="AO14" s="252"/>
      <c r="AP14" s="252"/>
      <c r="AQ14" s="252"/>
      <c r="AR14" s="252"/>
      <c r="AS14" s="253"/>
      <c r="AT14" s="254"/>
      <c r="AU14" s="254"/>
      <c r="AV14" s="254"/>
      <c r="AW14" s="254"/>
      <c r="AX14" s="254"/>
      <c r="AY14" s="254"/>
      <c r="AZ14" s="254"/>
      <c r="BA14" s="254"/>
      <c r="BB14" s="254"/>
      <c r="BC14" s="254"/>
      <c r="BD14" s="254"/>
      <c r="BE14" s="254"/>
      <c r="BF14" s="254"/>
      <c r="BG14" s="254"/>
      <c r="BH14" s="254"/>
      <c r="BI14" s="254"/>
      <c r="BJ14" s="254"/>
      <c r="BK14" s="254"/>
      <c r="BL14" s="254"/>
      <c r="BM14" s="254"/>
      <c r="BN14" s="254"/>
      <c r="BO14" s="254"/>
      <c r="BP14" s="254"/>
      <c r="BQ14" s="254"/>
      <c r="BR14" s="254"/>
      <c r="BS14" s="254"/>
      <c r="BT14" s="254"/>
      <c r="BU14" s="254"/>
      <c r="BV14" s="254"/>
      <c r="BW14" s="254"/>
      <c r="BX14" s="254"/>
      <c r="BY14" s="254"/>
      <c r="BZ14" s="254"/>
      <c r="CA14" s="254"/>
      <c r="CB14" s="254"/>
      <c r="CC14" s="254"/>
      <c r="CD14" s="254"/>
      <c r="CE14" s="254"/>
      <c r="CF14" s="254"/>
      <c r="CG14" s="254"/>
      <c r="CH14" s="254"/>
      <c r="CI14" s="254"/>
      <c r="CJ14" s="254"/>
      <c r="CK14" s="254"/>
    </row>
    <row r="15" spans="1:89" s="255" customFormat="1" ht="27" customHeight="1">
      <c r="A15" s="251"/>
      <c r="B15" s="252"/>
      <c r="C15" s="252"/>
      <c r="D15" s="252"/>
      <c r="E15" s="252"/>
      <c r="F15" s="252"/>
      <c r="G15" s="252" t="s">
        <v>105</v>
      </c>
      <c r="H15" s="252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  <c r="AB15" s="252"/>
      <c r="AC15" s="252"/>
      <c r="AD15" s="256"/>
      <c r="AE15" s="252"/>
      <c r="AF15" s="252"/>
      <c r="AG15" s="256"/>
      <c r="AH15" s="252"/>
      <c r="AI15" s="252"/>
      <c r="AJ15" s="252"/>
      <c r="AK15" s="252"/>
      <c r="AL15" s="252"/>
      <c r="AM15" s="252"/>
      <c r="AN15" s="252"/>
      <c r="AO15" s="252"/>
      <c r="AP15" s="252"/>
      <c r="AQ15" s="252"/>
      <c r="AR15" s="252"/>
      <c r="AS15" s="253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4"/>
      <c r="BL15" s="254"/>
      <c r="BM15" s="254"/>
      <c r="BN15" s="254"/>
      <c r="BO15" s="254"/>
      <c r="BP15" s="254"/>
      <c r="BQ15" s="254"/>
      <c r="BR15" s="254"/>
      <c r="BS15" s="254"/>
      <c r="BT15" s="254"/>
      <c r="BU15" s="254"/>
      <c r="BV15" s="254"/>
      <c r="BW15" s="254"/>
      <c r="BX15" s="254"/>
      <c r="BY15" s="254"/>
      <c r="BZ15" s="254"/>
      <c r="CA15" s="254"/>
      <c r="CB15" s="254"/>
      <c r="CC15" s="254"/>
      <c r="CD15" s="254"/>
      <c r="CE15" s="254"/>
      <c r="CF15" s="254"/>
      <c r="CG15" s="254"/>
      <c r="CH15" s="254"/>
      <c r="CI15" s="254"/>
      <c r="CJ15" s="254"/>
      <c r="CK15" s="254"/>
    </row>
    <row r="16" spans="1:89" s="255" customFormat="1" ht="27" customHeight="1">
      <c r="A16" s="251"/>
      <c r="B16" s="252"/>
      <c r="C16" s="252"/>
      <c r="D16" s="252"/>
      <c r="E16" s="252"/>
      <c r="F16" s="252"/>
      <c r="G16" s="252" t="s">
        <v>106</v>
      </c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 t="s">
        <v>107</v>
      </c>
      <c r="Y16" s="252"/>
      <c r="Z16" s="252"/>
      <c r="AA16" s="252"/>
      <c r="AB16" s="252"/>
      <c r="AC16" s="252" t="s">
        <v>94</v>
      </c>
      <c r="AD16" s="256" t="s">
        <v>108</v>
      </c>
      <c r="AE16" s="252"/>
      <c r="AF16" s="252"/>
      <c r="AG16" s="252"/>
      <c r="AH16" s="252"/>
      <c r="AI16" s="252"/>
      <c r="AJ16" s="252"/>
      <c r="AK16" s="252"/>
      <c r="AL16" s="252"/>
      <c r="AM16" s="252"/>
      <c r="AN16" s="252"/>
      <c r="AO16" s="252"/>
      <c r="AP16" s="252"/>
      <c r="AQ16" s="252"/>
      <c r="AR16" s="252"/>
      <c r="AS16" s="253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4"/>
      <c r="BL16" s="254"/>
      <c r="BM16" s="254"/>
      <c r="BN16" s="254"/>
      <c r="BO16" s="254"/>
      <c r="BP16" s="254"/>
      <c r="BQ16" s="254"/>
      <c r="BR16" s="254"/>
      <c r="BS16" s="254"/>
      <c r="BT16" s="254"/>
      <c r="BU16" s="254"/>
      <c r="BV16" s="254"/>
      <c r="BW16" s="254"/>
      <c r="BX16" s="254"/>
      <c r="BY16" s="254"/>
      <c r="BZ16" s="254"/>
      <c r="CA16" s="254"/>
      <c r="CB16" s="254"/>
      <c r="CC16" s="254"/>
      <c r="CD16" s="254"/>
      <c r="CE16" s="254"/>
      <c r="CF16" s="254"/>
      <c r="CG16" s="254"/>
      <c r="CH16" s="254"/>
      <c r="CI16" s="254"/>
      <c r="CJ16" s="254"/>
      <c r="CK16" s="254"/>
    </row>
    <row r="17" spans="1:89" s="255" customFormat="1" ht="27" customHeight="1">
      <c r="A17" s="251"/>
      <c r="B17" s="252"/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 t="s">
        <v>109</v>
      </c>
      <c r="Y17" s="252"/>
      <c r="Z17" s="252"/>
      <c r="AA17" s="252"/>
      <c r="AB17" s="252"/>
      <c r="AC17" s="252" t="s">
        <v>94</v>
      </c>
      <c r="AD17" s="252" t="s">
        <v>110</v>
      </c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3"/>
      <c r="AT17" s="254"/>
      <c r="AU17" s="254"/>
      <c r="AV17" s="254"/>
      <c r="AW17" s="254"/>
      <c r="AX17" s="254"/>
      <c r="AY17" s="254"/>
      <c r="AZ17" s="254"/>
      <c r="BA17" s="254"/>
      <c r="BB17" s="254"/>
      <c r="BC17" s="254"/>
      <c r="BD17" s="254"/>
      <c r="BE17" s="254"/>
      <c r="BF17" s="254"/>
      <c r="BG17" s="254"/>
      <c r="BH17" s="254"/>
      <c r="BI17" s="254"/>
      <c r="BJ17" s="254"/>
      <c r="BK17" s="254"/>
      <c r="BL17" s="254"/>
      <c r="BM17" s="254"/>
      <c r="BN17" s="254"/>
      <c r="BO17" s="254"/>
      <c r="BP17" s="254"/>
      <c r="BQ17" s="254"/>
      <c r="BR17" s="254"/>
      <c r="BS17" s="254"/>
      <c r="BT17" s="254"/>
      <c r="BU17" s="254"/>
      <c r="BV17" s="254"/>
      <c r="BW17" s="254"/>
      <c r="BX17" s="254"/>
      <c r="BY17" s="254"/>
      <c r="BZ17" s="254"/>
      <c r="CA17" s="254"/>
      <c r="CB17" s="254"/>
      <c r="CC17" s="254"/>
      <c r="CD17" s="254"/>
      <c r="CE17" s="254"/>
      <c r="CF17" s="254"/>
      <c r="CG17" s="254"/>
      <c r="CH17" s="254"/>
      <c r="CI17" s="254"/>
      <c r="CJ17" s="254"/>
      <c r="CK17" s="254"/>
    </row>
    <row r="18" spans="1:89" s="255" customFormat="1" ht="27" customHeight="1">
      <c r="A18" s="251"/>
      <c r="B18" s="252" t="s">
        <v>111</v>
      </c>
      <c r="C18" s="252"/>
      <c r="D18" s="252"/>
      <c r="E18" s="252"/>
      <c r="F18" s="252" t="s">
        <v>94</v>
      </c>
      <c r="G18" s="252" t="s">
        <v>112</v>
      </c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 t="s">
        <v>113</v>
      </c>
      <c r="Y18" s="252"/>
      <c r="Z18" s="252"/>
      <c r="AA18" s="252"/>
      <c r="AB18" s="252"/>
      <c r="AC18" s="252" t="s">
        <v>94</v>
      </c>
      <c r="AD18" s="252" t="s">
        <v>114</v>
      </c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3"/>
      <c r="AT18" s="254"/>
      <c r="AU18" s="254"/>
      <c r="AV18" s="254"/>
      <c r="AW18" s="254"/>
      <c r="AX18" s="254"/>
      <c r="AY18" s="254"/>
      <c r="AZ18" s="254"/>
      <c r="BA18" s="254"/>
      <c r="BB18" s="254"/>
      <c r="BC18" s="254"/>
      <c r="BD18" s="254"/>
      <c r="BE18" s="254"/>
      <c r="BF18" s="254"/>
      <c r="BG18" s="254"/>
      <c r="BH18" s="254"/>
      <c r="BI18" s="254"/>
      <c r="BJ18" s="254"/>
      <c r="BK18" s="254"/>
      <c r="BL18" s="254"/>
      <c r="BM18" s="254"/>
      <c r="BN18" s="254"/>
      <c r="BO18" s="254"/>
      <c r="BP18" s="254"/>
      <c r="BQ18" s="254"/>
      <c r="BR18" s="254"/>
      <c r="BS18" s="254"/>
      <c r="BT18" s="254"/>
      <c r="BU18" s="254"/>
      <c r="BV18" s="254"/>
      <c r="BW18" s="254"/>
      <c r="BX18" s="254"/>
      <c r="BY18" s="254"/>
      <c r="BZ18" s="254"/>
      <c r="CA18" s="254"/>
      <c r="CB18" s="254"/>
      <c r="CC18" s="254"/>
      <c r="CD18" s="254"/>
      <c r="CE18" s="254"/>
      <c r="CF18" s="254"/>
      <c r="CG18" s="254"/>
      <c r="CH18" s="254"/>
      <c r="CI18" s="254"/>
      <c r="CJ18" s="254"/>
      <c r="CK18" s="254"/>
    </row>
    <row r="19" spans="1:89" s="255" customFormat="1" ht="27" customHeight="1">
      <c r="A19" s="251"/>
      <c r="B19" s="252" t="s">
        <v>115</v>
      </c>
      <c r="C19" s="252"/>
      <c r="D19" s="252"/>
      <c r="E19" s="252"/>
      <c r="F19" s="252" t="s">
        <v>94</v>
      </c>
      <c r="G19" s="257" t="s">
        <v>116</v>
      </c>
      <c r="H19" s="257"/>
      <c r="I19" s="257"/>
      <c r="J19" s="257"/>
      <c r="K19" s="257"/>
      <c r="L19" s="257"/>
      <c r="M19" s="257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252"/>
      <c r="AA19" s="252"/>
      <c r="AB19" s="252"/>
      <c r="AC19" s="252"/>
      <c r="AD19" s="252" t="s">
        <v>117</v>
      </c>
      <c r="AE19" s="252"/>
      <c r="AF19" s="252"/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3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4"/>
      <c r="BI19" s="254"/>
      <c r="BJ19" s="254"/>
      <c r="BK19" s="254"/>
      <c r="BL19" s="254"/>
      <c r="BM19" s="254"/>
      <c r="BN19" s="254"/>
      <c r="BO19" s="254"/>
      <c r="BP19" s="254"/>
      <c r="BQ19" s="254"/>
      <c r="BR19" s="254"/>
      <c r="BS19" s="254"/>
      <c r="BT19" s="254"/>
      <c r="BU19" s="254"/>
      <c r="BV19" s="254"/>
      <c r="BW19" s="254"/>
      <c r="BX19" s="254"/>
      <c r="BY19" s="254"/>
      <c r="BZ19" s="254"/>
      <c r="CA19" s="254"/>
      <c r="CB19" s="254"/>
      <c r="CC19" s="254"/>
      <c r="CD19" s="254"/>
      <c r="CE19" s="254"/>
      <c r="CF19" s="254"/>
      <c r="CG19" s="254"/>
      <c r="CH19" s="254"/>
      <c r="CI19" s="254"/>
      <c r="CJ19" s="254"/>
      <c r="CK19" s="254"/>
    </row>
    <row r="20" spans="1:89" s="255" customFormat="1" ht="27" customHeight="1">
      <c r="A20" s="251"/>
      <c r="B20" s="252" t="s">
        <v>118</v>
      </c>
      <c r="C20" s="252"/>
      <c r="D20" s="252"/>
      <c r="E20" s="252"/>
      <c r="F20" s="252" t="s">
        <v>94</v>
      </c>
      <c r="G20" s="257" t="s">
        <v>119</v>
      </c>
      <c r="H20" s="257"/>
      <c r="I20" s="257"/>
      <c r="J20" s="257"/>
      <c r="K20" s="257"/>
      <c r="L20" s="257"/>
      <c r="M20" s="257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/>
      <c r="AA20" s="252"/>
      <c r="AB20" s="252"/>
      <c r="AC20" s="252"/>
      <c r="AD20" s="252" t="s">
        <v>120</v>
      </c>
      <c r="AE20" s="252"/>
      <c r="AF20" s="252"/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3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4"/>
      <c r="BI20" s="254"/>
      <c r="BJ20" s="254"/>
      <c r="BK20" s="254"/>
      <c r="BL20" s="254"/>
      <c r="BM20" s="254"/>
      <c r="BN20" s="254"/>
      <c r="BO20" s="254"/>
      <c r="BP20" s="254"/>
      <c r="BQ20" s="254"/>
      <c r="BR20" s="254"/>
      <c r="BS20" s="254"/>
      <c r="BT20" s="254"/>
      <c r="BU20" s="254"/>
      <c r="BV20" s="254"/>
      <c r="BW20" s="254"/>
      <c r="BX20" s="254"/>
      <c r="BY20" s="254"/>
      <c r="BZ20" s="254"/>
      <c r="CA20" s="254"/>
      <c r="CB20" s="254"/>
      <c r="CC20" s="254"/>
      <c r="CD20" s="254"/>
      <c r="CE20" s="254"/>
      <c r="CF20" s="254"/>
      <c r="CG20" s="254"/>
      <c r="CH20" s="254"/>
      <c r="CI20" s="254"/>
      <c r="CJ20" s="254"/>
      <c r="CK20" s="254"/>
    </row>
    <row r="21" spans="1:89" s="255" customFormat="1" ht="27" customHeight="1">
      <c r="A21" s="251"/>
      <c r="B21" s="252" t="s">
        <v>121</v>
      </c>
      <c r="C21" s="252"/>
      <c r="D21" s="252"/>
      <c r="E21" s="252"/>
      <c r="F21" s="252" t="s">
        <v>94</v>
      </c>
      <c r="G21" s="258" t="s">
        <v>122</v>
      </c>
      <c r="H21" s="258"/>
      <c r="I21" s="258"/>
      <c r="J21" s="258"/>
      <c r="K21" s="258"/>
      <c r="L21" s="258"/>
      <c r="M21" s="258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2"/>
      <c r="AI21" s="252"/>
      <c r="AJ21" s="252"/>
      <c r="AK21" s="252"/>
      <c r="AL21" s="252"/>
      <c r="AM21" s="252"/>
      <c r="AN21" s="252"/>
      <c r="AO21" s="252"/>
      <c r="AP21" s="252"/>
      <c r="AQ21" s="252"/>
      <c r="AR21" s="252"/>
      <c r="AS21" s="253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4"/>
      <c r="BL21" s="254"/>
      <c r="BM21" s="254"/>
      <c r="BN21" s="254"/>
      <c r="BO21" s="254"/>
      <c r="BP21" s="254"/>
      <c r="BQ21" s="254"/>
      <c r="BR21" s="254"/>
      <c r="BS21" s="254"/>
      <c r="BT21" s="254"/>
      <c r="BU21" s="254"/>
      <c r="BV21" s="254"/>
      <c r="BW21" s="254"/>
      <c r="BX21" s="254"/>
      <c r="BY21" s="254"/>
      <c r="BZ21" s="254"/>
      <c r="CA21" s="254"/>
      <c r="CB21" s="254"/>
      <c r="CC21" s="254"/>
      <c r="CD21" s="254"/>
      <c r="CE21" s="254"/>
      <c r="CF21" s="254"/>
      <c r="CG21" s="254"/>
      <c r="CH21" s="254"/>
      <c r="CI21" s="254"/>
      <c r="CJ21" s="254"/>
      <c r="CK21" s="254"/>
    </row>
    <row r="22" spans="1:89" s="255" customFormat="1" ht="27" customHeight="1">
      <c r="A22" s="251"/>
      <c r="B22" s="252"/>
      <c r="C22" s="252"/>
      <c r="D22" s="252"/>
      <c r="E22" s="252"/>
      <c r="F22" s="252"/>
      <c r="G22" s="258"/>
      <c r="H22" s="258"/>
      <c r="I22" s="258"/>
      <c r="J22" s="258"/>
      <c r="K22" s="258"/>
      <c r="L22" s="258"/>
      <c r="M22" s="258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 t="s">
        <v>123</v>
      </c>
      <c r="Y22" s="252"/>
      <c r="Z22" s="252"/>
      <c r="AA22" s="252"/>
      <c r="AB22" s="252"/>
      <c r="AC22" s="252" t="s">
        <v>94</v>
      </c>
      <c r="AD22" s="257" t="s">
        <v>124</v>
      </c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3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4"/>
      <c r="BK22" s="254"/>
      <c r="BL22" s="254"/>
      <c r="BM22" s="254"/>
      <c r="BN22" s="254"/>
      <c r="BO22" s="254"/>
      <c r="BP22" s="254"/>
      <c r="BQ22" s="254"/>
      <c r="BR22" s="254"/>
      <c r="BS22" s="254"/>
      <c r="BT22" s="254"/>
      <c r="BU22" s="254"/>
      <c r="BV22" s="254"/>
      <c r="BW22" s="254"/>
      <c r="BX22" s="254"/>
      <c r="BY22" s="254"/>
      <c r="BZ22" s="254"/>
      <c r="CA22" s="254"/>
      <c r="CB22" s="254"/>
      <c r="CC22" s="254"/>
      <c r="CD22" s="254"/>
      <c r="CE22" s="254"/>
      <c r="CF22" s="254"/>
      <c r="CG22" s="254"/>
      <c r="CH22" s="254"/>
      <c r="CI22" s="254"/>
      <c r="CJ22" s="254"/>
      <c r="CK22" s="254"/>
    </row>
    <row r="23" spans="1:89" s="255" customFormat="1" ht="27" customHeight="1">
      <c r="A23" s="251"/>
      <c r="B23" s="252" t="s">
        <v>125</v>
      </c>
      <c r="C23" s="252"/>
      <c r="D23" s="252"/>
      <c r="E23" s="252"/>
      <c r="F23" s="252" t="s">
        <v>94</v>
      </c>
      <c r="G23" s="252" t="s">
        <v>212</v>
      </c>
      <c r="H23" s="252"/>
      <c r="I23" s="252"/>
      <c r="J23" s="252"/>
      <c r="K23" s="252"/>
      <c r="L23" s="252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 t="s">
        <v>127</v>
      </c>
      <c r="Y23" s="252"/>
      <c r="Z23" s="252"/>
      <c r="AA23" s="252"/>
      <c r="AB23" s="252"/>
      <c r="AC23" s="252" t="s">
        <v>94</v>
      </c>
      <c r="AD23" s="257" t="s">
        <v>128</v>
      </c>
      <c r="AE23" s="252"/>
      <c r="AF23" s="252"/>
      <c r="AG23" s="252"/>
      <c r="AH23" s="252"/>
      <c r="AI23" s="252"/>
      <c r="AJ23" s="252"/>
      <c r="AK23" s="252"/>
      <c r="AL23" s="252"/>
      <c r="AM23" s="252"/>
      <c r="AN23" s="252"/>
      <c r="AO23" s="252"/>
      <c r="AP23" s="252"/>
      <c r="AQ23" s="252"/>
      <c r="AR23" s="252"/>
      <c r="AS23" s="253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4"/>
      <c r="BL23" s="254"/>
      <c r="BM23" s="254"/>
      <c r="BN23" s="254"/>
      <c r="BO23" s="254"/>
      <c r="BP23" s="254"/>
      <c r="BQ23" s="254"/>
      <c r="BR23" s="254"/>
      <c r="BS23" s="254"/>
      <c r="BT23" s="254"/>
      <c r="BU23" s="254"/>
      <c r="BV23" s="254"/>
      <c r="BW23" s="254"/>
      <c r="BX23" s="254"/>
      <c r="BY23" s="254"/>
      <c r="BZ23" s="254"/>
      <c r="CA23" s="254"/>
      <c r="CB23" s="254"/>
      <c r="CC23" s="254"/>
      <c r="CD23" s="254"/>
      <c r="CE23" s="254"/>
      <c r="CF23" s="254"/>
      <c r="CG23" s="254"/>
      <c r="CH23" s="254"/>
      <c r="CI23" s="254"/>
      <c r="CJ23" s="254"/>
      <c r="CK23" s="254"/>
    </row>
    <row r="24" spans="1:89" s="255" customFormat="1" ht="27" customHeight="1">
      <c r="A24" s="251"/>
      <c r="B24" s="252"/>
      <c r="C24" s="252"/>
      <c r="D24" s="252"/>
      <c r="E24" s="252"/>
      <c r="F24" s="252"/>
      <c r="G24" s="256"/>
      <c r="H24" s="256"/>
      <c r="I24" s="256"/>
      <c r="J24" s="256"/>
      <c r="K24" s="256"/>
      <c r="L24" s="256"/>
      <c r="M24" s="256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 t="s">
        <v>129</v>
      </c>
      <c r="Y24" s="252"/>
      <c r="Z24" s="252"/>
      <c r="AA24" s="252"/>
      <c r="AB24" s="252"/>
      <c r="AC24" s="252" t="s">
        <v>94</v>
      </c>
      <c r="AD24" s="252" t="s">
        <v>213</v>
      </c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3"/>
      <c r="AT24" s="254"/>
      <c r="AU24" s="254"/>
      <c r="AV24" s="254"/>
      <c r="AW24" s="254"/>
      <c r="AX24" s="254"/>
      <c r="AY24" s="254"/>
      <c r="AZ24" s="254"/>
      <c r="BA24" s="254"/>
      <c r="BB24" s="254"/>
      <c r="BC24" s="254"/>
      <c r="BD24" s="254"/>
      <c r="BE24" s="254"/>
      <c r="BF24" s="254"/>
      <c r="BG24" s="254"/>
      <c r="BH24" s="254"/>
      <c r="BI24" s="254"/>
      <c r="BJ24" s="254"/>
      <c r="BK24" s="254"/>
      <c r="BL24" s="254"/>
      <c r="BM24" s="254"/>
      <c r="BN24" s="254"/>
      <c r="BO24" s="254"/>
      <c r="BP24" s="254"/>
      <c r="BQ24" s="254"/>
      <c r="BR24" s="254"/>
      <c r="BS24" s="254"/>
      <c r="BT24" s="254"/>
      <c r="BU24" s="254"/>
      <c r="BV24" s="254"/>
      <c r="BW24" s="254"/>
      <c r="BX24" s="254"/>
      <c r="BY24" s="254"/>
      <c r="BZ24" s="254"/>
      <c r="CA24" s="254"/>
      <c r="CB24" s="254"/>
      <c r="CC24" s="254"/>
      <c r="CD24" s="254"/>
      <c r="CE24" s="254"/>
      <c r="CF24" s="254"/>
      <c r="CG24" s="254"/>
      <c r="CH24" s="254"/>
      <c r="CI24" s="254"/>
      <c r="CJ24" s="254"/>
      <c r="CK24" s="254"/>
    </row>
    <row r="25" spans="1:89" s="255" customFormat="1" ht="27" customHeight="1">
      <c r="A25" s="251"/>
      <c r="B25" s="252" t="s">
        <v>131</v>
      </c>
      <c r="C25" s="252"/>
      <c r="D25" s="252"/>
      <c r="E25" s="252"/>
      <c r="F25" s="252" t="s">
        <v>94</v>
      </c>
      <c r="G25" s="256" t="s">
        <v>98</v>
      </c>
      <c r="H25" s="256"/>
      <c r="I25" s="256"/>
      <c r="J25" s="256"/>
      <c r="K25" s="256"/>
      <c r="L25" s="256"/>
      <c r="M25" s="256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 t="s">
        <v>132</v>
      </c>
      <c r="Y25" s="252"/>
      <c r="Z25" s="252"/>
      <c r="AA25" s="252"/>
      <c r="AB25" s="252"/>
      <c r="AC25" s="252" t="s">
        <v>94</v>
      </c>
      <c r="AD25" s="252" t="s">
        <v>214</v>
      </c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3"/>
      <c r="AT25" s="254"/>
      <c r="AU25" s="254"/>
      <c r="AV25" s="254"/>
      <c r="AW25" s="254"/>
      <c r="AX25" s="254"/>
      <c r="AY25" s="254"/>
      <c r="AZ25" s="254"/>
      <c r="BA25" s="254"/>
      <c r="BB25" s="254"/>
      <c r="BC25" s="254"/>
      <c r="BD25" s="254"/>
      <c r="BE25" s="254"/>
      <c r="BF25" s="254"/>
      <c r="BG25" s="254"/>
      <c r="BH25" s="254"/>
      <c r="BI25" s="254"/>
      <c r="BJ25" s="254"/>
      <c r="BK25" s="254"/>
      <c r="BL25" s="254"/>
      <c r="BM25" s="254"/>
      <c r="BN25" s="254"/>
      <c r="BO25" s="254"/>
      <c r="BP25" s="254"/>
      <c r="BQ25" s="254"/>
      <c r="BR25" s="254"/>
      <c r="BS25" s="254"/>
      <c r="BT25" s="254"/>
      <c r="BU25" s="254"/>
      <c r="BV25" s="254"/>
      <c r="BW25" s="254"/>
      <c r="BX25" s="254"/>
      <c r="BY25" s="254"/>
      <c r="BZ25" s="254"/>
      <c r="CA25" s="254"/>
      <c r="CB25" s="254"/>
      <c r="CC25" s="254"/>
      <c r="CD25" s="254"/>
      <c r="CE25" s="254"/>
      <c r="CF25" s="254"/>
      <c r="CG25" s="254"/>
      <c r="CH25" s="254"/>
      <c r="CI25" s="254"/>
      <c r="CJ25" s="254"/>
      <c r="CK25" s="254"/>
    </row>
    <row r="26" spans="1:89" s="255" customFormat="1" ht="27" customHeight="1">
      <c r="A26" s="251"/>
      <c r="B26" s="252"/>
      <c r="C26" s="252"/>
      <c r="D26" s="252"/>
      <c r="E26" s="252"/>
      <c r="F26" s="252"/>
      <c r="G26" s="252" t="s">
        <v>99</v>
      </c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 t="s">
        <v>134</v>
      </c>
      <c r="Y26" s="252"/>
      <c r="Z26" s="252"/>
      <c r="AA26" s="252"/>
      <c r="AB26" s="252"/>
      <c r="AC26" s="252" t="s">
        <v>94</v>
      </c>
      <c r="AD26" s="252" t="s">
        <v>135</v>
      </c>
      <c r="AE26" s="252"/>
      <c r="AF26" s="252"/>
      <c r="AG26" s="252"/>
      <c r="AH26" s="252"/>
      <c r="AI26" s="252"/>
      <c r="AJ26" s="252"/>
      <c r="AK26" s="252"/>
      <c r="AL26" s="252"/>
      <c r="AM26" s="252"/>
      <c r="AN26" s="252"/>
      <c r="AO26" s="252"/>
      <c r="AP26" s="252"/>
      <c r="AQ26" s="252"/>
      <c r="AR26" s="252"/>
      <c r="AS26" s="253"/>
      <c r="AT26" s="254"/>
      <c r="AU26" s="254"/>
      <c r="AV26" s="254"/>
      <c r="AW26" s="254"/>
      <c r="AX26" s="254"/>
      <c r="AY26" s="254"/>
      <c r="AZ26" s="254"/>
      <c r="BA26" s="254"/>
      <c r="BB26" s="254"/>
      <c r="BC26" s="254"/>
      <c r="BD26" s="254"/>
      <c r="BE26" s="254"/>
      <c r="BF26" s="254"/>
      <c r="BG26" s="254"/>
      <c r="BH26" s="254"/>
      <c r="BI26" s="254"/>
      <c r="BJ26" s="254"/>
      <c r="BK26" s="254"/>
      <c r="BL26" s="254"/>
      <c r="BM26" s="254"/>
      <c r="BN26" s="254"/>
      <c r="BO26" s="254"/>
      <c r="BP26" s="254"/>
      <c r="BQ26" s="254"/>
      <c r="BR26" s="254"/>
      <c r="BS26" s="254"/>
      <c r="BT26" s="254"/>
      <c r="BU26" s="254"/>
      <c r="BV26" s="254"/>
      <c r="BW26" s="254"/>
      <c r="BX26" s="254"/>
      <c r="BY26" s="254"/>
      <c r="BZ26" s="254"/>
      <c r="CA26" s="254"/>
      <c r="CB26" s="254"/>
      <c r="CC26" s="254"/>
      <c r="CD26" s="254"/>
      <c r="CE26" s="254"/>
      <c r="CF26" s="254"/>
      <c r="CG26" s="254"/>
      <c r="CH26" s="254"/>
      <c r="CI26" s="254"/>
      <c r="CJ26" s="254"/>
      <c r="CK26" s="254"/>
    </row>
    <row r="27" spans="1:89" s="255" customFormat="1" ht="27" customHeight="1">
      <c r="A27" s="251"/>
      <c r="B27" s="252"/>
      <c r="C27" s="252"/>
      <c r="D27" s="252"/>
      <c r="E27" s="252"/>
      <c r="F27" s="252"/>
      <c r="G27" s="252" t="s">
        <v>102</v>
      </c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 t="s">
        <v>136</v>
      </c>
      <c r="Y27" s="252"/>
      <c r="Z27" s="252"/>
      <c r="AA27" s="252"/>
      <c r="AB27" s="252"/>
      <c r="AC27" s="252" t="s">
        <v>94</v>
      </c>
      <c r="AD27" s="256" t="s">
        <v>98</v>
      </c>
      <c r="AE27" s="256"/>
      <c r="AF27" s="252"/>
      <c r="AG27" s="256"/>
      <c r="AH27" s="252"/>
      <c r="AI27" s="252"/>
      <c r="AJ27" s="252"/>
      <c r="AK27" s="252"/>
      <c r="AL27" s="252"/>
      <c r="AM27" s="252"/>
      <c r="AN27" s="252"/>
      <c r="AO27" s="252"/>
      <c r="AP27" s="252"/>
      <c r="AQ27" s="252"/>
      <c r="AR27" s="252"/>
      <c r="AS27" s="253"/>
      <c r="AT27" s="254"/>
      <c r="AU27" s="254"/>
      <c r="AV27" s="254"/>
      <c r="AW27" s="254"/>
      <c r="AX27" s="254"/>
      <c r="AY27" s="254"/>
      <c r="AZ27" s="254"/>
      <c r="BA27" s="254"/>
      <c r="BB27" s="254"/>
      <c r="BC27" s="254"/>
      <c r="BD27" s="254"/>
      <c r="BE27" s="254"/>
      <c r="BF27" s="254"/>
      <c r="BG27" s="254"/>
      <c r="BH27" s="254"/>
      <c r="BI27" s="254"/>
      <c r="BJ27" s="254"/>
      <c r="BK27" s="254"/>
      <c r="BL27" s="254"/>
      <c r="BM27" s="254"/>
      <c r="BN27" s="254"/>
      <c r="BO27" s="254"/>
      <c r="BP27" s="254"/>
      <c r="BQ27" s="254"/>
      <c r="BR27" s="254"/>
      <c r="BS27" s="254"/>
      <c r="BT27" s="254"/>
      <c r="BU27" s="254"/>
      <c r="BV27" s="254"/>
      <c r="BW27" s="254"/>
      <c r="BX27" s="254"/>
      <c r="BY27" s="254"/>
      <c r="BZ27" s="254"/>
      <c r="CA27" s="254"/>
      <c r="CB27" s="254"/>
      <c r="CC27" s="254"/>
      <c r="CD27" s="254"/>
      <c r="CE27" s="254"/>
      <c r="CF27" s="254"/>
      <c r="CG27" s="254"/>
      <c r="CH27" s="254"/>
      <c r="CI27" s="254"/>
      <c r="CJ27" s="254"/>
      <c r="CK27" s="254"/>
    </row>
    <row r="28" spans="1:89" s="255" customFormat="1" ht="27" customHeight="1">
      <c r="A28" s="251"/>
      <c r="B28" s="252"/>
      <c r="C28" s="252"/>
      <c r="D28" s="252"/>
      <c r="E28" s="252"/>
      <c r="F28" s="252"/>
      <c r="G28" s="252" t="s">
        <v>105</v>
      </c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 t="s">
        <v>99</v>
      </c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3"/>
      <c r="AT28" s="254"/>
      <c r="AU28" s="254"/>
      <c r="AV28" s="254"/>
      <c r="AW28" s="254"/>
      <c r="AX28" s="254"/>
      <c r="AY28" s="254"/>
      <c r="AZ28" s="254"/>
      <c r="BA28" s="254"/>
      <c r="BB28" s="254"/>
      <c r="BC28" s="254"/>
      <c r="BD28" s="254"/>
      <c r="BE28" s="254"/>
      <c r="BF28" s="254"/>
      <c r="BG28" s="254"/>
      <c r="BH28" s="254"/>
      <c r="BI28" s="254"/>
      <c r="BJ28" s="254"/>
      <c r="BK28" s="254"/>
      <c r="BL28" s="254"/>
      <c r="BM28" s="254"/>
      <c r="BN28" s="254"/>
      <c r="BO28" s="254"/>
      <c r="BP28" s="254"/>
      <c r="BQ28" s="254"/>
      <c r="BR28" s="254"/>
      <c r="BS28" s="254"/>
      <c r="BT28" s="254"/>
      <c r="BU28" s="254"/>
      <c r="BV28" s="254"/>
      <c r="BW28" s="254"/>
      <c r="BX28" s="254"/>
      <c r="BY28" s="254"/>
      <c r="BZ28" s="254"/>
      <c r="CA28" s="254"/>
      <c r="CB28" s="254"/>
      <c r="CC28" s="254"/>
      <c r="CD28" s="254"/>
      <c r="CE28" s="254"/>
      <c r="CF28" s="254"/>
      <c r="CG28" s="254"/>
      <c r="CH28" s="254"/>
      <c r="CI28" s="254"/>
      <c r="CJ28" s="254"/>
      <c r="CK28" s="254"/>
    </row>
    <row r="29" spans="1:89" s="255" customFormat="1" ht="27" customHeight="1">
      <c r="A29" s="251"/>
      <c r="B29" s="252"/>
      <c r="C29" s="252"/>
      <c r="D29" s="252"/>
      <c r="E29" s="252"/>
      <c r="F29" s="252"/>
      <c r="G29" s="252" t="s">
        <v>106</v>
      </c>
      <c r="H29" s="252"/>
      <c r="I29" s="252"/>
      <c r="J29" s="252"/>
      <c r="K29" s="252"/>
      <c r="L29" s="252"/>
      <c r="M29" s="252"/>
      <c r="N29" s="252"/>
      <c r="O29" s="252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Z29" s="252"/>
      <c r="AA29" s="252"/>
      <c r="AB29" s="252"/>
      <c r="AC29" s="252"/>
      <c r="AD29" s="252" t="s">
        <v>102</v>
      </c>
      <c r="AE29" s="252"/>
      <c r="AF29" s="252"/>
      <c r="AG29" s="252"/>
      <c r="AH29" s="252"/>
      <c r="AI29" s="252"/>
      <c r="AJ29" s="252"/>
      <c r="AK29" s="252"/>
      <c r="AL29" s="252"/>
      <c r="AM29" s="252"/>
      <c r="AN29" s="252"/>
      <c r="AO29" s="252"/>
      <c r="AP29" s="252"/>
      <c r="AQ29" s="252"/>
      <c r="AR29" s="252"/>
      <c r="AS29" s="253"/>
      <c r="AT29" s="254"/>
      <c r="AU29" s="254"/>
      <c r="AV29" s="254"/>
      <c r="AW29" s="254"/>
      <c r="AX29" s="254"/>
      <c r="AY29" s="254"/>
      <c r="AZ29" s="254"/>
      <c r="BA29" s="254"/>
      <c r="BB29" s="254"/>
      <c r="BC29" s="254"/>
      <c r="BD29" s="254"/>
      <c r="BE29" s="254"/>
      <c r="BF29" s="254"/>
      <c r="BG29" s="254"/>
      <c r="BH29" s="254"/>
      <c r="BI29" s="254"/>
      <c r="BJ29" s="254"/>
      <c r="BK29" s="254"/>
      <c r="BL29" s="254"/>
      <c r="BM29" s="254"/>
      <c r="BN29" s="254"/>
      <c r="BO29" s="254"/>
      <c r="BP29" s="254"/>
      <c r="BQ29" s="254"/>
      <c r="BR29" s="254"/>
      <c r="BS29" s="254"/>
      <c r="BT29" s="254"/>
      <c r="BU29" s="254"/>
      <c r="BV29" s="254"/>
      <c r="BW29" s="254"/>
      <c r="BX29" s="254"/>
      <c r="BY29" s="254"/>
      <c r="BZ29" s="254"/>
      <c r="CA29" s="254"/>
      <c r="CB29" s="254"/>
      <c r="CC29" s="254"/>
      <c r="CD29" s="254"/>
      <c r="CE29" s="254"/>
      <c r="CF29" s="254"/>
      <c r="CG29" s="254"/>
      <c r="CH29" s="254"/>
      <c r="CI29" s="254"/>
      <c r="CJ29" s="254"/>
      <c r="CK29" s="254"/>
    </row>
    <row r="30" spans="1:89" s="255" customFormat="1" ht="27" customHeight="1">
      <c r="A30" s="251"/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 t="s">
        <v>105</v>
      </c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3"/>
      <c r="AT30" s="254"/>
      <c r="AU30" s="254"/>
      <c r="AV30" s="254"/>
      <c r="AW30" s="254"/>
      <c r="AX30" s="254"/>
      <c r="AY30" s="254"/>
      <c r="AZ30" s="254"/>
      <c r="BA30" s="254"/>
      <c r="BB30" s="254"/>
      <c r="BC30" s="254"/>
      <c r="BD30" s="254"/>
      <c r="BE30" s="254"/>
      <c r="BF30" s="254"/>
      <c r="BG30" s="254"/>
      <c r="BH30" s="254"/>
      <c r="BI30" s="254"/>
      <c r="BJ30" s="254"/>
      <c r="BK30" s="254"/>
      <c r="BL30" s="254"/>
      <c r="BM30" s="254"/>
      <c r="BN30" s="254"/>
      <c r="BO30" s="254"/>
      <c r="BP30" s="254"/>
      <c r="BQ30" s="254"/>
      <c r="BR30" s="254"/>
      <c r="BS30" s="254"/>
      <c r="BT30" s="254"/>
      <c r="BU30" s="254"/>
      <c r="BV30" s="254"/>
      <c r="BW30" s="254"/>
      <c r="BX30" s="254"/>
      <c r="BY30" s="254"/>
      <c r="BZ30" s="254"/>
      <c r="CA30" s="254"/>
      <c r="CB30" s="254"/>
      <c r="CC30" s="254"/>
      <c r="CD30" s="254"/>
      <c r="CE30" s="254"/>
      <c r="CF30" s="254"/>
      <c r="CG30" s="254"/>
      <c r="CH30" s="254"/>
      <c r="CI30" s="254"/>
      <c r="CJ30" s="254"/>
      <c r="CK30" s="254"/>
    </row>
    <row r="31" spans="1:89" s="255" customFormat="1" ht="27" customHeight="1">
      <c r="A31" s="251"/>
      <c r="B31" s="252" t="s">
        <v>137</v>
      </c>
      <c r="C31" s="252"/>
      <c r="D31" s="252"/>
      <c r="E31" s="252"/>
      <c r="F31" s="252" t="s">
        <v>94</v>
      </c>
      <c r="G31" s="252" t="s">
        <v>112</v>
      </c>
      <c r="H31" s="252"/>
      <c r="I31" s="252"/>
      <c r="J31" s="252"/>
      <c r="K31" s="252"/>
      <c r="L31" s="252"/>
      <c r="M31" s="252"/>
      <c r="N31" s="252"/>
      <c r="O31" s="252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Z31" s="252"/>
      <c r="AA31" s="252"/>
      <c r="AB31" s="252"/>
      <c r="AC31" s="252"/>
      <c r="AD31" s="252" t="s">
        <v>106</v>
      </c>
      <c r="AE31" s="252"/>
      <c r="AF31" s="252"/>
      <c r="AG31" s="252"/>
      <c r="AH31" s="252"/>
      <c r="AI31" s="252"/>
      <c r="AJ31" s="252"/>
      <c r="AK31" s="252"/>
      <c r="AL31" s="252"/>
      <c r="AM31" s="252"/>
      <c r="AN31" s="252"/>
      <c r="AO31" s="252"/>
      <c r="AP31" s="252"/>
      <c r="AQ31" s="252"/>
      <c r="AR31" s="252"/>
      <c r="AS31" s="253"/>
      <c r="AT31" s="254"/>
      <c r="AU31" s="254"/>
      <c r="AV31" s="254"/>
      <c r="AW31" s="254"/>
      <c r="AX31" s="254"/>
      <c r="AY31" s="254"/>
      <c r="AZ31" s="254"/>
      <c r="BA31" s="254"/>
      <c r="BB31" s="254"/>
      <c r="BC31" s="254"/>
      <c r="BD31" s="254"/>
      <c r="BE31" s="254"/>
      <c r="BF31" s="254"/>
      <c r="BG31" s="254"/>
      <c r="BH31" s="254"/>
      <c r="BI31" s="254"/>
      <c r="BJ31" s="254"/>
      <c r="BK31" s="254"/>
      <c r="BL31" s="254"/>
      <c r="BM31" s="254"/>
      <c r="BN31" s="254"/>
      <c r="BO31" s="254"/>
      <c r="BP31" s="254"/>
      <c r="BQ31" s="254"/>
      <c r="BR31" s="254"/>
      <c r="BS31" s="254"/>
      <c r="BT31" s="254"/>
      <c r="BU31" s="254"/>
      <c r="BV31" s="254"/>
      <c r="BW31" s="254"/>
      <c r="BX31" s="254"/>
      <c r="BY31" s="254"/>
      <c r="BZ31" s="254"/>
      <c r="CA31" s="254"/>
      <c r="CB31" s="254"/>
      <c r="CC31" s="254"/>
      <c r="CD31" s="254"/>
      <c r="CE31" s="254"/>
      <c r="CF31" s="254"/>
      <c r="CG31" s="254"/>
      <c r="CH31" s="254"/>
      <c r="CI31" s="254"/>
      <c r="CJ31" s="254"/>
      <c r="CK31" s="254"/>
    </row>
    <row r="32" spans="1:89" s="255" customFormat="1" ht="27" customHeight="1">
      <c r="A32" s="251"/>
      <c r="B32" s="252" t="s">
        <v>138</v>
      </c>
      <c r="C32" s="252"/>
      <c r="D32" s="252"/>
      <c r="E32" s="252"/>
      <c r="F32" s="252" t="s">
        <v>94</v>
      </c>
      <c r="G32" s="257" t="s">
        <v>116</v>
      </c>
      <c r="H32" s="257"/>
      <c r="I32" s="257"/>
      <c r="J32" s="257"/>
      <c r="K32" s="257"/>
      <c r="L32" s="257"/>
      <c r="M32" s="257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 t="s">
        <v>139</v>
      </c>
      <c r="Y32" s="252"/>
      <c r="Z32" s="252"/>
      <c r="AA32" s="252"/>
      <c r="AB32" s="252"/>
      <c r="AC32" s="252" t="s">
        <v>94</v>
      </c>
      <c r="AD32" s="252" t="s">
        <v>140</v>
      </c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3"/>
      <c r="AT32" s="254"/>
      <c r="AU32" s="254"/>
      <c r="AV32" s="254"/>
      <c r="AW32" s="254"/>
      <c r="AX32" s="254"/>
      <c r="AY32" s="254"/>
      <c r="AZ32" s="254"/>
      <c r="BA32" s="254"/>
      <c r="BB32" s="254"/>
      <c r="BC32" s="254"/>
      <c r="BD32" s="254"/>
      <c r="BE32" s="254"/>
      <c r="BF32" s="254"/>
      <c r="BG32" s="254"/>
      <c r="BH32" s="254"/>
      <c r="BI32" s="254"/>
      <c r="BJ32" s="254"/>
      <c r="BK32" s="254"/>
      <c r="BL32" s="254"/>
      <c r="BM32" s="254"/>
      <c r="BN32" s="254"/>
      <c r="BO32" s="254"/>
      <c r="BP32" s="254"/>
      <c r="BQ32" s="254"/>
      <c r="BR32" s="254"/>
      <c r="BS32" s="254"/>
      <c r="BT32" s="254"/>
      <c r="BU32" s="254"/>
      <c r="BV32" s="254"/>
      <c r="BW32" s="254"/>
      <c r="BX32" s="254"/>
      <c r="BY32" s="254"/>
      <c r="BZ32" s="254"/>
      <c r="CA32" s="254"/>
      <c r="CB32" s="254"/>
      <c r="CC32" s="254"/>
      <c r="CD32" s="254"/>
      <c r="CE32" s="254"/>
      <c r="CF32" s="254"/>
      <c r="CG32" s="254"/>
      <c r="CH32" s="254"/>
      <c r="CI32" s="254"/>
      <c r="CJ32" s="254"/>
      <c r="CK32" s="254"/>
    </row>
    <row r="33" spans="1:89" s="255" customFormat="1" ht="27" customHeight="1">
      <c r="A33" s="251"/>
      <c r="B33" s="252" t="s">
        <v>141</v>
      </c>
      <c r="C33" s="252"/>
      <c r="D33" s="252"/>
      <c r="E33" s="252"/>
      <c r="F33" s="252" t="s">
        <v>94</v>
      </c>
      <c r="G33" s="257" t="s">
        <v>119</v>
      </c>
      <c r="H33" s="257"/>
      <c r="I33" s="257"/>
      <c r="J33" s="257"/>
      <c r="K33" s="257"/>
      <c r="L33" s="257"/>
      <c r="M33" s="257"/>
      <c r="N33" s="252"/>
      <c r="O33" s="252"/>
      <c r="P33" s="252"/>
      <c r="Q33" s="252"/>
      <c r="R33" s="252"/>
      <c r="S33" s="252"/>
      <c r="T33" s="252"/>
      <c r="U33" s="252"/>
      <c r="V33" s="252"/>
      <c r="W33" s="252"/>
      <c r="X33" s="252" t="s">
        <v>142</v>
      </c>
      <c r="Y33" s="252"/>
      <c r="Z33" s="252"/>
      <c r="AA33" s="252"/>
      <c r="AB33" s="252"/>
      <c r="AC33" s="252" t="s">
        <v>94</v>
      </c>
      <c r="AD33" s="252" t="s">
        <v>143</v>
      </c>
      <c r="AE33" s="252"/>
      <c r="AF33" s="252"/>
      <c r="AG33" s="252"/>
      <c r="AH33" s="252"/>
      <c r="AI33" s="252"/>
      <c r="AJ33" s="252"/>
      <c r="AK33" s="252"/>
      <c r="AL33" s="252"/>
      <c r="AM33" s="252"/>
      <c r="AN33" s="252"/>
      <c r="AO33" s="252"/>
      <c r="AP33" s="252"/>
      <c r="AQ33" s="252"/>
      <c r="AR33" s="252"/>
      <c r="AS33" s="253"/>
      <c r="AT33" s="254"/>
      <c r="AU33" s="254"/>
      <c r="AV33" s="254"/>
      <c r="AW33" s="254"/>
      <c r="AX33" s="254"/>
      <c r="AY33" s="254"/>
      <c r="AZ33" s="254"/>
      <c r="BA33" s="254"/>
      <c r="BB33" s="254"/>
      <c r="BC33" s="254"/>
      <c r="BD33" s="254"/>
      <c r="BE33" s="254"/>
      <c r="BF33" s="254"/>
      <c r="BG33" s="254"/>
      <c r="BH33" s="254"/>
      <c r="BI33" s="254"/>
      <c r="BJ33" s="254"/>
      <c r="BK33" s="254"/>
      <c r="BL33" s="254"/>
      <c r="BM33" s="254"/>
      <c r="BN33" s="254"/>
      <c r="BO33" s="254"/>
      <c r="BP33" s="254"/>
      <c r="BQ33" s="254"/>
      <c r="BR33" s="254"/>
      <c r="BS33" s="254"/>
      <c r="BT33" s="254"/>
      <c r="BU33" s="254"/>
      <c r="BV33" s="254"/>
      <c r="BW33" s="254"/>
      <c r="BX33" s="254"/>
      <c r="BY33" s="254"/>
      <c r="BZ33" s="254"/>
      <c r="CA33" s="254"/>
      <c r="CB33" s="254"/>
      <c r="CC33" s="254"/>
      <c r="CD33" s="254"/>
      <c r="CE33" s="254"/>
      <c r="CF33" s="254"/>
      <c r="CG33" s="254"/>
      <c r="CH33" s="254"/>
      <c r="CI33" s="254"/>
      <c r="CJ33" s="254"/>
      <c r="CK33" s="254"/>
    </row>
    <row r="34" spans="1:89" s="255" customFormat="1" ht="27" customHeight="1">
      <c r="A34" s="251"/>
      <c r="B34" s="252" t="s">
        <v>144</v>
      </c>
      <c r="C34" s="252"/>
      <c r="D34" s="252"/>
      <c r="E34" s="252"/>
      <c r="F34" s="252" t="s">
        <v>94</v>
      </c>
      <c r="G34" s="258" t="s">
        <v>122</v>
      </c>
      <c r="H34" s="258"/>
      <c r="I34" s="258"/>
      <c r="J34" s="258"/>
      <c r="K34" s="258"/>
      <c r="L34" s="258"/>
      <c r="M34" s="258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 t="s">
        <v>145</v>
      </c>
      <c r="Y34" s="252"/>
      <c r="Z34" s="252"/>
      <c r="AA34" s="252"/>
      <c r="AB34" s="252"/>
      <c r="AC34" s="252" t="s">
        <v>94</v>
      </c>
      <c r="AD34" s="252" t="s">
        <v>215</v>
      </c>
      <c r="AE34" s="252"/>
      <c r="AF34" s="252"/>
      <c r="AG34" s="252"/>
      <c r="AH34" s="252"/>
      <c r="AI34" s="252"/>
      <c r="AJ34" s="252"/>
      <c r="AK34" s="252"/>
      <c r="AL34" s="252"/>
      <c r="AM34" s="252"/>
      <c r="AN34" s="252"/>
      <c r="AO34" s="252"/>
      <c r="AP34" s="252"/>
      <c r="AQ34" s="252"/>
      <c r="AR34" s="252"/>
      <c r="AS34" s="253"/>
      <c r="AT34" s="254"/>
      <c r="AU34" s="254"/>
      <c r="AV34" s="254"/>
      <c r="AW34" s="254"/>
      <c r="AX34" s="254"/>
      <c r="AY34" s="254"/>
      <c r="AZ34" s="254"/>
      <c r="BA34" s="254"/>
      <c r="BB34" s="254"/>
      <c r="BC34" s="254"/>
      <c r="BD34" s="254"/>
      <c r="BE34" s="254"/>
      <c r="BF34" s="254"/>
      <c r="BG34" s="254"/>
      <c r="BH34" s="254"/>
      <c r="BI34" s="254"/>
      <c r="BJ34" s="254"/>
      <c r="BK34" s="254"/>
      <c r="BL34" s="254"/>
      <c r="BM34" s="254"/>
      <c r="BN34" s="254"/>
      <c r="BO34" s="254"/>
      <c r="BP34" s="254"/>
      <c r="BQ34" s="254"/>
      <c r="BR34" s="254"/>
      <c r="BS34" s="254"/>
      <c r="BT34" s="254"/>
      <c r="BU34" s="254"/>
      <c r="BV34" s="254"/>
      <c r="BW34" s="254"/>
      <c r="BX34" s="254"/>
      <c r="BY34" s="254"/>
      <c r="BZ34" s="254"/>
      <c r="CA34" s="254"/>
      <c r="CB34" s="254"/>
      <c r="CC34" s="254"/>
      <c r="CD34" s="254"/>
      <c r="CE34" s="254"/>
      <c r="CF34" s="254"/>
      <c r="CG34" s="254"/>
      <c r="CH34" s="254"/>
      <c r="CI34" s="254"/>
      <c r="CJ34" s="254"/>
      <c r="CK34" s="254"/>
    </row>
    <row r="35" spans="1:89" s="255" customFormat="1" ht="27" customHeight="1">
      <c r="A35" s="251"/>
      <c r="B35" s="252"/>
      <c r="C35" s="252"/>
      <c r="D35" s="252"/>
      <c r="E35" s="252"/>
      <c r="F35" s="252"/>
      <c r="G35" s="258"/>
      <c r="H35" s="258"/>
      <c r="I35" s="258"/>
      <c r="J35" s="258"/>
      <c r="K35" s="258"/>
      <c r="L35" s="258"/>
      <c r="M35" s="258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2" t="s">
        <v>147</v>
      </c>
      <c r="Y35" s="252"/>
      <c r="Z35" s="252"/>
      <c r="AA35" s="252"/>
      <c r="AB35" s="252"/>
      <c r="AC35" s="252" t="s">
        <v>94</v>
      </c>
      <c r="AD35" s="252" t="s">
        <v>148</v>
      </c>
      <c r="AE35" s="252"/>
      <c r="AF35" s="422">
        <v>43282</v>
      </c>
      <c r="AG35" s="422"/>
      <c r="AH35" s="422"/>
      <c r="AI35" s="422"/>
      <c r="AJ35" s="422"/>
      <c r="AK35" s="252" t="s">
        <v>149</v>
      </c>
      <c r="AL35" s="423">
        <v>43373</v>
      </c>
      <c r="AM35" s="423"/>
      <c r="AN35" s="423"/>
      <c r="AO35" s="423"/>
      <c r="AP35" s="423"/>
      <c r="AQ35" s="252"/>
      <c r="AR35" s="252"/>
      <c r="AS35" s="253"/>
      <c r="AT35" s="254"/>
      <c r="AU35" s="254"/>
      <c r="AV35" s="254"/>
      <c r="AW35" s="254"/>
      <c r="AX35" s="254"/>
      <c r="AY35" s="254"/>
      <c r="AZ35" s="254"/>
      <c r="BA35" s="254"/>
      <c r="BB35" s="254"/>
      <c r="BC35" s="254"/>
      <c r="BD35" s="254"/>
      <c r="BE35" s="254"/>
      <c r="BF35" s="254"/>
      <c r="BG35" s="254"/>
      <c r="BH35" s="254"/>
      <c r="BI35" s="254"/>
      <c r="BJ35" s="254"/>
      <c r="BK35" s="254"/>
      <c r="BL35" s="254"/>
      <c r="BM35" s="254"/>
      <c r="BN35" s="254"/>
      <c r="BO35" s="254"/>
      <c r="BP35" s="254"/>
      <c r="BQ35" s="254"/>
      <c r="BR35" s="254"/>
      <c r="BS35" s="254"/>
      <c r="BT35" s="254"/>
      <c r="BU35" s="254"/>
      <c r="BV35" s="254"/>
      <c r="BW35" s="254"/>
      <c r="BX35" s="254"/>
      <c r="BY35" s="254"/>
      <c r="BZ35" s="254"/>
      <c r="CA35" s="254"/>
      <c r="CB35" s="254"/>
      <c r="CC35" s="254"/>
      <c r="CD35" s="254"/>
      <c r="CE35" s="254"/>
      <c r="CF35" s="254"/>
      <c r="CG35" s="254"/>
      <c r="CH35" s="254"/>
      <c r="CI35" s="254"/>
      <c r="CJ35" s="254"/>
      <c r="CK35" s="254"/>
    </row>
    <row r="36" spans="1:89" s="255" customFormat="1" ht="27" customHeight="1">
      <c r="A36" s="251"/>
      <c r="B36" s="252"/>
      <c r="C36" s="252"/>
      <c r="D36" s="252"/>
      <c r="E36" s="252"/>
      <c r="F36" s="252"/>
      <c r="G36" s="258"/>
      <c r="H36" s="258"/>
      <c r="I36" s="258"/>
      <c r="J36" s="258"/>
      <c r="K36" s="258"/>
      <c r="L36" s="258"/>
      <c r="M36" s="258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6"/>
      <c r="AM36" s="252"/>
      <c r="AN36" s="252"/>
      <c r="AO36" s="252"/>
      <c r="AP36" s="252"/>
      <c r="AQ36" s="252"/>
      <c r="AR36" s="252"/>
      <c r="AS36" s="253"/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4"/>
      <c r="BI36" s="254"/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  <c r="BX36" s="254"/>
      <c r="BY36" s="254"/>
      <c r="BZ36" s="254"/>
      <c r="CA36" s="254"/>
      <c r="CB36" s="254"/>
      <c r="CC36" s="254"/>
      <c r="CD36" s="254"/>
      <c r="CE36" s="254"/>
      <c r="CF36" s="254"/>
      <c r="CG36" s="254"/>
      <c r="CH36" s="254"/>
      <c r="CI36" s="254"/>
      <c r="CJ36" s="254"/>
      <c r="CK36" s="254"/>
    </row>
    <row r="37" spans="1:89" s="255" customFormat="1" ht="27" customHeight="1">
      <c r="A37" s="251"/>
      <c r="B37" s="252"/>
      <c r="C37" s="252"/>
      <c r="D37" s="252"/>
      <c r="E37" s="252"/>
      <c r="F37" s="252" t="s">
        <v>150</v>
      </c>
      <c r="G37" s="258"/>
      <c r="H37" s="252"/>
      <c r="I37" s="252"/>
      <c r="J37" s="252"/>
      <c r="K37" s="252"/>
      <c r="L37" s="252"/>
      <c r="M37" s="252" t="s">
        <v>94</v>
      </c>
      <c r="N37" s="259"/>
      <c r="O37" s="252" t="s">
        <v>151</v>
      </c>
      <c r="P37" s="252"/>
      <c r="Q37" s="252"/>
      <c r="R37" s="252"/>
      <c r="S37" s="256"/>
      <c r="T37" s="252"/>
      <c r="U37" s="259"/>
      <c r="V37" s="252" t="s">
        <v>152</v>
      </c>
      <c r="W37" s="252"/>
      <c r="X37" s="252"/>
      <c r="Y37" s="252"/>
      <c r="Z37" s="252"/>
      <c r="AA37" s="252"/>
      <c r="AB37" s="259"/>
      <c r="AC37" s="252" t="s">
        <v>153</v>
      </c>
      <c r="AD37" s="252"/>
      <c r="AE37" s="252"/>
      <c r="AF37" s="252"/>
      <c r="AG37" s="252"/>
      <c r="AH37" s="252"/>
      <c r="AI37" s="260"/>
      <c r="AJ37" s="252" t="s">
        <v>154</v>
      </c>
      <c r="AK37" s="252"/>
      <c r="AL37" s="252"/>
      <c r="AM37" s="252"/>
      <c r="AN37" s="252"/>
      <c r="AO37" s="252"/>
      <c r="AP37" s="252"/>
      <c r="AQ37" s="256"/>
      <c r="AR37" s="252"/>
      <c r="AS37" s="253"/>
      <c r="AT37" s="254"/>
      <c r="AU37" s="254"/>
      <c r="AV37" s="254"/>
      <c r="AW37" s="254"/>
      <c r="AX37" s="254"/>
      <c r="AY37" s="254"/>
      <c r="AZ37" s="254"/>
      <c r="BA37" s="254"/>
      <c r="BB37" s="254"/>
      <c r="BC37" s="254"/>
      <c r="BD37" s="254"/>
      <c r="BE37" s="254"/>
      <c r="BF37" s="254"/>
      <c r="BG37" s="254"/>
      <c r="BH37" s="254"/>
      <c r="BI37" s="254"/>
      <c r="BJ37" s="254"/>
      <c r="BK37" s="254"/>
      <c r="BL37" s="254"/>
      <c r="BM37" s="254"/>
      <c r="BN37" s="254"/>
      <c r="BO37" s="254"/>
      <c r="BP37" s="254"/>
      <c r="BQ37" s="254"/>
      <c r="BR37" s="254"/>
      <c r="BS37" s="254"/>
      <c r="BT37" s="254"/>
      <c r="BU37" s="254"/>
      <c r="BV37" s="254"/>
      <c r="BW37" s="254"/>
      <c r="BX37" s="254"/>
      <c r="BY37" s="254"/>
      <c r="BZ37" s="254"/>
      <c r="CA37" s="254"/>
      <c r="CB37" s="254"/>
      <c r="CC37" s="254"/>
      <c r="CD37" s="254"/>
      <c r="CE37" s="254"/>
      <c r="CF37" s="254"/>
      <c r="CG37" s="254"/>
      <c r="CH37" s="254"/>
      <c r="CI37" s="254"/>
      <c r="CJ37" s="254"/>
      <c r="CK37" s="254"/>
    </row>
    <row r="38" spans="1:89" s="255" customFormat="1" ht="27" customHeight="1">
      <c r="A38" s="251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1"/>
      <c r="P38" s="261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53"/>
      <c r="AT38" s="254"/>
      <c r="AU38" s="254"/>
      <c r="AV38" s="254"/>
      <c r="AW38" s="254"/>
      <c r="AX38" s="254"/>
      <c r="AY38" s="254"/>
      <c r="AZ38" s="254"/>
      <c r="BA38" s="254"/>
      <c r="BB38" s="254"/>
      <c r="BC38" s="254"/>
      <c r="BD38" s="254"/>
      <c r="BE38" s="254"/>
      <c r="BF38" s="254"/>
      <c r="BG38" s="254"/>
      <c r="BH38" s="254"/>
      <c r="BI38" s="254"/>
      <c r="BJ38" s="254"/>
      <c r="BK38" s="254"/>
      <c r="BL38" s="254"/>
      <c r="BM38" s="254"/>
      <c r="BN38" s="254"/>
      <c r="BO38" s="254"/>
      <c r="BP38" s="254"/>
      <c r="BQ38" s="254"/>
      <c r="BR38" s="254"/>
      <c r="BS38" s="254"/>
      <c r="BT38" s="254"/>
      <c r="BU38" s="254"/>
      <c r="BV38" s="254"/>
      <c r="BW38" s="254"/>
      <c r="BX38" s="254"/>
      <c r="BY38" s="254"/>
      <c r="BZ38" s="254"/>
      <c r="CA38" s="254"/>
      <c r="CB38" s="254"/>
      <c r="CC38" s="254"/>
      <c r="CD38" s="254"/>
      <c r="CE38" s="254"/>
      <c r="CF38" s="254"/>
      <c r="CG38" s="254"/>
      <c r="CH38" s="254"/>
      <c r="CI38" s="254"/>
      <c r="CJ38" s="254"/>
      <c r="CK38" s="254"/>
    </row>
    <row r="39" spans="1:89" s="255" customFormat="1" ht="27" customHeight="1">
      <c r="A39" s="251"/>
      <c r="B39" s="424" t="s">
        <v>155</v>
      </c>
      <c r="C39" s="424"/>
      <c r="D39" s="424"/>
      <c r="E39" s="424"/>
      <c r="F39" s="424"/>
      <c r="G39" s="426" t="s">
        <v>216</v>
      </c>
      <c r="H39" s="426"/>
      <c r="I39" s="426"/>
      <c r="J39" s="426"/>
      <c r="K39" s="426"/>
      <c r="L39" s="426"/>
      <c r="M39" s="426"/>
      <c r="N39" s="426" t="s">
        <v>217</v>
      </c>
      <c r="O39" s="426"/>
      <c r="P39" s="426"/>
      <c r="Q39" s="426"/>
      <c r="R39" s="426"/>
      <c r="S39" s="426"/>
      <c r="T39" s="428" t="s">
        <v>218</v>
      </c>
      <c r="U39" s="428"/>
      <c r="V39" s="428"/>
      <c r="W39" s="428"/>
      <c r="X39" s="428"/>
      <c r="Y39" s="262" t="s">
        <v>219</v>
      </c>
      <c r="Z39" s="262"/>
      <c r="AA39" s="262"/>
      <c r="AB39" s="262"/>
      <c r="AC39" s="263"/>
      <c r="AD39" s="264"/>
      <c r="AE39" s="264"/>
      <c r="AF39" s="264"/>
      <c r="AG39" s="409" t="s">
        <v>220</v>
      </c>
      <c r="AH39" s="409"/>
      <c r="AI39" s="409"/>
      <c r="AJ39" s="409"/>
      <c r="AK39" s="428" t="s">
        <v>221</v>
      </c>
      <c r="AL39" s="428"/>
      <c r="AM39" s="428"/>
      <c r="AN39" s="428"/>
      <c r="AO39" s="428"/>
      <c r="AP39" s="428"/>
      <c r="AQ39" s="428"/>
      <c r="AR39" s="428"/>
      <c r="AS39" s="253"/>
      <c r="AT39" s="254"/>
      <c r="AU39" s="254"/>
      <c r="AV39" s="254"/>
      <c r="AW39" s="254"/>
      <c r="AX39" s="254"/>
      <c r="AY39" s="254"/>
      <c r="AZ39" s="254"/>
      <c r="BA39" s="254"/>
      <c r="BB39" s="254"/>
      <c r="BC39" s="254"/>
      <c r="BD39" s="254"/>
      <c r="BE39" s="254"/>
      <c r="BF39" s="254"/>
      <c r="BG39" s="254"/>
      <c r="BH39" s="254"/>
      <c r="BI39" s="254"/>
      <c r="BJ39" s="254"/>
      <c r="BK39" s="254"/>
      <c r="BL39" s="254"/>
      <c r="BM39" s="254"/>
      <c r="BN39" s="254"/>
      <c r="BO39" s="254"/>
      <c r="BP39" s="254"/>
      <c r="BQ39" s="254"/>
      <c r="BR39" s="254"/>
      <c r="BS39" s="254"/>
      <c r="BT39" s="254"/>
      <c r="BU39" s="254"/>
      <c r="BV39" s="254"/>
      <c r="BW39" s="254"/>
      <c r="BX39" s="254"/>
      <c r="BY39" s="254"/>
      <c r="BZ39" s="254"/>
      <c r="CA39" s="254"/>
      <c r="CB39" s="254"/>
      <c r="CC39" s="254"/>
      <c r="CD39" s="254"/>
      <c r="CE39" s="254"/>
      <c r="CF39" s="254"/>
      <c r="CG39" s="254"/>
      <c r="CH39" s="254"/>
      <c r="CI39" s="254"/>
      <c r="CJ39" s="254"/>
      <c r="CK39" s="254"/>
    </row>
    <row r="40" spans="1:89" s="255" customFormat="1" ht="27" customHeight="1" thickBot="1">
      <c r="A40" s="251"/>
      <c r="B40" s="425"/>
      <c r="C40" s="425"/>
      <c r="D40" s="425"/>
      <c r="E40" s="425"/>
      <c r="F40" s="425"/>
      <c r="G40" s="427"/>
      <c r="H40" s="427"/>
      <c r="I40" s="427"/>
      <c r="J40" s="427"/>
      <c r="K40" s="427"/>
      <c r="L40" s="427"/>
      <c r="M40" s="427"/>
      <c r="N40" s="427"/>
      <c r="O40" s="427"/>
      <c r="P40" s="427"/>
      <c r="Q40" s="427"/>
      <c r="R40" s="427"/>
      <c r="S40" s="427"/>
      <c r="T40" s="429"/>
      <c r="U40" s="429"/>
      <c r="V40" s="429"/>
      <c r="W40" s="429"/>
      <c r="X40" s="429"/>
      <c r="Y40" s="394" t="s">
        <v>222</v>
      </c>
      <c r="Z40" s="394"/>
      <c r="AA40" s="394"/>
      <c r="AB40" s="394"/>
      <c r="AC40" s="430" t="s">
        <v>223</v>
      </c>
      <c r="AD40" s="431"/>
      <c r="AE40" s="431"/>
      <c r="AF40" s="431"/>
      <c r="AG40" s="432" t="s">
        <v>224</v>
      </c>
      <c r="AH40" s="432"/>
      <c r="AI40" s="432"/>
      <c r="AJ40" s="432"/>
      <c r="AK40" s="429"/>
      <c r="AL40" s="429"/>
      <c r="AM40" s="429"/>
      <c r="AN40" s="429"/>
      <c r="AO40" s="429"/>
      <c r="AP40" s="429"/>
      <c r="AQ40" s="429"/>
      <c r="AR40" s="429"/>
      <c r="AS40" s="253"/>
      <c r="AT40" s="254"/>
      <c r="AU40" s="254"/>
      <c r="AV40" s="254"/>
      <c r="AW40" s="254"/>
      <c r="AX40" s="254"/>
      <c r="AY40" s="254"/>
      <c r="AZ40" s="254"/>
      <c r="BA40" s="254"/>
      <c r="BB40" s="254"/>
      <c r="BC40" s="254"/>
      <c r="BD40" s="254"/>
      <c r="BE40" s="254"/>
      <c r="BF40" s="254"/>
      <c r="BG40" s="254"/>
      <c r="BH40" s="254"/>
      <c r="BI40" s="254"/>
      <c r="BJ40" s="254"/>
      <c r="BK40" s="254"/>
      <c r="BL40" s="254"/>
      <c r="BM40" s="254"/>
      <c r="BN40" s="254"/>
      <c r="BO40" s="254"/>
      <c r="BP40" s="254"/>
      <c r="BQ40" s="254"/>
      <c r="BR40" s="254"/>
      <c r="BS40" s="254"/>
      <c r="BT40" s="254"/>
      <c r="BU40" s="254"/>
      <c r="BV40" s="254"/>
      <c r="BW40" s="254"/>
      <c r="BX40" s="254"/>
      <c r="BY40" s="254"/>
      <c r="BZ40" s="254"/>
      <c r="CA40" s="254"/>
      <c r="CB40" s="254"/>
      <c r="CC40" s="254"/>
      <c r="CD40" s="254"/>
      <c r="CE40" s="254"/>
      <c r="CF40" s="254"/>
      <c r="CG40" s="254"/>
      <c r="CH40" s="254"/>
      <c r="CI40" s="254"/>
      <c r="CJ40" s="254"/>
      <c r="CK40" s="254"/>
    </row>
    <row r="41" spans="1:89" s="255" customFormat="1" ht="27" customHeight="1" thickTop="1">
      <c r="A41" s="251"/>
      <c r="B41" s="406"/>
      <c r="C41" s="406"/>
      <c r="D41" s="406"/>
      <c r="E41" s="406"/>
      <c r="F41" s="406"/>
      <c r="G41" s="394"/>
      <c r="H41" s="394"/>
      <c r="I41" s="394"/>
      <c r="J41" s="394"/>
      <c r="K41" s="394"/>
      <c r="L41" s="394"/>
      <c r="M41" s="394"/>
      <c r="N41" s="407"/>
      <c r="O41" s="407"/>
      <c r="P41" s="407"/>
      <c r="Q41" s="407"/>
      <c r="R41" s="407"/>
      <c r="S41" s="407"/>
      <c r="T41" s="394"/>
      <c r="U41" s="394"/>
      <c r="V41" s="394"/>
      <c r="W41" s="394"/>
      <c r="X41" s="394"/>
      <c r="Y41" s="417"/>
      <c r="Z41" s="417"/>
      <c r="AA41" s="417"/>
      <c r="AB41" s="417"/>
      <c r="AC41" s="418"/>
      <c r="AD41" s="418"/>
      <c r="AE41" s="418"/>
      <c r="AF41" s="418"/>
      <c r="AG41" s="409"/>
      <c r="AH41" s="409"/>
      <c r="AI41" s="409"/>
      <c r="AJ41" s="409"/>
      <c r="AK41" s="419"/>
      <c r="AL41" s="419"/>
      <c r="AM41" s="419"/>
      <c r="AN41" s="419"/>
      <c r="AO41" s="419"/>
      <c r="AP41" s="419"/>
      <c r="AQ41" s="419"/>
      <c r="AR41" s="419"/>
      <c r="AS41" s="253"/>
      <c r="AT41" s="254"/>
      <c r="AU41" s="254"/>
      <c r="AV41" s="254"/>
      <c r="AW41" s="254"/>
      <c r="AX41" s="254"/>
      <c r="AY41" s="254"/>
      <c r="AZ41" s="254"/>
      <c r="BA41" s="254"/>
      <c r="BB41" s="254"/>
      <c r="BC41" s="254"/>
      <c r="BD41" s="254"/>
      <c r="BE41" s="254"/>
      <c r="BF41" s="254"/>
      <c r="BG41" s="254"/>
      <c r="BH41" s="254"/>
      <c r="BI41" s="254"/>
      <c r="BJ41" s="254"/>
      <c r="BK41" s="254"/>
      <c r="BL41" s="254"/>
      <c r="BM41" s="254"/>
      <c r="BN41" s="254"/>
      <c r="BO41" s="254"/>
      <c r="BP41" s="254"/>
      <c r="BQ41" s="254"/>
      <c r="BR41" s="254"/>
      <c r="BS41" s="254"/>
      <c r="BT41" s="254"/>
      <c r="BU41" s="254"/>
      <c r="BV41" s="254"/>
      <c r="BW41" s="254"/>
      <c r="BX41" s="254"/>
      <c r="BY41" s="254"/>
      <c r="BZ41" s="254"/>
      <c r="CA41" s="254"/>
      <c r="CB41" s="254"/>
      <c r="CC41" s="254"/>
      <c r="CD41" s="254"/>
      <c r="CE41" s="254"/>
      <c r="CF41" s="254"/>
      <c r="CG41" s="254"/>
      <c r="CH41" s="254"/>
      <c r="CI41" s="254"/>
      <c r="CJ41" s="254"/>
      <c r="CK41" s="254"/>
    </row>
    <row r="42" spans="1:89" s="255" customFormat="1" ht="27" customHeight="1">
      <c r="A42" s="251"/>
      <c r="B42" s="406"/>
      <c r="C42" s="406"/>
      <c r="D42" s="406"/>
      <c r="E42" s="406"/>
      <c r="F42" s="406"/>
      <c r="G42" s="416" t="s">
        <v>168</v>
      </c>
      <c r="H42" s="394"/>
      <c r="I42" s="394"/>
      <c r="J42" s="394"/>
      <c r="K42" s="394"/>
      <c r="L42" s="394"/>
      <c r="M42" s="394"/>
      <c r="N42" s="407" t="s">
        <v>169</v>
      </c>
      <c r="O42" s="407"/>
      <c r="P42" s="407"/>
      <c r="Q42" s="407"/>
      <c r="R42" s="407"/>
      <c r="S42" s="407"/>
      <c r="T42" s="394"/>
      <c r="U42" s="394"/>
      <c r="V42" s="394"/>
      <c r="W42" s="394"/>
      <c r="X42" s="394"/>
      <c r="Y42" s="411">
        <v>16.41</v>
      </c>
      <c r="Z42" s="411"/>
      <c r="AA42" s="411"/>
      <c r="AB42" s="411"/>
      <c r="AC42" s="412">
        <v>18.05</v>
      </c>
      <c r="AD42" s="413"/>
      <c r="AE42" s="413"/>
      <c r="AF42" s="413"/>
      <c r="AG42" s="414">
        <f>AC42*0.0363</f>
        <v>0.65521499999999999</v>
      </c>
      <c r="AH42" s="414"/>
      <c r="AI42" s="414"/>
      <c r="AJ42" s="414"/>
      <c r="AK42" s="415"/>
      <c r="AL42" s="415"/>
      <c r="AM42" s="415"/>
      <c r="AN42" s="415"/>
      <c r="AO42" s="415"/>
      <c r="AP42" s="415"/>
      <c r="AQ42" s="415"/>
      <c r="AR42" s="415"/>
      <c r="AS42" s="253"/>
      <c r="AT42" s="254"/>
      <c r="AU42" s="254"/>
      <c r="AV42" s="254"/>
      <c r="AW42" s="254"/>
      <c r="AX42" s="254"/>
      <c r="AY42" s="254"/>
      <c r="AZ42" s="254"/>
      <c r="BA42" s="254"/>
      <c r="BB42" s="254"/>
      <c r="BC42" s="254"/>
      <c r="BD42" s="254"/>
      <c r="BE42" s="254"/>
      <c r="BF42" s="254"/>
      <c r="BG42" s="254"/>
      <c r="BH42" s="254"/>
      <c r="BI42" s="254"/>
      <c r="BJ42" s="254"/>
      <c r="BK42" s="254"/>
      <c r="BL42" s="254"/>
      <c r="BM42" s="254"/>
      <c r="BN42" s="254"/>
      <c r="BO42" s="254"/>
      <c r="BP42" s="254"/>
      <c r="BQ42" s="254"/>
      <c r="BR42" s="254"/>
      <c r="BS42" s="254"/>
      <c r="BT42" s="254"/>
      <c r="BU42" s="254"/>
      <c r="BV42" s="254"/>
      <c r="BW42" s="254"/>
      <c r="BX42" s="254"/>
      <c r="BY42" s="254"/>
      <c r="BZ42" s="254"/>
      <c r="CA42" s="254"/>
      <c r="CB42" s="254"/>
      <c r="CC42" s="254"/>
      <c r="CD42" s="254"/>
      <c r="CE42" s="254"/>
      <c r="CF42" s="254"/>
      <c r="CG42" s="254"/>
      <c r="CH42" s="254"/>
      <c r="CI42" s="254"/>
      <c r="CJ42" s="254"/>
      <c r="CK42" s="254"/>
    </row>
    <row r="43" spans="1:89" s="255" customFormat="1" ht="27" customHeight="1">
      <c r="A43" s="251"/>
      <c r="B43" s="406"/>
      <c r="C43" s="406"/>
      <c r="D43" s="406"/>
      <c r="E43" s="406"/>
      <c r="F43" s="406"/>
      <c r="G43" s="416" t="s">
        <v>171</v>
      </c>
      <c r="H43" s="394"/>
      <c r="I43" s="394"/>
      <c r="J43" s="394"/>
      <c r="K43" s="394"/>
      <c r="L43" s="394"/>
      <c r="M43" s="394"/>
      <c r="N43" s="407" t="s">
        <v>172</v>
      </c>
      <c r="O43" s="407"/>
      <c r="P43" s="407"/>
      <c r="Q43" s="407"/>
      <c r="R43" s="407"/>
      <c r="S43" s="407"/>
      <c r="T43" s="394"/>
      <c r="U43" s="394"/>
      <c r="V43" s="394"/>
      <c r="W43" s="394"/>
      <c r="X43" s="394"/>
      <c r="Y43" s="411">
        <v>12.4</v>
      </c>
      <c r="Z43" s="411"/>
      <c r="AA43" s="411"/>
      <c r="AB43" s="411"/>
      <c r="AC43" s="412">
        <v>13.64</v>
      </c>
      <c r="AD43" s="413"/>
      <c r="AE43" s="413"/>
      <c r="AF43" s="413"/>
      <c r="AG43" s="414">
        <f t="shared" ref="AG43:AG56" si="0">AC43*0.0363</f>
        <v>0.49513200000000002</v>
      </c>
      <c r="AH43" s="414"/>
      <c r="AI43" s="414"/>
      <c r="AJ43" s="414"/>
      <c r="AK43" s="405"/>
      <c r="AL43" s="405"/>
      <c r="AM43" s="405"/>
      <c r="AN43" s="405"/>
      <c r="AO43" s="405"/>
      <c r="AP43" s="405"/>
      <c r="AQ43" s="405"/>
      <c r="AR43" s="405"/>
      <c r="AS43" s="253"/>
      <c r="AT43" s="254"/>
      <c r="AU43" s="254"/>
      <c r="AV43" s="254"/>
      <c r="AW43" s="254"/>
      <c r="AX43" s="254"/>
      <c r="AY43" s="254"/>
      <c r="AZ43" s="254"/>
      <c r="BA43" s="254"/>
      <c r="BB43" s="254"/>
      <c r="BC43" s="254"/>
      <c r="BD43" s="254"/>
      <c r="BE43" s="254"/>
      <c r="BF43" s="254"/>
      <c r="BG43" s="254"/>
      <c r="BH43" s="254"/>
      <c r="BI43" s="254"/>
      <c r="BJ43" s="254"/>
      <c r="BK43" s="254"/>
      <c r="BL43" s="254"/>
      <c r="BM43" s="254"/>
      <c r="BN43" s="254"/>
      <c r="BO43" s="254"/>
      <c r="BP43" s="254"/>
      <c r="BQ43" s="254"/>
      <c r="BR43" s="254"/>
      <c r="BS43" s="254"/>
      <c r="BT43" s="254"/>
      <c r="BU43" s="254"/>
      <c r="BV43" s="254"/>
      <c r="BW43" s="254"/>
      <c r="BX43" s="254"/>
      <c r="BY43" s="254"/>
      <c r="BZ43" s="254"/>
      <c r="CA43" s="254"/>
      <c r="CB43" s="254"/>
      <c r="CC43" s="254"/>
      <c r="CD43" s="254"/>
      <c r="CE43" s="254"/>
      <c r="CF43" s="254"/>
      <c r="CG43" s="254"/>
      <c r="CH43" s="254"/>
      <c r="CI43" s="254"/>
      <c r="CJ43" s="254"/>
      <c r="CK43" s="254"/>
    </row>
    <row r="44" spans="1:89" s="255" customFormat="1" ht="27" customHeight="1">
      <c r="A44" s="251"/>
      <c r="B44" s="406"/>
      <c r="C44" s="406"/>
      <c r="D44" s="406"/>
      <c r="E44" s="406"/>
      <c r="F44" s="406"/>
      <c r="G44" s="416" t="s">
        <v>174</v>
      </c>
      <c r="H44" s="394"/>
      <c r="I44" s="394"/>
      <c r="J44" s="394"/>
      <c r="K44" s="394"/>
      <c r="L44" s="394"/>
      <c r="M44" s="394"/>
      <c r="N44" s="407" t="s">
        <v>175</v>
      </c>
      <c r="O44" s="407"/>
      <c r="P44" s="407"/>
      <c r="Q44" s="407"/>
      <c r="R44" s="407"/>
      <c r="S44" s="407"/>
      <c r="T44" s="394"/>
      <c r="U44" s="394"/>
      <c r="V44" s="394"/>
      <c r="W44" s="394"/>
      <c r="X44" s="394"/>
      <c r="Y44" s="411">
        <v>12.4</v>
      </c>
      <c r="Z44" s="411"/>
      <c r="AA44" s="411"/>
      <c r="AB44" s="411"/>
      <c r="AC44" s="412">
        <v>13.64</v>
      </c>
      <c r="AD44" s="413"/>
      <c r="AE44" s="413"/>
      <c r="AF44" s="413"/>
      <c r="AG44" s="414">
        <f t="shared" si="0"/>
        <v>0.49513200000000002</v>
      </c>
      <c r="AH44" s="414"/>
      <c r="AI44" s="414"/>
      <c r="AJ44" s="414"/>
      <c r="AK44" s="405"/>
      <c r="AL44" s="405"/>
      <c r="AM44" s="405"/>
      <c r="AN44" s="405"/>
      <c r="AO44" s="405"/>
      <c r="AP44" s="405"/>
      <c r="AQ44" s="405"/>
      <c r="AR44" s="405"/>
      <c r="AS44" s="253"/>
      <c r="AT44" s="254"/>
      <c r="AU44" s="254"/>
      <c r="AV44" s="254"/>
      <c r="AW44" s="254"/>
      <c r="AX44" s="254"/>
      <c r="AY44" s="254"/>
      <c r="AZ44" s="254"/>
      <c r="BA44" s="254"/>
      <c r="BB44" s="254"/>
      <c r="BC44" s="254"/>
      <c r="BD44" s="254"/>
      <c r="BE44" s="254"/>
      <c r="BF44" s="254"/>
      <c r="BG44" s="254"/>
      <c r="BH44" s="254"/>
      <c r="BI44" s="254"/>
      <c r="BJ44" s="254"/>
      <c r="BK44" s="254"/>
      <c r="BL44" s="254"/>
      <c r="BM44" s="254"/>
      <c r="BN44" s="254"/>
      <c r="BO44" s="254"/>
      <c r="BP44" s="254"/>
      <c r="BQ44" s="254"/>
      <c r="BR44" s="254"/>
      <c r="BS44" s="254"/>
      <c r="BT44" s="254"/>
      <c r="BU44" s="254"/>
      <c r="BV44" s="254"/>
      <c r="BW44" s="254"/>
      <c r="BX44" s="254"/>
      <c r="BY44" s="254"/>
      <c r="BZ44" s="254"/>
      <c r="CA44" s="254"/>
      <c r="CB44" s="254"/>
      <c r="CC44" s="254"/>
      <c r="CD44" s="254"/>
      <c r="CE44" s="254"/>
      <c r="CF44" s="254"/>
      <c r="CG44" s="254"/>
      <c r="CH44" s="254"/>
      <c r="CI44" s="254"/>
      <c r="CJ44" s="254"/>
      <c r="CK44" s="254"/>
    </row>
    <row r="45" spans="1:89" s="255" customFormat="1" ht="27" customHeight="1">
      <c r="A45" s="251"/>
      <c r="B45" s="406"/>
      <c r="C45" s="406"/>
      <c r="D45" s="406"/>
      <c r="E45" s="406"/>
      <c r="F45" s="406"/>
      <c r="G45" s="416" t="s">
        <v>177</v>
      </c>
      <c r="H45" s="394"/>
      <c r="I45" s="394"/>
      <c r="J45" s="394"/>
      <c r="K45" s="394"/>
      <c r="L45" s="394"/>
      <c r="M45" s="394"/>
      <c r="N45" s="407" t="s">
        <v>178</v>
      </c>
      <c r="O45" s="407"/>
      <c r="P45" s="407"/>
      <c r="Q45" s="407"/>
      <c r="R45" s="407"/>
      <c r="S45" s="407"/>
      <c r="T45" s="394"/>
      <c r="U45" s="394"/>
      <c r="V45" s="394"/>
      <c r="W45" s="394"/>
      <c r="X45" s="394"/>
      <c r="Y45" s="411">
        <v>12.4</v>
      </c>
      <c r="Z45" s="411"/>
      <c r="AA45" s="411"/>
      <c r="AB45" s="411"/>
      <c r="AC45" s="412">
        <v>13.64</v>
      </c>
      <c r="AD45" s="413"/>
      <c r="AE45" s="413"/>
      <c r="AF45" s="413"/>
      <c r="AG45" s="414">
        <f t="shared" si="0"/>
        <v>0.49513200000000002</v>
      </c>
      <c r="AH45" s="414"/>
      <c r="AI45" s="414"/>
      <c r="AJ45" s="414"/>
      <c r="AK45" s="415"/>
      <c r="AL45" s="415"/>
      <c r="AM45" s="415"/>
      <c r="AN45" s="415"/>
      <c r="AO45" s="415"/>
      <c r="AP45" s="415"/>
      <c r="AQ45" s="415"/>
      <c r="AR45" s="415"/>
      <c r="AS45" s="253"/>
      <c r="AT45" s="254"/>
      <c r="AU45" s="254"/>
      <c r="AV45" s="254"/>
      <c r="AW45" s="254"/>
      <c r="AX45" s="254"/>
      <c r="AY45" s="254"/>
      <c r="AZ45" s="254"/>
      <c r="BA45" s="254"/>
      <c r="BB45" s="254"/>
      <c r="BC45" s="254"/>
      <c r="BD45" s="254"/>
      <c r="BE45" s="254"/>
      <c r="BF45" s="254"/>
      <c r="BG45" s="254"/>
      <c r="BH45" s="254"/>
      <c r="BI45" s="254"/>
      <c r="BJ45" s="254"/>
      <c r="BK45" s="254"/>
      <c r="BL45" s="254"/>
      <c r="BM45" s="254"/>
      <c r="BN45" s="254"/>
      <c r="BO45" s="254"/>
      <c r="BP45" s="254"/>
      <c r="BQ45" s="254"/>
      <c r="BR45" s="254"/>
      <c r="BS45" s="254"/>
      <c r="BT45" s="254"/>
      <c r="BU45" s="254"/>
      <c r="BV45" s="254"/>
      <c r="BW45" s="254"/>
      <c r="BX45" s="254"/>
      <c r="BY45" s="254"/>
      <c r="BZ45" s="254"/>
      <c r="CA45" s="254"/>
      <c r="CB45" s="254"/>
      <c r="CC45" s="254"/>
      <c r="CD45" s="254"/>
      <c r="CE45" s="254"/>
      <c r="CF45" s="254"/>
      <c r="CG45" s="254"/>
      <c r="CH45" s="254"/>
      <c r="CI45" s="254"/>
      <c r="CJ45" s="254"/>
      <c r="CK45" s="254"/>
    </row>
    <row r="46" spans="1:89" s="255" customFormat="1" ht="27" customHeight="1">
      <c r="A46" s="251"/>
      <c r="B46" s="406"/>
      <c r="C46" s="406"/>
      <c r="D46" s="406"/>
      <c r="E46" s="406"/>
      <c r="F46" s="406"/>
      <c r="G46" s="416" t="s">
        <v>180</v>
      </c>
      <c r="H46" s="394"/>
      <c r="I46" s="394"/>
      <c r="J46" s="394"/>
      <c r="K46" s="394"/>
      <c r="L46" s="394"/>
      <c r="M46" s="394"/>
      <c r="N46" s="407" t="s">
        <v>181</v>
      </c>
      <c r="O46" s="407"/>
      <c r="P46" s="407"/>
      <c r="Q46" s="407"/>
      <c r="R46" s="407"/>
      <c r="S46" s="407"/>
      <c r="T46" s="394"/>
      <c r="U46" s="394"/>
      <c r="V46" s="394"/>
      <c r="W46" s="394"/>
      <c r="X46" s="394"/>
      <c r="Y46" s="411">
        <v>12.77</v>
      </c>
      <c r="Z46" s="411"/>
      <c r="AA46" s="411"/>
      <c r="AB46" s="411"/>
      <c r="AC46" s="412">
        <v>14.05</v>
      </c>
      <c r="AD46" s="413"/>
      <c r="AE46" s="413"/>
      <c r="AF46" s="413"/>
      <c r="AG46" s="414">
        <f t="shared" si="0"/>
        <v>0.510015</v>
      </c>
      <c r="AH46" s="414"/>
      <c r="AI46" s="414"/>
      <c r="AJ46" s="414"/>
      <c r="AK46" s="405"/>
      <c r="AL46" s="405"/>
      <c r="AM46" s="405"/>
      <c r="AN46" s="405"/>
      <c r="AO46" s="405"/>
      <c r="AP46" s="405"/>
      <c r="AQ46" s="405"/>
      <c r="AR46" s="405"/>
      <c r="AS46" s="253"/>
      <c r="AT46" s="254"/>
      <c r="AU46" s="254"/>
      <c r="AV46" s="254"/>
      <c r="AW46" s="254"/>
      <c r="AX46" s="254"/>
      <c r="AY46" s="254"/>
      <c r="AZ46" s="254"/>
      <c r="BA46" s="254"/>
      <c r="BB46" s="254"/>
      <c r="BC46" s="254"/>
      <c r="BD46" s="254"/>
      <c r="BE46" s="254"/>
      <c r="BF46" s="254"/>
      <c r="BG46" s="254"/>
      <c r="BH46" s="254"/>
      <c r="BI46" s="254"/>
      <c r="BJ46" s="254"/>
      <c r="BK46" s="254"/>
      <c r="BL46" s="254"/>
      <c r="BM46" s="254"/>
      <c r="BN46" s="254"/>
      <c r="BO46" s="254"/>
      <c r="BP46" s="254"/>
      <c r="BQ46" s="254"/>
      <c r="BR46" s="254"/>
      <c r="BS46" s="254"/>
      <c r="BT46" s="254"/>
      <c r="BU46" s="254"/>
      <c r="BV46" s="254"/>
      <c r="BW46" s="254"/>
      <c r="BX46" s="254"/>
      <c r="BY46" s="254"/>
      <c r="BZ46" s="254"/>
      <c r="CA46" s="254"/>
      <c r="CB46" s="254"/>
      <c r="CC46" s="254"/>
      <c r="CD46" s="254"/>
      <c r="CE46" s="254"/>
      <c r="CF46" s="254"/>
      <c r="CG46" s="254"/>
      <c r="CH46" s="254"/>
      <c r="CI46" s="254"/>
      <c r="CJ46" s="254"/>
      <c r="CK46" s="254"/>
    </row>
    <row r="47" spans="1:89" s="255" customFormat="1" ht="27" customHeight="1">
      <c r="A47" s="251"/>
      <c r="B47" s="406"/>
      <c r="C47" s="406"/>
      <c r="D47" s="406"/>
      <c r="E47" s="406"/>
      <c r="F47" s="406"/>
      <c r="G47" s="394">
        <v>2010</v>
      </c>
      <c r="H47" s="394"/>
      <c r="I47" s="394"/>
      <c r="J47" s="394"/>
      <c r="K47" s="394"/>
      <c r="L47" s="394"/>
      <c r="M47" s="394"/>
      <c r="N47" s="407" t="s">
        <v>184</v>
      </c>
      <c r="O47" s="407"/>
      <c r="P47" s="407"/>
      <c r="Q47" s="407"/>
      <c r="R47" s="407"/>
      <c r="S47" s="407"/>
      <c r="T47" s="394"/>
      <c r="U47" s="394"/>
      <c r="V47" s="394"/>
      <c r="W47" s="394"/>
      <c r="X47" s="394"/>
      <c r="Y47" s="411">
        <v>12.77</v>
      </c>
      <c r="Z47" s="411"/>
      <c r="AA47" s="411"/>
      <c r="AB47" s="411"/>
      <c r="AC47" s="412">
        <v>14.05</v>
      </c>
      <c r="AD47" s="413"/>
      <c r="AE47" s="413"/>
      <c r="AF47" s="413"/>
      <c r="AG47" s="414">
        <f t="shared" si="0"/>
        <v>0.510015</v>
      </c>
      <c r="AH47" s="414"/>
      <c r="AI47" s="414"/>
      <c r="AJ47" s="414"/>
      <c r="AK47" s="405"/>
      <c r="AL47" s="405"/>
      <c r="AM47" s="405"/>
      <c r="AN47" s="405"/>
      <c r="AO47" s="405"/>
      <c r="AP47" s="405"/>
      <c r="AQ47" s="405"/>
      <c r="AR47" s="405"/>
      <c r="AS47" s="253"/>
      <c r="AT47" s="254"/>
      <c r="AU47" s="254"/>
      <c r="AV47" s="254"/>
      <c r="AW47" s="254"/>
      <c r="AX47" s="254"/>
      <c r="AY47" s="254"/>
      <c r="AZ47" s="254"/>
      <c r="BA47" s="254"/>
      <c r="BB47" s="254"/>
      <c r="BC47" s="254"/>
      <c r="BD47" s="254"/>
      <c r="BE47" s="254"/>
      <c r="BF47" s="254"/>
      <c r="BG47" s="254"/>
      <c r="BH47" s="254"/>
      <c r="BI47" s="254"/>
      <c r="BJ47" s="254"/>
      <c r="BK47" s="254"/>
      <c r="BL47" s="254"/>
      <c r="BM47" s="254"/>
      <c r="BN47" s="254"/>
      <c r="BO47" s="254"/>
      <c r="BP47" s="254"/>
      <c r="BQ47" s="254"/>
      <c r="BR47" s="254"/>
      <c r="BS47" s="254"/>
      <c r="BT47" s="254"/>
      <c r="BU47" s="254"/>
      <c r="BV47" s="254"/>
      <c r="BW47" s="254"/>
      <c r="BX47" s="254"/>
      <c r="BY47" s="254"/>
      <c r="BZ47" s="254"/>
      <c r="CA47" s="254"/>
      <c r="CB47" s="254"/>
      <c r="CC47" s="254"/>
      <c r="CD47" s="254"/>
      <c r="CE47" s="254"/>
      <c r="CF47" s="254"/>
      <c r="CG47" s="254"/>
      <c r="CH47" s="254"/>
      <c r="CI47" s="254"/>
      <c r="CJ47" s="254"/>
      <c r="CK47" s="254"/>
    </row>
    <row r="48" spans="1:89" s="255" customFormat="1" ht="27" customHeight="1">
      <c r="A48" s="251"/>
      <c r="B48" s="265"/>
      <c r="C48" s="265"/>
      <c r="D48" s="265"/>
      <c r="E48" s="265"/>
      <c r="F48" s="265"/>
      <c r="G48" s="394">
        <v>2512</v>
      </c>
      <c r="H48" s="394"/>
      <c r="I48" s="394"/>
      <c r="J48" s="394"/>
      <c r="K48" s="394"/>
      <c r="L48" s="394"/>
      <c r="M48" s="394"/>
      <c r="N48" s="407" t="s">
        <v>187</v>
      </c>
      <c r="O48" s="407"/>
      <c r="P48" s="407"/>
      <c r="Q48" s="407"/>
      <c r="R48" s="407"/>
      <c r="S48" s="407"/>
      <c r="T48" s="394"/>
      <c r="U48" s="394"/>
      <c r="V48" s="394"/>
      <c r="W48" s="394"/>
      <c r="X48" s="394"/>
      <c r="Y48" s="411">
        <v>12.77</v>
      </c>
      <c r="Z48" s="411"/>
      <c r="AA48" s="411"/>
      <c r="AB48" s="411"/>
      <c r="AC48" s="412">
        <v>14.05</v>
      </c>
      <c r="AD48" s="413"/>
      <c r="AE48" s="413"/>
      <c r="AF48" s="413"/>
      <c r="AG48" s="414">
        <f t="shared" si="0"/>
        <v>0.510015</v>
      </c>
      <c r="AH48" s="414"/>
      <c r="AI48" s="414"/>
      <c r="AJ48" s="414"/>
      <c r="AK48" s="405"/>
      <c r="AL48" s="405"/>
      <c r="AM48" s="405"/>
      <c r="AN48" s="405"/>
      <c r="AO48" s="405"/>
      <c r="AP48" s="405"/>
      <c r="AQ48" s="405"/>
      <c r="AR48" s="405"/>
      <c r="AS48" s="253"/>
      <c r="AT48" s="254"/>
      <c r="AU48" s="254"/>
      <c r="AV48" s="254"/>
      <c r="AW48" s="254"/>
      <c r="AX48" s="254"/>
      <c r="AY48" s="254"/>
      <c r="AZ48" s="254"/>
      <c r="BA48" s="254"/>
      <c r="BB48" s="254"/>
      <c r="BC48" s="254"/>
      <c r="BD48" s="254"/>
      <c r="BE48" s="254"/>
      <c r="BF48" s="254"/>
      <c r="BG48" s="254"/>
      <c r="BH48" s="254"/>
      <c r="BI48" s="254"/>
      <c r="BJ48" s="254"/>
      <c r="BK48" s="254"/>
      <c r="BL48" s="254"/>
      <c r="BM48" s="254"/>
      <c r="BN48" s="254"/>
      <c r="BO48" s="254"/>
      <c r="BP48" s="254"/>
      <c r="BQ48" s="254"/>
      <c r="BR48" s="254"/>
      <c r="BS48" s="254"/>
      <c r="BT48" s="254"/>
      <c r="BU48" s="254"/>
      <c r="BV48" s="254"/>
      <c r="BW48" s="254"/>
      <c r="BX48" s="254"/>
      <c r="BY48" s="254"/>
      <c r="BZ48" s="254"/>
      <c r="CA48" s="254"/>
      <c r="CB48" s="254"/>
      <c r="CC48" s="254"/>
      <c r="CD48" s="254"/>
      <c r="CE48" s="254"/>
      <c r="CF48" s="254"/>
      <c r="CG48" s="254"/>
      <c r="CH48" s="254"/>
      <c r="CI48" s="254"/>
      <c r="CJ48" s="254"/>
      <c r="CK48" s="254"/>
    </row>
    <row r="49" spans="1:89" s="255" customFormat="1" ht="27" customHeight="1">
      <c r="A49" s="251"/>
      <c r="B49" s="265"/>
      <c r="C49" s="265"/>
      <c r="D49" s="265"/>
      <c r="E49" s="265"/>
      <c r="F49" s="265"/>
      <c r="G49" s="394" t="s">
        <v>225</v>
      </c>
      <c r="H49" s="394"/>
      <c r="I49" s="394"/>
      <c r="J49" s="394"/>
      <c r="K49" s="394"/>
      <c r="L49" s="394"/>
      <c r="M49" s="394"/>
      <c r="N49" s="407" t="s">
        <v>226</v>
      </c>
      <c r="O49" s="407"/>
      <c r="P49" s="407"/>
      <c r="Q49" s="407"/>
      <c r="R49" s="407"/>
      <c r="S49" s="407"/>
      <c r="T49" s="394"/>
      <c r="U49" s="394"/>
      <c r="V49" s="394"/>
      <c r="W49" s="394"/>
      <c r="X49" s="394"/>
      <c r="Y49" s="411">
        <v>25</v>
      </c>
      <c r="Z49" s="411"/>
      <c r="AA49" s="411"/>
      <c r="AB49" s="411"/>
      <c r="AC49" s="412">
        <v>25.8</v>
      </c>
      <c r="AD49" s="413"/>
      <c r="AE49" s="413"/>
      <c r="AF49" s="413"/>
      <c r="AG49" s="414">
        <f t="shared" si="0"/>
        <v>0.93654000000000004</v>
      </c>
      <c r="AH49" s="414"/>
      <c r="AI49" s="414"/>
      <c r="AJ49" s="414"/>
      <c r="AK49" s="405"/>
      <c r="AL49" s="405"/>
      <c r="AM49" s="405"/>
      <c r="AN49" s="405"/>
      <c r="AO49" s="405"/>
      <c r="AP49" s="405"/>
      <c r="AQ49" s="405"/>
      <c r="AR49" s="405"/>
      <c r="AS49" s="253"/>
      <c r="AT49" s="254"/>
      <c r="AU49" s="254"/>
      <c r="AV49" s="254"/>
      <c r="AW49" s="254"/>
      <c r="AX49" s="254"/>
      <c r="AY49" s="254"/>
      <c r="AZ49" s="254"/>
      <c r="BA49" s="254"/>
      <c r="BB49" s="254"/>
      <c r="BC49" s="254"/>
      <c r="BD49" s="254"/>
      <c r="BE49" s="254"/>
      <c r="BF49" s="254"/>
      <c r="BG49" s="254"/>
      <c r="BH49" s="254"/>
      <c r="BI49" s="254"/>
      <c r="BJ49" s="254"/>
      <c r="BK49" s="254"/>
      <c r="BL49" s="254"/>
      <c r="BM49" s="254"/>
      <c r="BN49" s="254"/>
      <c r="BO49" s="254"/>
      <c r="BP49" s="254"/>
      <c r="BQ49" s="254"/>
      <c r="BR49" s="254"/>
      <c r="BS49" s="254"/>
      <c r="BT49" s="254"/>
      <c r="BU49" s="254"/>
      <c r="BV49" s="254"/>
      <c r="BW49" s="254"/>
      <c r="BX49" s="254"/>
      <c r="BY49" s="254"/>
      <c r="BZ49" s="254"/>
      <c r="CA49" s="254"/>
      <c r="CB49" s="254"/>
      <c r="CC49" s="254"/>
      <c r="CD49" s="254"/>
      <c r="CE49" s="254"/>
      <c r="CF49" s="254"/>
      <c r="CG49" s="254"/>
      <c r="CH49" s="254"/>
      <c r="CI49" s="254"/>
      <c r="CJ49" s="254"/>
      <c r="CK49" s="254"/>
    </row>
    <row r="50" spans="1:89" s="255" customFormat="1" ht="27" customHeight="1">
      <c r="A50" s="251"/>
      <c r="B50" s="265"/>
      <c r="C50" s="265"/>
      <c r="D50" s="265"/>
      <c r="E50" s="265"/>
      <c r="F50" s="265"/>
      <c r="G50" s="394" t="s">
        <v>189</v>
      </c>
      <c r="H50" s="394"/>
      <c r="I50" s="394"/>
      <c r="J50" s="394"/>
      <c r="K50" s="394"/>
      <c r="L50" s="394"/>
      <c r="M50" s="394"/>
      <c r="N50" s="407" t="s">
        <v>227</v>
      </c>
      <c r="O50" s="407"/>
      <c r="P50" s="407"/>
      <c r="Q50" s="407"/>
      <c r="R50" s="407"/>
      <c r="S50" s="407"/>
      <c r="T50" s="394"/>
      <c r="U50" s="394"/>
      <c r="V50" s="394"/>
      <c r="W50" s="394"/>
      <c r="X50" s="394"/>
      <c r="Y50" s="411">
        <v>25</v>
      </c>
      <c r="Z50" s="411"/>
      <c r="AA50" s="411"/>
      <c r="AB50" s="411"/>
      <c r="AC50" s="412">
        <v>25.8</v>
      </c>
      <c r="AD50" s="413"/>
      <c r="AE50" s="413"/>
      <c r="AF50" s="413"/>
      <c r="AG50" s="414">
        <f t="shared" si="0"/>
        <v>0.93654000000000004</v>
      </c>
      <c r="AH50" s="414"/>
      <c r="AI50" s="414"/>
      <c r="AJ50" s="414"/>
      <c r="AK50" s="405"/>
      <c r="AL50" s="405"/>
      <c r="AM50" s="405"/>
      <c r="AN50" s="405"/>
      <c r="AO50" s="405"/>
      <c r="AP50" s="405"/>
      <c r="AQ50" s="405"/>
      <c r="AR50" s="405"/>
      <c r="AS50" s="253"/>
      <c r="AT50" s="254"/>
      <c r="AU50" s="254"/>
      <c r="AV50" s="254"/>
      <c r="AW50" s="254"/>
      <c r="AX50" s="254"/>
      <c r="AY50" s="254"/>
      <c r="AZ50" s="254"/>
      <c r="BA50" s="254"/>
      <c r="BB50" s="254"/>
      <c r="BC50" s="254"/>
      <c r="BD50" s="254"/>
      <c r="BE50" s="254"/>
      <c r="BF50" s="254"/>
      <c r="BG50" s="254"/>
      <c r="BH50" s="254"/>
      <c r="BI50" s="254"/>
      <c r="BJ50" s="254"/>
      <c r="BK50" s="254"/>
      <c r="BL50" s="254"/>
      <c r="BM50" s="254"/>
      <c r="BN50" s="254"/>
      <c r="BO50" s="254"/>
      <c r="BP50" s="254"/>
      <c r="BQ50" s="254"/>
      <c r="BR50" s="254"/>
      <c r="BS50" s="254"/>
      <c r="BT50" s="254"/>
      <c r="BU50" s="254"/>
      <c r="BV50" s="254"/>
      <c r="BW50" s="254"/>
      <c r="BX50" s="254"/>
      <c r="BY50" s="254"/>
      <c r="BZ50" s="254"/>
      <c r="CA50" s="254"/>
      <c r="CB50" s="254"/>
      <c r="CC50" s="254"/>
      <c r="CD50" s="254"/>
      <c r="CE50" s="254"/>
      <c r="CF50" s="254"/>
      <c r="CG50" s="254"/>
      <c r="CH50" s="254"/>
      <c r="CI50" s="254"/>
      <c r="CJ50" s="254"/>
      <c r="CK50" s="254"/>
    </row>
    <row r="51" spans="1:89" s="255" customFormat="1" ht="27" customHeight="1">
      <c r="A51" s="251"/>
      <c r="B51" s="265"/>
      <c r="C51" s="265"/>
      <c r="D51" s="265"/>
      <c r="E51" s="265"/>
      <c r="F51" s="265"/>
      <c r="G51" s="394" t="s">
        <v>192</v>
      </c>
      <c r="H51" s="394"/>
      <c r="I51" s="394"/>
      <c r="J51" s="394"/>
      <c r="K51" s="394"/>
      <c r="L51" s="394"/>
      <c r="M51" s="394"/>
      <c r="N51" s="407" t="s">
        <v>193</v>
      </c>
      <c r="O51" s="407"/>
      <c r="P51" s="407"/>
      <c r="Q51" s="407"/>
      <c r="R51" s="407"/>
      <c r="S51" s="407"/>
      <c r="T51" s="394"/>
      <c r="U51" s="394"/>
      <c r="V51" s="394"/>
      <c r="W51" s="394"/>
      <c r="X51" s="394"/>
      <c r="Y51" s="411">
        <v>98</v>
      </c>
      <c r="Z51" s="411"/>
      <c r="AA51" s="411"/>
      <c r="AB51" s="411"/>
      <c r="AC51" s="412">
        <v>108.3</v>
      </c>
      <c r="AD51" s="413"/>
      <c r="AE51" s="413"/>
      <c r="AF51" s="413"/>
      <c r="AG51" s="414">
        <f t="shared" si="0"/>
        <v>3.9312899999999997</v>
      </c>
      <c r="AH51" s="414"/>
      <c r="AI51" s="414"/>
      <c r="AJ51" s="414"/>
      <c r="AK51" s="405"/>
      <c r="AL51" s="405"/>
      <c r="AM51" s="405"/>
      <c r="AN51" s="405"/>
      <c r="AO51" s="405"/>
      <c r="AP51" s="405"/>
      <c r="AQ51" s="405"/>
      <c r="AR51" s="405"/>
      <c r="AS51" s="253"/>
      <c r="AT51" s="254"/>
      <c r="AU51" s="254"/>
      <c r="AV51" s="254"/>
      <c r="AW51" s="254"/>
      <c r="AX51" s="254"/>
      <c r="AY51" s="254"/>
      <c r="AZ51" s="254"/>
      <c r="BA51" s="254"/>
      <c r="BB51" s="254"/>
      <c r="BC51" s="254"/>
      <c r="BD51" s="254"/>
      <c r="BE51" s="254"/>
      <c r="BF51" s="254"/>
      <c r="BG51" s="254"/>
      <c r="BH51" s="254"/>
      <c r="BI51" s="254"/>
      <c r="BJ51" s="254"/>
      <c r="BK51" s="254"/>
      <c r="BL51" s="254"/>
      <c r="BM51" s="254"/>
      <c r="BN51" s="254"/>
      <c r="BO51" s="254"/>
      <c r="BP51" s="254"/>
      <c r="BQ51" s="254"/>
      <c r="BR51" s="254"/>
      <c r="BS51" s="254"/>
      <c r="BT51" s="254"/>
      <c r="BU51" s="254"/>
      <c r="BV51" s="254"/>
      <c r="BW51" s="254"/>
      <c r="BX51" s="254"/>
      <c r="BY51" s="254"/>
      <c r="BZ51" s="254"/>
      <c r="CA51" s="254"/>
      <c r="CB51" s="254"/>
      <c r="CC51" s="254"/>
      <c r="CD51" s="254"/>
      <c r="CE51" s="254"/>
      <c r="CF51" s="254"/>
      <c r="CG51" s="254"/>
      <c r="CH51" s="254"/>
      <c r="CI51" s="254"/>
      <c r="CJ51" s="254"/>
      <c r="CK51" s="254"/>
    </row>
    <row r="52" spans="1:89" s="255" customFormat="1" ht="27" customHeight="1">
      <c r="A52" s="251"/>
      <c r="B52" s="406"/>
      <c r="C52" s="406"/>
      <c r="D52" s="406"/>
      <c r="E52" s="406"/>
      <c r="F52" s="406"/>
      <c r="G52" s="394" t="s">
        <v>194</v>
      </c>
      <c r="H52" s="394"/>
      <c r="I52" s="394"/>
      <c r="J52" s="394"/>
      <c r="K52" s="394"/>
      <c r="L52" s="394"/>
      <c r="M52" s="394"/>
      <c r="N52" s="407" t="s">
        <v>195</v>
      </c>
      <c r="O52" s="407"/>
      <c r="P52" s="407"/>
      <c r="Q52" s="407"/>
      <c r="R52" s="407"/>
      <c r="S52" s="407"/>
      <c r="T52" s="394"/>
      <c r="U52" s="394"/>
      <c r="V52" s="394"/>
      <c r="W52" s="394"/>
      <c r="X52" s="394"/>
      <c r="Y52" s="411">
        <v>31.57</v>
      </c>
      <c r="Z52" s="411"/>
      <c r="AA52" s="411"/>
      <c r="AB52" s="411"/>
      <c r="AC52" s="412">
        <v>35</v>
      </c>
      <c r="AD52" s="413"/>
      <c r="AE52" s="413"/>
      <c r="AF52" s="413"/>
      <c r="AG52" s="414">
        <f t="shared" si="0"/>
        <v>1.2705</v>
      </c>
      <c r="AH52" s="414"/>
      <c r="AI52" s="414"/>
      <c r="AJ52" s="414"/>
      <c r="AK52" s="405"/>
      <c r="AL52" s="405"/>
      <c r="AM52" s="405"/>
      <c r="AN52" s="405"/>
      <c r="AO52" s="405"/>
      <c r="AP52" s="405"/>
      <c r="AQ52" s="405"/>
      <c r="AR52" s="405"/>
      <c r="AS52" s="253"/>
      <c r="AT52" s="254"/>
      <c r="AU52" s="254"/>
      <c r="AV52" s="254"/>
      <c r="AW52" s="254"/>
      <c r="AX52" s="254"/>
      <c r="AY52" s="254"/>
      <c r="AZ52" s="254"/>
      <c r="BA52" s="254"/>
      <c r="BB52" s="254"/>
      <c r="BC52" s="254"/>
      <c r="BD52" s="254"/>
      <c r="BE52" s="254"/>
      <c r="BF52" s="254"/>
      <c r="BG52" s="254"/>
      <c r="BH52" s="254"/>
      <c r="BI52" s="254"/>
      <c r="BJ52" s="254"/>
      <c r="BK52" s="254"/>
      <c r="BL52" s="254"/>
      <c r="BM52" s="254"/>
      <c r="BN52" s="254"/>
      <c r="BO52" s="254"/>
      <c r="BP52" s="254"/>
      <c r="BQ52" s="254"/>
      <c r="BR52" s="254"/>
      <c r="BS52" s="254"/>
      <c r="BT52" s="254"/>
      <c r="BU52" s="254"/>
      <c r="BV52" s="254"/>
      <c r="BW52" s="254"/>
      <c r="BX52" s="254"/>
      <c r="BY52" s="254"/>
      <c r="BZ52" s="254"/>
      <c r="CA52" s="254"/>
      <c r="CB52" s="254"/>
      <c r="CC52" s="254"/>
      <c r="CD52" s="254"/>
      <c r="CE52" s="254"/>
      <c r="CF52" s="254"/>
      <c r="CG52" s="254"/>
      <c r="CH52" s="254"/>
      <c r="CI52" s="254"/>
      <c r="CJ52" s="254"/>
      <c r="CK52" s="254"/>
    </row>
    <row r="53" spans="1:89" s="255" customFormat="1" ht="27" customHeight="1">
      <c r="A53" s="251"/>
      <c r="B53" s="406"/>
      <c r="C53" s="406"/>
      <c r="D53" s="406"/>
      <c r="E53" s="406"/>
      <c r="F53" s="406"/>
      <c r="G53" s="394" t="s">
        <v>196</v>
      </c>
      <c r="H53" s="394"/>
      <c r="I53" s="394"/>
      <c r="J53" s="394"/>
      <c r="K53" s="394"/>
      <c r="L53" s="394"/>
      <c r="M53" s="394"/>
      <c r="N53" s="407" t="s">
        <v>197</v>
      </c>
      <c r="O53" s="407"/>
      <c r="P53" s="407"/>
      <c r="Q53" s="407"/>
      <c r="R53" s="407"/>
      <c r="S53" s="407"/>
      <c r="T53" s="394"/>
      <c r="U53" s="394"/>
      <c r="V53" s="394"/>
      <c r="W53" s="394"/>
      <c r="X53" s="394"/>
      <c r="Y53" s="411">
        <v>46.82</v>
      </c>
      <c r="Z53" s="411"/>
      <c r="AA53" s="411"/>
      <c r="AB53" s="411"/>
      <c r="AC53" s="412">
        <v>49.16</v>
      </c>
      <c r="AD53" s="413"/>
      <c r="AE53" s="413"/>
      <c r="AF53" s="413"/>
      <c r="AG53" s="414">
        <f t="shared" si="0"/>
        <v>1.7845079999999998</v>
      </c>
      <c r="AH53" s="414"/>
      <c r="AI53" s="414"/>
      <c r="AJ53" s="414"/>
      <c r="AK53" s="405"/>
      <c r="AL53" s="405"/>
      <c r="AM53" s="405"/>
      <c r="AN53" s="405"/>
      <c r="AO53" s="405"/>
      <c r="AP53" s="405"/>
      <c r="AQ53" s="405"/>
      <c r="AR53" s="405"/>
      <c r="AS53" s="253"/>
      <c r="AT53" s="254"/>
      <c r="AU53" s="254"/>
      <c r="AV53" s="254"/>
      <c r="AW53" s="254"/>
      <c r="AX53" s="254"/>
      <c r="AY53" s="254"/>
      <c r="AZ53" s="254"/>
      <c r="BA53" s="254"/>
      <c r="BB53" s="254"/>
      <c r="BC53" s="254"/>
      <c r="BD53" s="254"/>
      <c r="BE53" s="254"/>
      <c r="BF53" s="254"/>
      <c r="BG53" s="254"/>
      <c r="BH53" s="254"/>
      <c r="BI53" s="254"/>
      <c r="BJ53" s="254"/>
      <c r="BK53" s="254"/>
      <c r="BL53" s="254"/>
      <c r="BM53" s="254"/>
      <c r="BN53" s="254"/>
      <c r="BO53" s="254"/>
      <c r="BP53" s="254"/>
      <c r="BQ53" s="254"/>
      <c r="BR53" s="254"/>
      <c r="BS53" s="254"/>
      <c r="BT53" s="254"/>
      <c r="BU53" s="254"/>
      <c r="BV53" s="254"/>
      <c r="BW53" s="254"/>
      <c r="BX53" s="254"/>
      <c r="BY53" s="254"/>
      <c r="BZ53" s="254"/>
      <c r="CA53" s="254"/>
      <c r="CB53" s="254"/>
      <c r="CC53" s="254"/>
      <c r="CD53" s="254"/>
      <c r="CE53" s="254"/>
      <c r="CF53" s="254"/>
      <c r="CG53" s="254"/>
      <c r="CH53" s="254"/>
      <c r="CI53" s="254"/>
      <c r="CJ53" s="254"/>
      <c r="CK53" s="254"/>
    </row>
    <row r="54" spans="1:89" s="255" customFormat="1" ht="27" customHeight="1">
      <c r="A54" s="251"/>
      <c r="B54" s="406"/>
      <c r="C54" s="406"/>
      <c r="D54" s="406"/>
      <c r="E54" s="406"/>
      <c r="F54" s="406"/>
      <c r="G54" s="394"/>
      <c r="H54" s="394"/>
      <c r="I54" s="394"/>
      <c r="J54" s="394"/>
      <c r="K54" s="394"/>
      <c r="L54" s="394"/>
      <c r="M54" s="394"/>
      <c r="N54" s="407" t="s">
        <v>228</v>
      </c>
      <c r="O54" s="407"/>
      <c r="P54" s="407"/>
      <c r="Q54" s="407"/>
      <c r="R54" s="407"/>
      <c r="S54" s="407"/>
      <c r="T54" s="394"/>
      <c r="U54" s="394"/>
      <c r="V54" s="394"/>
      <c r="W54" s="394"/>
      <c r="X54" s="394"/>
      <c r="Y54" s="411"/>
      <c r="Z54" s="411"/>
      <c r="AA54" s="411"/>
      <c r="AB54" s="411"/>
      <c r="AC54" s="412">
        <v>29.67</v>
      </c>
      <c r="AD54" s="413"/>
      <c r="AE54" s="413"/>
      <c r="AF54" s="413"/>
      <c r="AG54" s="410">
        <f t="shared" si="0"/>
        <v>1.077021</v>
      </c>
      <c r="AH54" s="410"/>
      <c r="AI54" s="410"/>
      <c r="AJ54" s="410"/>
      <c r="AK54" s="405"/>
      <c r="AL54" s="405"/>
      <c r="AM54" s="405"/>
      <c r="AN54" s="405"/>
      <c r="AO54" s="405"/>
      <c r="AP54" s="405"/>
      <c r="AQ54" s="405"/>
      <c r="AR54" s="405"/>
      <c r="AS54" s="253"/>
      <c r="AT54" s="254"/>
      <c r="AU54" s="254"/>
      <c r="AV54" s="254"/>
      <c r="AW54" s="254"/>
      <c r="AX54" s="254"/>
      <c r="AY54" s="254"/>
      <c r="AZ54" s="254"/>
      <c r="BA54" s="254"/>
      <c r="BB54" s="254"/>
      <c r="BC54" s="254"/>
      <c r="BD54" s="254"/>
      <c r="BE54" s="254"/>
      <c r="BF54" s="254"/>
      <c r="BG54" s="254"/>
      <c r="BH54" s="254"/>
      <c r="BI54" s="254"/>
      <c r="BJ54" s="254"/>
      <c r="BK54" s="254"/>
      <c r="BL54" s="254"/>
      <c r="BM54" s="254"/>
      <c r="BN54" s="254"/>
      <c r="BO54" s="254"/>
      <c r="BP54" s="254"/>
      <c r="BQ54" s="254"/>
      <c r="BR54" s="254"/>
      <c r="BS54" s="254"/>
      <c r="BT54" s="254"/>
      <c r="BU54" s="254"/>
      <c r="BV54" s="254"/>
      <c r="BW54" s="254"/>
      <c r="BX54" s="254"/>
      <c r="BY54" s="254"/>
      <c r="BZ54" s="254"/>
      <c r="CA54" s="254"/>
      <c r="CB54" s="254"/>
      <c r="CC54" s="254"/>
      <c r="CD54" s="254"/>
      <c r="CE54" s="254"/>
      <c r="CF54" s="254"/>
      <c r="CG54" s="254"/>
      <c r="CH54" s="254"/>
      <c r="CI54" s="254"/>
      <c r="CJ54" s="254"/>
      <c r="CK54" s="254"/>
    </row>
    <row r="55" spans="1:89" s="255" customFormat="1" ht="27" customHeight="1">
      <c r="A55" s="251"/>
      <c r="B55" s="406"/>
      <c r="C55" s="406"/>
      <c r="D55" s="406"/>
      <c r="E55" s="406"/>
      <c r="F55" s="406"/>
      <c r="G55" s="394" t="s">
        <v>229</v>
      </c>
      <c r="H55" s="394"/>
      <c r="I55" s="394"/>
      <c r="J55" s="394"/>
      <c r="K55" s="394"/>
      <c r="L55" s="394"/>
      <c r="M55" s="394"/>
      <c r="N55" s="407" t="s">
        <v>230</v>
      </c>
      <c r="O55" s="407"/>
      <c r="P55" s="407"/>
      <c r="Q55" s="407"/>
      <c r="R55" s="407"/>
      <c r="S55" s="407"/>
      <c r="T55" s="394"/>
      <c r="U55" s="394"/>
      <c r="V55" s="394"/>
      <c r="W55" s="394"/>
      <c r="X55" s="394"/>
      <c r="Y55" s="411"/>
      <c r="Z55" s="411"/>
      <c r="AA55" s="411"/>
      <c r="AB55" s="411"/>
      <c r="AC55" s="412">
        <v>135.69999999999999</v>
      </c>
      <c r="AD55" s="413"/>
      <c r="AE55" s="413"/>
      <c r="AF55" s="413"/>
      <c r="AG55" s="410">
        <f t="shared" si="0"/>
        <v>4.9259099999999991</v>
      </c>
      <c r="AH55" s="410"/>
      <c r="AI55" s="410"/>
      <c r="AJ55" s="410"/>
      <c r="AK55" s="405"/>
      <c r="AL55" s="405"/>
      <c r="AM55" s="405"/>
      <c r="AN55" s="405"/>
      <c r="AO55" s="405"/>
      <c r="AP55" s="405"/>
      <c r="AQ55" s="405"/>
      <c r="AR55" s="405"/>
      <c r="AS55" s="253"/>
      <c r="AT55" s="254"/>
      <c r="AU55" s="254"/>
      <c r="AV55" s="254"/>
      <c r="AW55" s="254"/>
      <c r="AX55" s="254"/>
      <c r="AY55" s="254"/>
      <c r="AZ55" s="254"/>
      <c r="BA55" s="254"/>
      <c r="BB55" s="254"/>
      <c r="BC55" s="254"/>
      <c r="BD55" s="254"/>
      <c r="BE55" s="254"/>
      <c r="BF55" s="254"/>
      <c r="BG55" s="254"/>
      <c r="BH55" s="254"/>
      <c r="BI55" s="254"/>
      <c r="BJ55" s="254"/>
      <c r="BK55" s="254"/>
      <c r="BL55" s="254"/>
      <c r="BM55" s="254"/>
      <c r="BN55" s="254"/>
      <c r="BO55" s="254"/>
      <c r="BP55" s="254"/>
      <c r="BQ55" s="254"/>
      <c r="BR55" s="254"/>
      <c r="BS55" s="254"/>
      <c r="BT55" s="254"/>
      <c r="BU55" s="254"/>
      <c r="BV55" s="254"/>
      <c r="BW55" s="254"/>
      <c r="BX55" s="254"/>
      <c r="BY55" s="254"/>
      <c r="BZ55" s="254"/>
      <c r="CA55" s="254"/>
      <c r="CB55" s="254"/>
      <c r="CC55" s="254"/>
      <c r="CD55" s="254"/>
      <c r="CE55" s="254"/>
      <c r="CF55" s="254"/>
      <c r="CG55" s="254"/>
      <c r="CH55" s="254"/>
      <c r="CI55" s="254"/>
      <c r="CJ55" s="254"/>
      <c r="CK55" s="254"/>
    </row>
    <row r="56" spans="1:89" s="255" customFormat="1" ht="27" customHeight="1">
      <c r="A56" s="251" t="s">
        <v>231</v>
      </c>
      <c r="B56" s="406"/>
      <c r="C56" s="406"/>
      <c r="D56" s="406"/>
      <c r="E56" s="406"/>
      <c r="F56" s="406"/>
      <c r="G56" s="394" t="s">
        <v>232</v>
      </c>
      <c r="H56" s="394"/>
      <c r="I56" s="394"/>
      <c r="J56" s="394"/>
      <c r="K56" s="394"/>
      <c r="L56" s="394"/>
      <c r="M56" s="394"/>
      <c r="N56" s="407" t="s">
        <v>233</v>
      </c>
      <c r="O56" s="407"/>
      <c r="P56" s="407"/>
      <c r="Q56" s="407"/>
      <c r="R56" s="407"/>
      <c r="S56" s="407"/>
      <c r="T56" s="394" t="s">
        <v>231</v>
      </c>
      <c r="U56" s="394"/>
      <c r="V56" s="394"/>
      <c r="W56" s="394"/>
      <c r="X56" s="394"/>
      <c r="Y56" s="411"/>
      <c r="Z56" s="411"/>
      <c r="AA56" s="411"/>
      <c r="AB56" s="411"/>
      <c r="AC56" s="412">
        <v>57.19</v>
      </c>
      <c r="AD56" s="413"/>
      <c r="AE56" s="413"/>
      <c r="AF56" s="413"/>
      <c r="AG56" s="410">
        <f t="shared" si="0"/>
        <v>2.0759969999999996</v>
      </c>
      <c r="AH56" s="410"/>
      <c r="AI56" s="410"/>
      <c r="AJ56" s="410"/>
      <c r="AK56" s="405"/>
      <c r="AL56" s="405"/>
      <c r="AM56" s="405"/>
      <c r="AN56" s="405"/>
      <c r="AO56" s="405"/>
      <c r="AP56" s="405"/>
      <c r="AQ56" s="405"/>
      <c r="AR56" s="405"/>
      <c r="AS56" s="253"/>
      <c r="AT56" s="254"/>
      <c r="AU56" s="254"/>
      <c r="AV56" s="254"/>
      <c r="AW56" s="254"/>
      <c r="AX56" s="254"/>
      <c r="AY56" s="254"/>
      <c r="AZ56" s="254"/>
      <c r="BA56" s="254"/>
      <c r="BB56" s="254"/>
      <c r="BC56" s="254"/>
      <c r="BD56" s="254"/>
      <c r="BE56" s="254"/>
      <c r="BF56" s="254"/>
      <c r="BG56" s="254"/>
      <c r="BH56" s="254"/>
      <c r="BI56" s="254"/>
      <c r="BJ56" s="254"/>
      <c r="BK56" s="254"/>
      <c r="BL56" s="254"/>
      <c r="BM56" s="254"/>
      <c r="BN56" s="254"/>
      <c r="BO56" s="254"/>
      <c r="BP56" s="254"/>
      <c r="BQ56" s="254"/>
      <c r="BR56" s="254"/>
      <c r="BS56" s="254"/>
      <c r="BT56" s="254"/>
      <c r="BU56" s="254"/>
      <c r="BV56" s="254"/>
      <c r="BW56" s="254"/>
      <c r="BX56" s="254"/>
      <c r="BY56" s="254"/>
      <c r="BZ56" s="254"/>
      <c r="CA56" s="254"/>
      <c r="CB56" s="254"/>
      <c r="CC56" s="254"/>
      <c r="CD56" s="254"/>
      <c r="CE56" s="254"/>
      <c r="CF56" s="254"/>
      <c r="CG56" s="254"/>
      <c r="CH56" s="254"/>
      <c r="CI56" s="254"/>
      <c r="CJ56" s="254"/>
      <c r="CK56" s="254"/>
    </row>
    <row r="57" spans="1:89" s="255" customFormat="1" ht="27" customHeight="1">
      <c r="A57" s="251"/>
      <c r="B57" s="406"/>
      <c r="C57" s="406"/>
      <c r="D57" s="406"/>
      <c r="E57" s="406"/>
      <c r="F57" s="406"/>
      <c r="G57" s="394"/>
      <c r="H57" s="394"/>
      <c r="I57" s="394"/>
      <c r="J57" s="394"/>
      <c r="K57" s="394"/>
      <c r="L57" s="394"/>
      <c r="M57" s="394"/>
      <c r="N57" s="407"/>
      <c r="O57" s="407"/>
      <c r="P57" s="407"/>
      <c r="Q57" s="407"/>
      <c r="R57" s="407"/>
      <c r="S57" s="407"/>
      <c r="T57" s="394"/>
      <c r="U57" s="394"/>
      <c r="V57" s="394"/>
      <c r="W57" s="394"/>
      <c r="X57" s="394"/>
      <c r="Y57" s="394"/>
      <c r="Z57" s="394"/>
      <c r="AA57" s="394"/>
      <c r="AB57" s="394"/>
      <c r="AC57" s="408"/>
      <c r="AD57" s="409"/>
      <c r="AE57" s="409"/>
      <c r="AF57" s="409"/>
      <c r="AG57" s="404"/>
      <c r="AH57" s="404"/>
      <c r="AI57" s="404"/>
      <c r="AJ57" s="404"/>
      <c r="AK57" s="405"/>
      <c r="AL57" s="405"/>
      <c r="AM57" s="405"/>
      <c r="AN57" s="405"/>
      <c r="AO57" s="405"/>
      <c r="AP57" s="405"/>
      <c r="AQ57" s="405"/>
      <c r="AR57" s="405"/>
      <c r="AS57" s="253"/>
      <c r="AT57" s="254"/>
      <c r="AU57" s="254"/>
      <c r="AV57" s="254"/>
      <c r="AW57" s="254"/>
      <c r="AX57" s="254"/>
      <c r="AY57" s="254"/>
      <c r="AZ57" s="254"/>
      <c r="BA57" s="254"/>
      <c r="BB57" s="254"/>
      <c r="BC57" s="254"/>
      <c r="BD57" s="254"/>
      <c r="BE57" s="254"/>
      <c r="BF57" s="254"/>
      <c r="BG57" s="254"/>
      <c r="BH57" s="254"/>
      <c r="BI57" s="254"/>
      <c r="BJ57" s="254"/>
      <c r="BK57" s="254"/>
      <c r="BL57" s="254"/>
      <c r="BM57" s="254"/>
      <c r="BN57" s="254"/>
      <c r="BO57" s="254"/>
      <c r="BP57" s="254"/>
      <c r="BQ57" s="254"/>
      <c r="BR57" s="254"/>
      <c r="BS57" s="254"/>
      <c r="BT57" s="254"/>
      <c r="BU57" s="254"/>
      <c r="BV57" s="254"/>
      <c r="BW57" s="254"/>
      <c r="BX57" s="254"/>
      <c r="BY57" s="254"/>
      <c r="BZ57" s="254"/>
      <c r="CA57" s="254"/>
      <c r="CB57" s="254"/>
      <c r="CC57" s="254"/>
      <c r="CD57" s="254"/>
      <c r="CE57" s="254"/>
      <c r="CF57" s="254"/>
      <c r="CG57" s="254"/>
      <c r="CH57" s="254"/>
      <c r="CI57" s="254"/>
      <c r="CJ57" s="254"/>
      <c r="CK57" s="254"/>
    </row>
    <row r="58" spans="1:89" s="255" customFormat="1" ht="27" customHeight="1">
      <c r="A58" s="251"/>
      <c r="B58" s="406"/>
      <c r="C58" s="406"/>
      <c r="D58" s="406"/>
      <c r="E58" s="406"/>
      <c r="F58" s="406"/>
      <c r="G58" s="394"/>
      <c r="H58" s="394"/>
      <c r="I58" s="394"/>
      <c r="J58" s="394"/>
      <c r="K58" s="394"/>
      <c r="L58" s="394"/>
      <c r="M58" s="394"/>
      <c r="N58" s="407"/>
      <c r="O58" s="407"/>
      <c r="P58" s="407"/>
      <c r="Q58" s="407"/>
      <c r="R58" s="407"/>
      <c r="S58" s="407"/>
      <c r="T58" s="394"/>
      <c r="U58" s="394"/>
      <c r="V58" s="394"/>
      <c r="W58" s="394"/>
      <c r="X58" s="394"/>
      <c r="Y58" s="394"/>
      <c r="Z58" s="394"/>
      <c r="AA58" s="394"/>
      <c r="AB58" s="394"/>
      <c r="AC58" s="408"/>
      <c r="AD58" s="409"/>
      <c r="AE58" s="409"/>
      <c r="AF58" s="409"/>
      <c r="AG58" s="404"/>
      <c r="AH58" s="404"/>
      <c r="AI58" s="404"/>
      <c r="AJ58" s="404"/>
      <c r="AK58" s="405"/>
      <c r="AL58" s="405"/>
      <c r="AM58" s="405"/>
      <c r="AN58" s="405"/>
      <c r="AO58" s="405"/>
      <c r="AP58" s="405"/>
      <c r="AQ58" s="405"/>
      <c r="AR58" s="405"/>
      <c r="AS58" s="253"/>
      <c r="AT58" s="254"/>
      <c r="AU58" s="254"/>
      <c r="AV58" s="254"/>
      <c r="AW58" s="254"/>
      <c r="AX58" s="254"/>
      <c r="AY58" s="254"/>
      <c r="AZ58" s="254"/>
      <c r="BA58" s="254"/>
      <c r="BB58" s="254"/>
      <c r="BC58" s="254"/>
      <c r="BD58" s="254"/>
      <c r="BE58" s="254"/>
      <c r="BF58" s="254"/>
      <c r="BG58" s="254"/>
      <c r="BH58" s="254"/>
      <c r="BI58" s="254"/>
      <c r="BJ58" s="254"/>
      <c r="BK58" s="254"/>
      <c r="BL58" s="254"/>
      <c r="BM58" s="254"/>
      <c r="BN58" s="254"/>
      <c r="BO58" s="254"/>
      <c r="BP58" s="254"/>
      <c r="BQ58" s="254"/>
      <c r="BR58" s="254"/>
      <c r="BS58" s="254"/>
      <c r="BT58" s="254"/>
      <c r="BU58" s="254"/>
      <c r="BV58" s="254"/>
      <c r="BW58" s="254"/>
      <c r="BX58" s="254"/>
      <c r="BY58" s="254"/>
      <c r="BZ58" s="254"/>
      <c r="CA58" s="254"/>
      <c r="CB58" s="254"/>
      <c r="CC58" s="254"/>
      <c r="CD58" s="254"/>
      <c r="CE58" s="254"/>
      <c r="CF58" s="254"/>
      <c r="CG58" s="254"/>
      <c r="CH58" s="254"/>
      <c r="CI58" s="254"/>
      <c r="CJ58" s="254"/>
      <c r="CK58" s="254"/>
    </row>
    <row r="59" spans="1:89" s="255" customFormat="1" ht="27" customHeight="1">
      <c r="A59" s="251"/>
      <c r="B59" s="406"/>
      <c r="C59" s="406"/>
      <c r="D59" s="406"/>
      <c r="E59" s="406"/>
      <c r="F59" s="406"/>
      <c r="G59" s="394"/>
      <c r="H59" s="394"/>
      <c r="I59" s="394"/>
      <c r="J59" s="394"/>
      <c r="K59" s="394"/>
      <c r="L59" s="394"/>
      <c r="M59" s="394"/>
      <c r="N59" s="407"/>
      <c r="O59" s="407"/>
      <c r="P59" s="407"/>
      <c r="Q59" s="407"/>
      <c r="R59" s="407"/>
      <c r="S59" s="407"/>
      <c r="T59" s="394"/>
      <c r="U59" s="394"/>
      <c r="V59" s="394"/>
      <c r="W59" s="394"/>
      <c r="X59" s="394"/>
      <c r="Y59" s="394"/>
      <c r="Z59" s="394"/>
      <c r="AA59" s="394"/>
      <c r="AB59" s="394"/>
      <c r="AC59" s="408"/>
      <c r="AD59" s="409"/>
      <c r="AE59" s="409"/>
      <c r="AF59" s="409"/>
      <c r="AG59" s="404"/>
      <c r="AH59" s="404"/>
      <c r="AI59" s="404"/>
      <c r="AJ59" s="404"/>
      <c r="AK59" s="405"/>
      <c r="AL59" s="405"/>
      <c r="AM59" s="405"/>
      <c r="AN59" s="405"/>
      <c r="AO59" s="405"/>
      <c r="AP59" s="405"/>
      <c r="AQ59" s="405"/>
      <c r="AR59" s="405"/>
      <c r="AS59" s="253"/>
      <c r="AT59" s="254"/>
      <c r="AU59" s="254"/>
      <c r="AV59" s="254"/>
      <c r="AW59" s="254"/>
      <c r="AX59" s="254"/>
      <c r="AY59" s="254"/>
      <c r="AZ59" s="254"/>
      <c r="BA59" s="254"/>
      <c r="BB59" s="254"/>
      <c r="BC59" s="254"/>
      <c r="BD59" s="254"/>
      <c r="BE59" s="254"/>
      <c r="BF59" s="254"/>
      <c r="BG59" s="254"/>
      <c r="BH59" s="254"/>
      <c r="BI59" s="254"/>
      <c r="BJ59" s="254"/>
      <c r="BK59" s="254"/>
      <c r="BL59" s="254"/>
      <c r="BM59" s="254"/>
      <c r="BN59" s="254"/>
      <c r="BO59" s="254"/>
      <c r="BP59" s="254"/>
      <c r="BQ59" s="254"/>
      <c r="BR59" s="254"/>
      <c r="BS59" s="254"/>
      <c r="BT59" s="254"/>
      <c r="BU59" s="254"/>
      <c r="BV59" s="254"/>
      <c r="BW59" s="254"/>
      <c r="BX59" s="254"/>
      <c r="BY59" s="254"/>
      <c r="BZ59" s="254"/>
      <c r="CA59" s="254"/>
      <c r="CB59" s="254"/>
      <c r="CC59" s="254"/>
      <c r="CD59" s="254"/>
      <c r="CE59" s="254"/>
      <c r="CF59" s="254"/>
      <c r="CG59" s="254"/>
      <c r="CH59" s="254"/>
      <c r="CI59" s="254"/>
      <c r="CJ59" s="254"/>
      <c r="CK59" s="254"/>
    </row>
    <row r="60" spans="1:89" s="255" customFormat="1" ht="27" customHeight="1">
      <c r="A60" s="251"/>
      <c r="B60" s="406"/>
      <c r="C60" s="406"/>
      <c r="D60" s="406"/>
      <c r="E60" s="406"/>
      <c r="F60" s="406"/>
      <c r="G60" s="394"/>
      <c r="H60" s="394"/>
      <c r="I60" s="394"/>
      <c r="J60" s="394"/>
      <c r="K60" s="394"/>
      <c r="L60" s="394"/>
      <c r="M60" s="394"/>
      <c r="N60" s="407"/>
      <c r="O60" s="407"/>
      <c r="P60" s="407"/>
      <c r="Q60" s="407"/>
      <c r="R60" s="407"/>
      <c r="S60" s="407"/>
      <c r="T60" s="394"/>
      <c r="U60" s="394"/>
      <c r="V60" s="394"/>
      <c r="W60" s="394"/>
      <c r="X60" s="394"/>
      <c r="Y60" s="394"/>
      <c r="Z60" s="394"/>
      <c r="AA60" s="394"/>
      <c r="AB60" s="394"/>
      <c r="AC60" s="408"/>
      <c r="AD60" s="409"/>
      <c r="AE60" s="409"/>
      <c r="AF60" s="409"/>
      <c r="AG60" s="404"/>
      <c r="AH60" s="404"/>
      <c r="AI60" s="404"/>
      <c r="AJ60" s="404"/>
      <c r="AK60" s="405"/>
      <c r="AL60" s="405"/>
      <c r="AM60" s="405"/>
      <c r="AN60" s="405"/>
      <c r="AO60" s="405"/>
      <c r="AP60" s="405"/>
      <c r="AQ60" s="405"/>
      <c r="AR60" s="405"/>
      <c r="AS60" s="253"/>
      <c r="AT60" s="254"/>
      <c r="AU60" s="254"/>
      <c r="AV60" s="254"/>
      <c r="AW60" s="254"/>
      <c r="AX60" s="254"/>
      <c r="AY60" s="254"/>
      <c r="AZ60" s="254"/>
      <c r="BA60" s="254"/>
      <c r="BB60" s="254"/>
      <c r="BC60" s="254"/>
      <c r="BD60" s="254"/>
      <c r="BE60" s="254"/>
      <c r="BF60" s="254"/>
      <c r="BG60" s="254"/>
      <c r="BH60" s="254"/>
      <c r="BI60" s="254"/>
      <c r="BJ60" s="254"/>
      <c r="BK60" s="254"/>
      <c r="BL60" s="254"/>
      <c r="BM60" s="254"/>
      <c r="BN60" s="254"/>
      <c r="BO60" s="254"/>
      <c r="BP60" s="254"/>
      <c r="BQ60" s="254"/>
      <c r="BR60" s="254"/>
      <c r="BS60" s="254"/>
      <c r="BT60" s="254"/>
      <c r="BU60" s="254"/>
      <c r="BV60" s="254"/>
      <c r="BW60" s="254"/>
      <c r="BX60" s="254"/>
      <c r="BY60" s="254"/>
      <c r="BZ60" s="254"/>
      <c r="CA60" s="254"/>
      <c r="CB60" s="254"/>
      <c r="CC60" s="254"/>
      <c r="CD60" s="254"/>
      <c r="CE60" s="254"/>
      <c r="CF60" s="254"/>
      <c r="CG60" s="254"/>
      <c r="CH60" s="254"/>
      <c r="CI60" s="254"/>
      <c r="CJ60" s="254"/>
      <c r="CK60" s="254"/>
    </row>
    <row r="61" spans="1:89" s="255" customFormat="1" ht="27" customHeight="1">
      <c r="A61" s="251"/>
      <c r="B61" s="406"/>
      <c r="C61" s="406"/>
      <c r="D61" s="406"/>
      <c r="E61" s="406"/>
      <c r="F61" s="406"/>
      <c r="G61" s="394"/>
      <c r="H61" s="394"/>
      <c r="I61" s="394"/>
      <c r="J61" s="394"/>
      <c r="K61" s="394"/>
      <c r="L61" s="394"/>
      <c r="M61" s="394"/>
      <c r="N61" s="407"/>
      <c r="O61" s="407"/>
      <c r="P61" s="407"/>
      <c r="Q61" s="407"/>
      <c r="R61" s="407"/>
      <c r="S61" s="407"/>
      <c r="T61" s="394"/>
      <c r="U61" s="394"/>
      <c r="V61" s="394"/>
      <c r="W61" s="394"/>
      <c r="X61" s="394"/>
      <c r="Y61" s="394"/>
      <c r="Z61" s="394"/>
      <c r="AA61" s="394"/>
      <c r="AB61" s="394"/>
      <c r="AC61" s="408"/>
      <c r="AD61" s="409"/>
      <c r="AE61" s="409"/>
      <c r="AF61" s="409"/>
      <c r="AG61" s="404"/>
      <c r="AH61" s="404"/>
      <c r="AI61" s="404"/>
      <c r="AJ61" s="404"/>
      <c r="AK61" s="405"/>
      <c r="AL61" s="405"/>
      <c r="AM61" s="405"/>
      <c r="AN61" s="405"/>
      <c r="AO61" s="405"/>
      <c r="AP61" s="405"/>
      <c r="AQ61" s="405"/>
      <c r="AR61" s="405"/>
      <c r="AS61" s="253"/>
      <c r="AT61" s="254"/>
      <c r="AU61" s="254"/>
      <c r="AV61" s="254"/>
      <c r="AW61" s="254"/>
      <c r="AX61" s="254"/>
      <c r="AY61" s="254"/>
      <c r="AZ61" s="254"/>
      <c r="BA61" s="254"/>
      <c r="BB61" s="254"/>
      <c r="BC61" s="254"/>
      <c r="BD61" s="254"/>
      <c r="BE61" s="254"/>
      <c r="BF61" s="254"/>
      <c r="BG61" s="254"/>
      <c r="BH61" s="254"/>
      <c r="BI61" s="254"/>
      <c r="BJ61" s="254"/>
      <c r="BK61" s="254"/>
      <c r="BL61" s="254"/>
      <c r="BM61" s="254"/>
      <c r="BN61" s="254"/>
      <c r="BO61" s="254"/>
      <c r="BP61" s="254"/>
      <c r="BQ61" s="254"/>
      <c r="BR61" s="254"/>
      <c r="BS61" s="254"/>
      <c r="BT61" s="254"/>
      <c r="BU61" s="254"/>
      <c r="BV61" s="254"/>
      <c r="BW61" s="254"/>
      <c r="BX61" s="254"/>
      <c r="BY61" s="254"/>
      <c r="BZ61" s="254"/>
      <c r="CA61" s="254"/>
      <c r="CB61" s="254"/>
      <c r="CC61" s="254"/>
      <c r="CD61" s="254"/>
      <c r="CE61" s="254"/>
      <c r="CF61" s="254"/>
      <c r="CG61" s="254"/>
      <c r="CH61" s="254"/>
      <c r="CI61" s="254"/>
      <c r="CJ61" s="254"/>
      <c r="CK61" s="254"/>
    </row>
    <row r="62" spans="1:89" s="255" customFormat="1" ht="27" customHeight="1">
      <c r="A62" s="251"/>
      <c r="B62" s="406"/>
      <c r="C62" s="406"/>
      <c r="D62" s="406"/>
      <c r="E62" s="406"/>
      <c r="F62" s="406"/>
      <c r="G62" s="394"/>
      <c r="H62" s="394"/>
      <c r="I62" s="394"/>
      <c r="J62" s="394"/>
      <c r="K62" s="394"/>
      <c r="L62" s="394"/>
      <c r="M62" s="394"/>
      <c r="N62" s="407"/>
      <c r="O62" s="407"/>
      <c r="P62" s="407"/>
      <c r="Q62" s="407"/>
      <c r="R62" s="407"/>
      <c r="S62" s="407"/>
      <c r="T62" s="394"/>
      <c r="U62" s="394"/>
      <c r="V62" s="394"/>
      <c r="W62" s="394"/>
      <c r="X62" s="394"/>
      <c r="Y62" s="394"/>
      <c r="Z62" s="394"/>
      <c r="AA62" s="394"/>
      <c r="AB62" s="394"/>
      <c r="AC62" s="408"/>
      <c r="AD62" s="409"/>
      <c r="AE62" s="409"/>
      <c r="AF62" s="409"/>
      <c r="AG62" s="404"/>
      <c r="AH62" s="404"/>
      <c r="AI62" s="404"/>
      <c r="AJ62" s="404"/>
      <c r="AK62" s="405"/>
      <c r="AL62" s="405"/>
      <c r="AM62" s="405"/>
      <c r="AN62" s="405"/>
      <c r="AO62" s="405"/>
      <c r="AP62" s="405"/>
      <c r="AQ62" s="405"/>
      <c r="AR62" s="405"/>
      <c r="AS62" s="253"/>
      <c r="AT62" s="254"/>
      <c r="AU62" s="254"/>
      <c r="AV62" s="254"/>
      <c r="AW62" s="254"/>
      <c r="AX62" s="254"/>
      <c r="AY62" s="254"/>
      <c r="AZ62" s="254"/>
      <c r="BA62" s="254"/>
      <c r="BB62" s="254"/>
      <c r="BC62" s="254"/>
      <c r="BD62" s="254"/>
      <c r="BE62" s="254"/>
      <c r="BF62" s="254"/>
      <c r="BG62" s="254"/>
      <c r="BH62" s="254"/>
      <c r="BI62" s="254"/>
      <c r="BJ62" s="254"/>
      <c r="BK62" s="254"/>
      <c r="BL62" s="254"/>
      <c r="BM62" s="254"/>
      <c r="BN62" s="254"/>
      <c r="BO62" s="254"/>
      <c r="BP62" s="254"/>
      <c r="BQ62" s="254"/>
      <c r="BR62" s="254"/>
      <c r="BS62" s="254"/>
      <c r="BT62" s="254"/>
      <c r="BU62" s="254"/>
      <c r="BV62" s="254"/>
      <c r="BW62" s="254"/>
      <c r="BX62" s="254"/>
      <c r="BY62" s="254"/>
      <c r="BZ62" s="254"/>
      <c r="CA62" s="254"/>
      <c r="CB62" s="254"/>
      <c r="CC62" s="254"/>
      <c r="CD62" s="254"/>
      <c r="CE62" s="254"/>
      <c r="CF62" s="254"/>
      <c r="CG62" s="254"/>
      <c r="CH62" s="254"/>
      <c r="CI62" s="254"/>
      <c r="CJ62" s="254"/>
      <c r="CK62" s="254"/>
    </row>
    <row r="63" spans="1:89" s="255" customFormat="1" ht="27" customHeight="1">
      <c r="A63" s="251"/>
      <c r="B63" s="399"/>
      <c r="C63" s="399"/>
      <c r="D63" s="399"/>
      <c r="E63" s="399"/>
      <c r="F63" s="399"/>
      <c r="G63" s="400"/>
      <c r="H63" s="400"/>
      <c r="I63" s="400"/>
      <c r="J63" s="400"/>
      <c r="K63" s="400"/>
      <c r="L63" s="400"/>
      <c r="M63" s="400"/>
      <c r="N63" s="401"/>
      <c r="O63" s="401"/>
      <c r="P63" s="401"/>
      <c r="Q63" s="401"/>
      <c r="R63" s="401"/>
      <c r="S63" s="401"/>
      <c r="T63" s="400"/>
      <c r="U63" s="400"/>
      <c r="V63" s="400"/>
      <c r="W63" s="400"/>
      <c r="X63" s="400"/>
      <c r="Y63" s="266"/>
      <c r="Z63" s="266"/>
      <c r="AA63" s="266"/>
      <c r="AB63" s="266"/>
      <c r="AC63" s="402"/>
      <c r="AD63" s="402"/>
      <c r="AE63" s="402"/>
      <c r="AF63" s="402"/>
      <c r="AG63" s="403"/>
      <c r="AH63" s="403"/>
      <c r="AI63" s="403"/>
      <c r="AJ63" s="403"/>
      <c r="AK63" s="396"/>
      <c r="AL63" s="396"/>
      <c r="AM63" s="396"/>
      <c r="AN63" s="396"/>
      <c r="AO63" s="396"/>
      <c r="AP63" s="396"/>
      <c r="AQ63" s="396"/>
      <c r="AR63" s="396"/>
      <c r="AS63" s="253"/>
      <c r="AT63" s="254"/>
      <c r="AU63" s="254"/>
      <c r="AV63" s="254"/>
      <c r="AW63" s="254"/>
      <c r="AX63" s="254"/>
      <c r="AY63" s="254"/>
      <c r="AZ63" s="254"/>
      <c r="BA63" s="254"/>
      <c r="BB63" s="254"/>
      <c r="BC63" s="254"/>
      <c r="BD63" s="254"/>
      <c r="BE63" s="254"/>
      <c r="BF63" s="254"/>
      <c r="BG63" s="254"/>
      <c r="BH63" s="254"/>
      <c r="BI63" s="254"/>
      <c r="BJ63" s="254"/>
      <c r="BK63" s="254"/>
      <c r="BL63" s="254"/>
      <c r="BM63" s="254"/>
      <c r="BN63" s="254"/>
      <c r="BO63" s="254"/>
      <c r="BP63" s="254"/>
      <c r="BQ63" s="254"/>
      <c r="BR63" s="254"/>
      <c r="BS63" s="254"/>
      <c r="BT63" s="254"/>
      <c r="BU63" s="254"/>
      <c r="BV63" s="254"/>
      <c r="BW63" s="254"/>
      <c r="BX63" s="254"/>
      <c r="BY63" s="254"/>
      <c r="BZ63" s="254"/>
      <c r="CA63" s="254"/>
      <c r="CB63" s="254"/>
      <c r="CC63" s="254"/>
      <c r="CD63" s="254"/>
      <c r="CE63" s="254"/>
      <c r="CF63" s="254"/>
      <c r="CG63" s="254"/>
      <c r="CH63" s="254"/>
      <c r="CI63" s="254"/>
      <c r="CJ63" s="254"/>
      <c r="CK63" s="254"/>
    </row>
    <row r="64" spans="1:89" s="255" customFormat="1" ht="27" customHeight="1">
      <c r="A64" s="251"/>
      <c r="B64" s="252"/>
      <c r="C64" s="252"/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67"/>
      <c r="Y64" s="267"/>
      <c r="Z64" s="267"/>
      <c r="AA64" s="267"/>
      <c r="AB64" s="267"/>
      <c r="AC64" s="267"/>
      <c r="AD64" s="267"/>
      <c r="AE64" s="252"/>
      <c r="AF64" s="252"/>
      <c r="AG64" s="252"/>
      <c r="AH64" s="268"/>
      <c r="AI64" s="268"/>
      <c r="AJ64" s="268"/>
      <c r="AK64" s="268"/>
      <c r="AL64" s="268"/>
      <c r="AM64" s="252"/>
      <c r="AN64" s="252"/>
      <c r="AO64" s="252"/>
      <c r="AP64" s="252"/>
      <c r="AQ64" s="252"/>
      <c r="AR64" s="252"/>
      <c r="AS64" s="253"/>
      <c r="AT64" s="254"/>
      <c r="AU64" s="254"/>
      <c r="AV64" s="254"/>
      <c r="AW64" s="254"/>
      <c r="AX64" s="254"/>
      <c r="AY64" s="254"/>
      <c r="AZ64" s="254"/>
      <c r="BA64" s="254"/>
      <c r="BB64" s="254"/>
      <c r="BC64" s="254"/>
      <c r="BD64" s="254"/>
      <c r="BE64" s="254"/>
      <c r="BF64" s="254"/>
      <c r="BG64" s="254"/>
      <c r="BH64" s="254"/>
      <c r="BI64" s="254"/>
      <c r="BJ64" s="254"/>
      <c r="BK64" s="254"/>
      <c r="BL64" s="254"/>
      <c r="BM64" s="254"/>
      <c r="BN64" s="254"/>
      <c r="BO64" s="254"/>
      <c r="BP64" s="254"/>
      <c r="BQ64" s="254"/>
      <c r="BR64" s="254"/>
      <c r="BS64" s="254"/>
      <c r="BT64" s="254"/>
      <c r="BU64" s="254"/>
      <c r="BV64" s="254"/>
      <c r="BW64" s="254"/>
      <c r="BX64" s="254"/>
      <c r="BY64" s="254"/>
      <c r="BZ64" s="254"/>
      <c r="CA64" s="254"/>
      <c r="CB64" s="254"/>
      <c r="CC64" s="254"/>
      <c r="CD64" s="254"/>
      <c r="CE64" s="254"/>
      <c r="CF64" s="254"/>
      <c r="CG64" s="254"/>
      <c r="CH64" s="254"/>
      <c r="CI64" s="254"/>
      <c r="CJ64" s="254"/>
      <c r="CK64" s="254"/>
    </row>
    <row r="65" spans="1:89" s="255" customFormat="1" ht="27" customHeight="1">
      <c r="A65" s="251"/>
      <c r="B65" s="252" t="s">
        <v>198</v>
      </c>
      <c r="C65" s="252"/>
      <c r="D65" s="252"/>
      <c r="E65" s="252" t="s">
        <v>234</v>
      </c>
      <c r="F65" s="252" t="s">
        <v>235</v>
      </c>
      <c r="G65" s="252"/>
      <c r="H65" s="252"/>
      <c r="I65" s="252"/>
      <c r="J65" s="252"/>
      <c r="K65" s="252"/>
      <c r="L65" s="252"/>
      <c r="M65" s="252"/>
      <c r="N65" s="269"/>
      <c r="O65" s="269"/>
      <c r="P65" s="270"/>
      <c r="Q65" s="270"/>
      <c r="R65" s="270"/>
      <c r="S65" s="270"/>
      <c r="T65" s="270"/>
      <c r="U65" s="252"/>
      <c r="V65" s="252"/>
      <c r="W65" s="252"/>
      <c r="X65" s="271"/>
      <c r="Y65" s="271"/>
      <c r="Z65" s="271"/>
      <c r="AA65" s="271"/>
      <c r="AB65" s="271"/>
      <c r="AC65" s="271"/>
      <c r="AD65" s="271"/>
      <c r="AE65" s="252"/>
      <c r="AF65" s="252"/>
      <c r="AG65" s="252"/>
      <c r="AH65" s="252"/>
      <c r="AI65" s="252"/>
      <c r="AJ65" s="252"/>
      <c r="AK65" s="252"/>
      <c r="AL65" s="252"/>
      <c r="AM65" s="252"/>
      <c r="AN65" s="252"/>
      <c r="AO65" s="252"/>
      <c r="AP65" s="252"/>
      <c r="AQ65" s="252"/>
      <c r="AR65" s="252"/>
      <c r="AS65" s="253"/>
      <c r="AT65" s="254"/>
      <c r="AU65" s="254"/>
      <c r="AV65" s="254"/>
      <c r="AW65" s="254"/>
      <c r="AX65" s="254"/>
      <c r="AY65" s="254"/>
      <c r="AZ65" s="254"/>
      <c r="BA65" s="254"/>
      <c r="BB65" s="254"/>
      <c r="BC65" s="254"/>
      <c r="BD65" s="254"/>
      <c r="BE65" s="254"/>
      <c r="BF65" s="254"/>
      <c r="BG65" s="254"/>
      <c r="BH65" s="254"/>
      <c r="BI65" s="254"/>
      <c r="BJ65" s="254"/>
      <c r="BK65" s="254"/>
      <c r="BL65" s="254"/>
      <c r="BM65" s="254"/>
      <c r="BN65" s="254"/>
      <c r="BO65" s="254"/>
      <c r="BP65" s="254"/>
      <c r="BQ65" s="254"/>
      <c r="BR65" s="254"/>
      <c r="BS65" s="254"/>
      <c r="BT65" s="254"/>
      <c r="BU65" s="254"/>
      <c r="BV65" s="254"/>
      <c r="BW65" s="254"/>
      <c r="BX65" s="254"/>
      <c r="BY65" s="254"/>
      <c r="BZ65" s="254"/>
      <c r="CA65" s="254"/>
      <c r="CB65" s="254"/>
      <c r="CC65" s="254"/>
      <c r="CD65" s="254"/>
      <c r="CE65" s="254"/>
      <c r="CF65" s="254"/>
      <c r="CG65" s="254"/>
      <c r="CH65" s="254"/>
      <c r="CI65" s="254"/>
      <c r="CJ65" s="254"/>
      <c r="CK65" s="254"/>
    </row>
    <row r="66" spans="1:89" s="255" customFormat="1" ht="27" customHeight="1">
      <c r="A66" s="251"/>
      <c r="B66" s="252"/>
      <c r="C66" s="252"/>
      <c r="D66" s="252"/>
      <c r="E66" s="252" t="s">
        <v>236</v>
      </c>
      <c r="F66" s="252" t="s">
        <v>237</v>
      </c>
      <c r="G66" s="252"/>
      <c r="H66" s="252"/>
      <c r="I66" s="252"/>
      <c r="J66" s="252"/>
      <c r="K66" s="252"/>
      <c r="L66" s="252"/>
      <c r="M66" s="252"/>
      <c r="N66" s="269"/>
      <c r="O66" s="269"/>
      <c r="P66" s="270"/>
      <c r="Q66" s="270"/>
      <c r="R66" s="270"/>
      <c r="S66" s="270"/>
      <c r="T66" s="270"/>
      <c r="U66" s="252"/>
      <c r="V66" s="252"/>
      <c r="W66" s="252"/>
      <c r="X66" s="267"/>
      <c r="Y66" s="267"/>
      <c r="Z66" s="267"/>
      <c r="AA66" s="267"/>
      <c r="AB66" s="267"/>
      <c r="AC66" s="267"/>
      <c r="AD66" s="267"/>
      <c r="AE66" s="252"/>
      <c r="AF66" s="252"/>
      <c r="AG66" s="252"/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253"/>
      <c r="AT66" s="254"/>
      <c r="AU66" s="254"/>
      <c r="AV66" s="254"/>
      <c r="AW66" s="254"/>
      <c r="AX66" s="254"/>
      <c r="AY66" s="254"/>
      <c r="AZ66" s="254"/>
      <c r="BA66" s="254"/>
      <c r="BB66" s="254"/>
      <c r="BC66" s="254"/>
      <c r="BD66" s="254"/>
      <c r="BE66" s="254"/>
      <c r="BF66" s="254"/>
      <c r="BG66" s="254"/>
      <c r="BH66" s="254"/>
      <c r="BI66" s="254"/>
      <c r="BJ66" s="254"/>
      <c r="BK66" s="254"/>
      <c r="BL66" s="254"/>
      <c r="BM66" s="254"/>
      <c r="BN66" s="254"/>
      <c r="BO66" s="254"/>
      <c r="BP66" s="254"/>
      <c r="BQ66" s="254"/>
      <c r="BR66" s="254"/>
      <c r="BS66" s="254"/>
      <c r="BT66" s="254"/>
      <c r="BU66" s="254"/>
      <c r="BV66" s="254"/>
      <c r="BW66" s="254"/>
      <c r="BX66" s="254"/>
      <c r="BY66" s="254"/>
      <c r="BZ66" s="254"/>
      <c r="CA66" s="254"/>
      <c r="CB66" s="254"/>
      <c r="CC66" s="254"/>
      <c r="CD66" s="254"/>
      <c r="CE66" s="254"/>
      <c r="CF66" s="254"/>
      <c r="CG66" s="254"/>
      <c r="CH66" s="254"/>
      <c r="CI66" s="254"/>
      <c r="CJ66" s="254"/>
      <c r="CK66" s="254"/>
    </row>
    <row r="67" spans="1:89" s="255" customFormat="1" ht="27" customHeight="1">
      <c r="A67" s="251"/>
      <c r="B67" s="252"/>
      <c r="C67" s="252"/>
      <c r="D67" s="252"/>
      <c r="E67" s="252" t="s">
        <v>238</v>
      </c>
      <c r="F67" s="252" t="s">
        <v>239</v>
      </c>
      <c r="G67" s="252"/>
      <c r="H67" s="252"/>
      <c r="I67" s="252"/>
      <c r="J67" s="252"/>
      <c r="K67" s="252"/>
      <c r="L67" s="252"/>
      <c r="M67" s="252"/>
      <c r="N67" s="269"/>
      <c r="O67" s="269"/>
      <c r="P67" s="270"/>
      <c r="Q67" s="270"/>
      <c r="R67" s="270"/>
      <c r="S67" s="270"/>
      <c r="T67" s="270"/>
      <c r="U67" s="252"/>
      <c r="V67" s="252"/>
      <c r="W67" s="252"/>
      <c r="X67" s="267"/>
      <c r="Y67" s="267"/>
      <c r="Z67" s="267"/>
      <c r="AA67" s="267"/>
      <c r="AB67" s="267"/>
      <c r="AC67" s="267"/>
      <c r="AD67" s="267"/>
      <c r="AE67" s="252"/>
      <c r="AF67" s="252"/>
      <c r="AG67" s="252"/>
      <c r="AH67" s="252"/>
      <c r="AI67" s="252"/>
      <c r="AJ67" s="252"/>
      <c r="AK67" s="252"/>
      <c r="AL67" s="252"/>
      <c r="AM67" s="252"/>
      <c r="AN67" s="252"/>
      <c r="AO67" s="252"/>
      <c r="AP67" s="252"/>
      <c r="AQ67" s="252"/>
      <c r="AR67" s="252"/>
      <c r="AS67" s="253"/>
      <c r="AT67" s="254"/>
      <c r="AU67" s="254"/>
      <c r="AV67" s="254"/>
      <c r="AW67" s="254"/>
      <c r="AX67" s="254"/>
      <c r="AY67" s="254"/>
      <c r="AZ67" s="254"/>
      <c r="BA67" s="254"/>
      <c r="BB67" s="254"/>
      <c r="BC67" s="254"/>
      <c r="BD67" s="254"/>
      <c r="BE67" s="254"/>
      <c r="BF67" s="254"/>
      <c r="BG67" s="254"/>
      <c r="BH67" s="254"/>
      <c r="BI67" s="254"/>
      <c r="BJ67" s="254"/>
      <c r="BK67" s="254"/>
      <c r="BL67" s="254"/>
      <c r="BM67" s="254"/>
      <c r="BN67" s="254"/>
      <c r="BO67" s="254"/>
      <c r="BP67" s="254"/>
      <c r="BQ67" s="254"/>
      <c r="BR67" s="254"/>
      <c r="BS67" s="254"/>
      <c r="BT67" s="254"/>
      <c r="BU67" s="254"/>
      <c r="BV67" s="254"/>
      <c r="BW67" s="254"/>
      <c r="BX67" s="254"/>
      <c r="BY67" s="254"/>
      <c r="BZ67" s="254"/>
      <c r="CA67" s="254"/>
      <c r="CB67" s="254"/>
      <c r="CC67" s="254"/>
      <c r="CD67" s="254"/>
      <c r="CE67" s="254"/>
      <c r="CF67" s="254"/>
      <c r="CG67" s="254"/>
      <c r="CH67" s="254"/>
      <c r="CI67" s="254"/>
      <c r="CJ67" s="254"/>
      <c r="CK67" s="254"/>
    </row>
    <row r="68" spans="1:89" s="255" customFormat="1" ht="27" customHeight="1">
      <c r="A68" s="251"/>
      <c r="B68" s="252"/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69"/>
      <c r="O68" s="269"/>
      <c r="P68" s="270"/>
      <c r="Q68" s="270"/>
      <c r="R68" s="270"/>
      <c r="S68" s="270"/>
      <c r="T68" s="270"/>
      <c r="U68" s="252"/>
      <c r="V68" s="252"/>
      <c r="W68" s="252"/>
      <c r="X68" s="267"/>
      <c r="Y68" s="267"/>
      <c r="Z68" s="267"/>
      <c r="AA68" s="267"/>
      <c r="AB68" s="267"/>
      <c r="AC68" s="267"/>
      <c r="AD68" s="267"/>
      <c r="AE68" s="252"/>
      <c r="AF68" s="252"/>
      <c r="AG68" s="252"/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3"/>
      <c r="AT68" s="254"/>
      <c r="AU68" s="254"/>
      <c r="AV68" s="254"/>
      <c r="AW68" s="254"/>
      <c r="AX68" s="254"/>
      <c r="AY68" s="254"/>
      <c r="AZ68" s="254"/>
      <c r="BA68" s="254"/>
      <c r="BB68" s="254"/>
      <c r="BC68" s="254"/>
      <c r="BD68" s="254"/>
      <c r="BE68" s="254"/>
      <c r="BF68" s="254"/>
      <c r="BG68" s="254"/>
      <c r="BH68" s="254"/>
      <c r="BI68" s="254"/>
      <c r="BJ68" s="254"/>
      <c r="BK68" s="254"/>
      <c r="BL68" s="254"/>
      <c r="BM68" s="254"/>
      <c r="BN68" s="254"/>
      <c r="BO68" s="254"/>
      <c r="BP68" s="254"/>
      <c r="BQ68" s="254"/>
      <c r="BR68" s="254"/>
      <c r="BS68" s="254"/>
      <c r="BT68" s="254"/>
      <c r="BU68" s="254"/>
      <c r="BV68" s="254"/>
      <c r="BW68" s="254"/>
      <c r="BX68" s="254"/>
      <c r="BY68" s="254"/>
      <c r="BZ68" s="254"/>
      <c r="CA68" s="254"/>
      <c r="CB68" s="254"/>
      <c r="CC68" s="254"/>
      <c r="CD68" s="254"/>
      <c r="CE68" s="254"/>
      <c r="CF68" s="254"/>
      <c r="CG68" s="254"/>
      <c r="CH68" s="254"/>
      <c r="CI68" s="254"/>
      <c r="CJ68" s="254"/>
      <c r="CK68" s="254"/>
    </row>
    <row r="69" spans="1:89" s="255" customFormat="1" ht="27" customHeight="1">
      <c r="A69" s="251"/>
      <c r="B69" s="257"/>
      <c r="C69" s="257"/>
      <c r="D69" s="257"/>
      <c r="E69" s="257"/>
      <c r="F69" s="257"/>
      <c r="G69" s="252"/>
      <c r="H69" s="252"/>
      <c r="I69" s="252"/>
      <c r="J69" s="252"/>
      <c r="K69" s="252"/>
      <c r="L69" s="252"/>
      <c r="M69" s="252"/>
      <c r="N69" s="269"/>
      <c r="O69" s="269"/>
      <c r="P69" s="270"/>
      <c r="Q69" s="270"/>
      <c r="R69" s="270"/>
      <c r="S69" s="270"/>
      <c r="T69" s="270"/>
      <c r="U69" s="252"/>
      <c r="V69" s="252"/>
      <c r="W69" s="252"/>
      <c r="X69" s="271"/>
      <c r="Y69" s="271"/>
      <c r="Z69" s="271"/>
      <c r="AA69" s="271"/>
      <c r="AB69" s="271"/>
      <c r="AC69" s="271"/>
      <c r="AD69" s="271"/>
      <c r="AE69" s="252"/>
      <c r="AF69" s="252"/>
      <c r="AG69" s="252"/>
      <c r="AH69" s="252"/>
      <c r="AI69" s="252"/>
      <c r="AJ69" s="252"/>
      <c r="AK69" s="252"/>
      <c r="AL69" s="252"/>
      <c r="AM69" s="252"/>
      <c r="AN69" s="252"/>
      <c r="AO69" s="252"/>
      <c r="AP69" s="252"/>
      <c r="AQ69" s="252"/>
      <c r="AR69" s="252"/>
      <c r="AS69" s="253"/>
      <c r="AT69" s="254"/>
      <c r="AU69" s="254"/>
      <c r="AV69" s="254"/>
      <c r="AW69" s="254"/>
      <c r="AX69" s="254"/>
      <c r="AY69" s="254"/>
      <c r="AZ69" s="254"/>
      <c r="BA69" s="254"/>
      <c r="BB69" s="254"/>
      <c r="BC69" s="254"/>
      <c r="BD69" s="254"/>
      <c r="BE69" s="254"/>
      <c r="BF69" s="254"/>
      <c r="BG69" s="254"/>
      <c r="BH69" s="254"/>
      <c r="BI69" s="254"/>
      <c r="BJ69" s="254"/>
      <c r="BK69" s="254"/>
      <c r="BL69" s="254"/>
      <c r="BM69" s="254"/>
      <c r="BN69" s="254"/>
      <c r="BO69" s="254"/>
      <c r="BP69" s="254"/>
      <c r="BQ69" s="254"/>
      <c r="BR69" s="254"/>
      <c r="BS69" s="254"/>
      <c r="BT69" s="254"/>
      <c r="BU69" s="254"/>
      <c r="BV69" s="254"/>
      <c r="BW69" s="254"/>
      <c r="BX69" s="254"/>
      <c r="BY69" s="254"/>
      <c r="BZ69" s="254"/>
      <c r="CA69" s="254"/>
      <c r="CB69" s="254"/>
      <c r="CC69" s="254"/>
      <c r="CD69" s="254"/>
      <c r="CE69" s="254"/>
      <c r="CF69" s="254"/>
      <c r="CG69" s="254"/>
      <c r="CH69" s="254"/>
      <c r="CI69" s="254"/>
      <c r="CJ69" s="254"/>
      <c r="CK69" s="254"/>
    </row>
    <row r="70" spans="1:89" s="255" customFormat="1" ht="27" customHeight="1">
      <c r="A70" s="251"/>
      <c r="B70" s="257"/>
      <c r="C70" s="257"/>
      <c r="D70" s="257"/>
      <c r="E70" s="257"/>
      <c r="F70" s="257"/>
      <c r="G70" s="252"/>
      <c r="H70" s="252"/>
      <c r="I70" s="252"/>
      <c r="J70" s="252"/>
      <c r="K70" s="252"/>
      <c r="L70" s="252"/>
      <c r="M70" s="252"/>
      <c r="N70" s="269"/>
      <c r="O70" s="269"/>
      <c r="P70" s="270"/>
      <c r="Q70" s="270"/>
      <c r="R70" s="270"/>
      <c r="S70" s="270"/>
      <c r="T70" s="270"/>
      <c r="U70" s="252"/>
      <c r="V70" s="252"/>
      <c r="W70" s="252"/>
      <c r="X70" s="271"/>
      <c r="Y70" s="271"/>
      <c r="Z70" s="271"/>
      <c r="AA70" s="271"/>
      <c r="AB70" s="271"/>
      <c r="AC70" s="271"/>
      <c r="AD70" s="271"/>
      <c r="AE70" s="252"/>
      <c r="AF70" s="252"/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3"/>
      <c r="AT70" s="254"/>
      <c r="AU70" s="254"/>
      <c r="AV70" s="254"/>
      <c r="AW70" s="254"/>
      <c r="AX70" s="254"/>
      <c r="AY70" s="254"/>
      <c r="AZ70" s="254"/>
      <c r="BA70" s="254"/>
      <c r="BB70" s="254"/>
      <c r="BC70" s="254"/>
      <c r="BD70" s="254"/>
      <c r="BE70" s="254"/>
      <c r="BF70" s="254"/>
      <c r="BG70" s="254"/>
      <c r="BH70" s="254"/>
      <c r="BI70" s="254"/>
      <c r="BJ70" s="254"/>
      <c r="BK70" s="254"/>
      <c r="BL70" s="254"/>
      <c r="BM70" s="254"/>
      <c r="BN70" s="254"/>
      <c r="BO70" s="254"/>
      <c r="BP70" s="254"/>
      <c r="BQ70" s="254"/>
      <c r="BR70" s="254"/>
      <c r="BS70" s="254"/>
      <c r="BT70" s="254"/>
      <c r="BU70" s="254"/>
      <c r="BV70" s="254"/>
      <c r="BW70" s="254"/>
      <c r="BX70" s="254"/>
      <c r="BY70" s="254"/>
      <c r="BZ70" s="254"/>
      <c r="CA70" s="254"/>
      <c r="CB70" s="254"/>
      <c r="CC70" s="254"/>
      <c r="CD70" s="254"/>
      <c r="CE70" s="254"/>
      <c r="CF70" s="254"/>
      <c r="CG70" s="254"/>
      <c r="CH70" s="254"/>
      <c r="CI70" s="254"/>
      <c r="CJ70" s="254"/>
      <c r="CK70" s="254"/>
    </row>
    <row r="71" spans="1:89" s="255" customFormat="1" ht="27" customHeight="1">
      <c r="A71" s="251"/>
      <c r="B71" s="252"/>
      <c r="C71" s="252"/>
      <c r="D71" s="252"/>
      <c r="E71" s="252"/>
      <c r="F71" s="252"/>
      <c r="G71" s="252"/>
      <c r="H71" s="252"/>
      <c r="I71" s="252"/>
      <c r="J71" s="252"/>
      <c r="K71" s="252"/>
      <c r="L71" s="252"/>
      <c r="M71" s="252"/>
      <c r="N71" s="252"/>
      <c r="O71" s="252"/>
      <c r="P71" s="267"/>
      <c r="Q71" s="267"/>
      <c r="R71" s="267"/>
      <c r="S71" s="267"/>
      <c r="T71" s="267"/>
      <c r="U71" s="252"/>
      <c r="V71" s="252"/>
      <c r="W71" s="252"/>
      <c r="X71" s="267"/>
      <c r="Y71" s="267"/>
      <c r="Z71" s="267"/>
      <c r="AA71" s="267"/>
      <c r="AB71" s="267"/>
      <c r="AC71" s="267"/>
      <c r="AD71" s="267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  <c r="AP71" s="252"/>
      <c r="AQ71" s="252"/>
      <c r="AR71" s="252"/>
      <c r="AS71" s="253"/>
      <c r="AT71" s="254"/>
      <c r="AU71" s="254"/>
      <c r="AV71" s="254"/>
      <c r="AW71" s="254"/>
      <c r="AX71" s="254"/>
      <c r="AY71" s="254"/>
      <c r="AZ71" s="254"/>
      <c r="BA71" s="254"/>
      <c r="BB71" s="254"/>
      <c r="BC71" s="254"/>
      <c r="BD71" s="254"/>
      <c r="BE71" s="254"/>
      <c r="BF71" s="254"/>
      <c r="BG71" s="254"/>
      <c r="BH71" s="254"/>
      <c r="BI71" s="254"/>
      <c r="BJ71" s="254"/>
      <c r="BK71" s="254"/>
      <c r="BL71" s="254"/>
      <c r="BM71" s="254"/>
      <c r="BN71" s="254"/>
      <c r="BO71" s="254"/>
      <c r="BP71" s="254"/>
      <c r="BQ71" s="254"/>
      <c r="BR71" s="254"/>
      <c r="BS71" s="254"/>
      <c r="BT71" s="254"/>
      <c r="BU71" s="254"/>
      <c r="BV71" s="254"/>
      <c r="BW71" s="254"/>
      <c r="BX71" s="254"/>
      <c r="BY71" s="254"/>
      <c r="BZ71" s="254"/>
      <c r="CA71" s="254"/>
      <c r="CB71" s="254"/>
      <c r="CC71" s="254"/>
      <c r="CD71" s="254"/>
      <c r="CE71" s="254"/>
      <c r="CF71" s="254"/>
      <c r="CG71" s="254"/>
      <c r="CH71" s="254"/>
      <c r="CI71" s="254"/>
      <c r="CJ71" s="254"/>
      <c r="CK71" s="254"/>
    </row>
    <row r="72" spans="1:89" s="275" customFormat="1" ht="55.5">
      <c r="A72" s="272"/>
      <c r="B72" s="397" t="s">
        <v>200</v>
      </c>
      <c r="C72" s="397"/>
      <c r="D72" s="397"/>
      <c r="E72" s="397"/>
      <c r="F72" s="397"/>
      <c r="G72" s="397"/>
      <c r="H72" s="397"/>
      <c r="I72" s="397"/>
      <c r="J72" s="397"/>
      <c r="K72" s="397"/>
      <c r="L72" s="397"/>
      <c r="M72" s="397"/>
      <c r="N72" s="397"/>
      <c r="O72" s="397"/>
      <c r="P72" s="397"/>
      <c r="Q72" s="397"/>
      <c r="R72" s="397"/>
      <c r="S72" s="397"/>
      <c r="T72" s="397"/>
      <c r="U72" s="397"/>
      <c r="V72" s="397"/>
      <c r="W72" s="397"/>
      <c r="X72" s="397"/>
      <c r="Y72" s="397"/>
      <c r="Z72" s="397"/>
      <c r="AA72" s="397"/>
      <c r="AB72" s="397"/>
      <c r="AC72" s="397"/>
      <c r="AD72" s="397"/>
      <c r="AE72" s="397"/>
      <c r="AF72" s="397"/>
      <c r="AG72" s="397"/>
      <c r="AH72" s="397"/>
      <c r="AI72" s="397"/>
      <c r="AJ72" s="397"/>
      <c r="AK72" s="397"/>
      <c r="AL72" s="397"/>
      <c r="AM72" s="397"/>
      <c r="AN72" s="397"/>
      <c r="AO72" s="397"/>
      <c r="AP72" s="397"/>
      <c r="AQ72" s="397"/>
      <c r="AR72" s="397"/>
      <c r="AS72" s="273"/>
      <c r="AT72" s="274"/>
      <c r="AU72" s="274"/>
      <c r="AV72" s="274"/>
      <c r="AW72" s="274"/>
      <c r="AX72" s="274"/>
      <c r="AY72" s="274"/>
      <c r="AZ72" s="274"/>
      <c r="BA72" s="274"/>
      <c r="BB72" s="274"/>
      <c r="BC72" s="274"/>
      <c r="BD72" s="274"/>
      <c r="BE72" s="274"/>
      <c r="BF72" s="274"/>
      <c r="BG72" s="274"/>
      <c r="BH72" s="274"/>
      <c r="BI72" s="274"/>
      <c r="BJ72" s="274"/>
      <c r="BK72" s="274"/>
      <c r="BL72" s="274"/>
      <c r="BM72" s="274"/>
      <c r="BN72" s="274"/>
      <c r="BO72" s="274"/>
      <c r="BP72" s="274"/>
      <c r="BQ72" s="274"/>
      <c r="BR72" s="274"/>
      <c r="BS72" s="274"/>
      <c r="BT72" s="274"/>
      <c r="BU72" s="274"/>
      <c r="BV72" s="274"/>
      <c r="BW72" s="274"/>
      <c r="BX72" s="274"/>
      <c r="BY72" s="274"/>
      <c r="BZ72" s="274"/>
      <c r="CA72" s="274"/>
      <c r="CB72" s="274"/>
      <c r="CC72" s="274"/>
      <c r="CD72" s="274"/>
      <c r="CE72" s="274"/>
      <c r="CF72" s="274"/>
      <c r="CG72" s="274"/>
      <c r="CH72" s="274"/>
      <c r="CI72" s="274"/>
      <c r="CJ72" s="274"/>
      <c r="CK72" s="274"/>
    </row>
    <row r="73" spans="1:89" s="280" customFormat="1" ht="27" customHeight="1">
      <c r="A73" s="276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56"/>
      <c r="Y73" s="256"/>
      <c r="Z73" s="256"/>
      <c r="AA73" s="256"/>
      <c r="AB73" s="256"/>
      <c r="AC73" s="256"/>
      <c r="AD73" s="256"/>
      <c r="AE73" s="256"/>
      <c r="AF73" s="256"/>
      <c r="AG73" s="277"/>
      <c r="AH73" s="277"/>
      <c r="AI73" s="277"/>
      <c r="AJ73" s="277"/>
      <c r="AK73" s="277"/>
      <c r="AL73" s="277"/>
      <c r="AM73" s="256"/>
      <c r="AN73" s="256"/>
      <c r="AO73" s="256"/>
      <c r="AP73" s="256"/>
      <c r="AQ73" s="256"/>
      <c r="AR73" s="256"/>
      <c r="AS73" s="278"/>
      <c r="AT73" s="279"/>
      <c r="AU73" s="279"/>
      <c r="AV73" s="279"/>
      <c r="AW73" s="279"/>
      <c r="AX73" s="279"/>
      <c r="AY73" s="279"/>
      <c r="AZ73" s="279"/>
      <c r="BA73" s="279"/>
      <c r="BB73" s="279"/>
      <c r="BC73" s="279"/>
      <c r="BD73" s="279"/>
      <c r="BE73" s="279"/>
      <c r="BF73" s="279"/>
      <c r="BG73" s="279"/>
      <c r="BH73" s="279"/>
      <c r="BI73" s="279"/>
      <c r="BJ73" s="279"/>
      <c r="BK73" s="279"/>
      <c r="BL73" s="279"/>
      <c r="BM73" s="279"/>
      <c r="BN73" s="279"/>
      <c r="BO73" s="279"/>
      <c r="BP73" s="279"/>
      <c r="BQ73" s="279"/>
      <c r="BR73" s="279"/>
      <c r="BS73" s="279"/>
      <c r="BT73" s="279"/>
      <c r="BU73" s="279"/>
      <c r="BV73" s="279"/>
      <c r="BW73" s="279"/>
      <c r="BX73" s="279"/>
      <c r="BY73" s="279"/>
      <c r="BZ73" s="279"/>
      <c r="CA73" s="279"/>
      <c r="CB73" s="279"/>
      <c r="CC73" s="279"/>
      <c r="CD73" s="279"/>
      <c r="CE73" s="279"/>
      <c r="CF73" s="279"/>
      <c r="CG73" s="279"/>
      <c r="CH73" s="279"/>
      <c r="CI73" s="279"/>
      <c r="CJ73" s="279"/>
      <c r="CK73" s="279"/>
    </row>
    <row r="74" spans="1:89" s="280" customFormat="1" ht="27" customHeight="1">
      <c r="A74" s="276"/>
      <c r="B74" s="268"/>
      <c r="C74" s="268"/>
      <c r="D74" s="268"/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56"/>
      <c r="Y74" s="256"/>
      <c r="Z74" s="256"/>
      <c r="AA74" s="256"/>
      <c r="AB74" s="256"/>
      <c r="AC74" s="256"/>
      <c r="AD74" s="256"/>
      <c r="AE74" s="256"/>
      <c r="AF74" s="256"/>
      <c r="AG74" s="277"/>
      <c r="AH74" s="277"/>
      <c r="AI74" s="277"/>
      <c r="AJ74" s="277"/>
      <c r="AK74" s="277"/>
      <c r="AL74" s="277"/>
      <c r="AM74" s="256"/>
      <c r="AN74" s="256"/>
      <c r="AO74" s="256"/>
      <c r="AP74" s="256"/>
      <c r="AQ74" s="256"/>
      <c r="AR74" s="256"/>
      <c r="AS74" s="278"/>
      <c r="AT74" s="279"/>
      <c r="AU74" s="279"/>
      <c r="AV74" s="279"/>
      <c r="AW74" s="279"/>
      <c r="AX74" s="279"/>
      <c r="AY74" s="279"/>
      <c r="AZ74" s="279"/>
      <c r="BA74" s="279"/>
      <c r="BB74" s="279"/>
      <c r="BC74" s="279"/>
      <c r="BD74" s="279"/>
      <c r="BE74" s="279"/>
      <c r="BF74" s="279"/>
      <c r="BG74" s="279"/>
      <c r="BH74" s="279"/>
      <c r="BI74" s="279"/>
      <c r="BJ74" s="279"/>
      <c r="BK74" s="279"/>
      <c r="BL74" s="279"/>
      <c r="BM74" s="279"/>
      <c r="BN74" s="279"/>
      <c r="BO74" s="279"/>
      <c r="BP74" s="279"/>
      <c r="BQ74" s="279"/>
      <c r="BR74" s="279"/>
      <c r="BS74" s="279"/>
      <c r="BT74" s="279"/>
      <c r="BU74" s="279"/>
      <c r="BV74" s="279"/>
      <c r="BW74" s="279"/>
      <c r="BX74" s="279"/>
      <c r="BY74" s="279"/>
      <c r="BZ74" s="279"/>
      <c r="CA74" s="279"/>
      <c r="CB74" s="279"/>
      <c r="CC74" s="279"/>
      <c r="CD74" s="279"/>
      <c r="CE74" s="279"/>
      <c r="CF74" s="279"/>
      <c r="CG74" s="279"/>
      <c r="CH74" s="279"/>
      <c r="CI74" s="279"/>
      <c r="CJ74" s="279"/>
      <c r="CK74" s="279"/>
    </row>
    <row r="75" spans="1:89" s="255" customFormat="1" ht="27" customHeight="1">
      <c r="A75" s="251"/>
      <c r="B75" s="252"/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2"/>
      <c r="AN75" s="252"/>
      <c r="AO75" s="252"/>
      <c r="AP75" s="252"/>
      <c r="AQ75" s="252"/>
      <c r="AR75" s="252"/>
      <c r="AS75" s="253"/>
      <c r="AT75" s="254"/>
      <c r="AU75" s="254"/>
      <c r="AV75" s="254"/>
      <c r="AW75" s="254"/>
      <c r="AX75" s="254"/>
      <c r="AY75" s="254"/>
      <c r="AZ75" s="254"/>
      <c r="BA75" s="254"/>
      <c r="BB75" s="254"/>
      <c r="BC75" s="254"/>
      <c r="BD75" s="254"/>
      <c r="BE75" s="254"/>
      <c r="BF75" s="254"/>
      <c r="BG75" s="254"/>
      <c r="BH75" s="254"/>
      <c r="BI75" s="254"/>
      <c r="BJ75" s="254"/>
      <c r="BK75" s="254"/>
      <c r="BL75" s="254"/>
      <c r="BM75" s="254"/>
      <c r="BN75" s="254"/>
      <c r="BO75" s="254"/>
      <c r="BP75" s="254"/>
      <c r="BQ75" s="254"/>
      <c r="BR75" s="254"/>
      <c r="BS75" s="254"/>
      <c r="BT75" s="254"/>
      <c r="BU75" s="254"/>
      <c r="BV75" s="254"/>
      <c r="BW75" s="254"/>
      <c r="BX75" s="254"/>
      <c r="BY75" s="254"/>
      <c r="BZ75" s="254"/>
      <c r="CA75" s="254"/>
      <c r="CB75" s="254"/>
      <c r="CC75" s="254"/>
      <c r="CD75" s="254"/>
      <c r="CE75" s="254"/>
      <c r="CF75" s="254"/>
      <c r="CG75" s="254"/>
      <c r="CH75" s="254"/>
      <c r="CI75" s="254"/>
      <c r="CJ75" s="254"/>
      <c r="CK75" s="254"/>
    </row>
    <row r="76" spans="1:89" s="255" customFormat="1" ht="27" customHeight="1">
      <c r="A76" s="251"/>
      <c r="B76" s="252"/>
      <c r="C76" s="252"/>
      <c r="D76" s="252"/>
      <c r="E76" s="252"/>
      <c r="F76" s="252"/>
      <c r="G76" s="252"/>
      <c r="H76" s="252"/>
      <c r="I76" s="252"/>
      <c r="J76" s="252"/>
      <c r="K76" s="281"/>
      <c r="L76" s="281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  <c r="AM76" s="252"/>
      <c r="AN76" s="252"/>
      <c r="AO76" s="252"/>
      <c r="AP76" s="252"/>
      <c r="AQ76" s="252"/>
      <c r="AR76" s="252"/>
      <c r="AS76" s="253"/>
      <c r="AT76" s="254"/>
      <c r="AU76" s="254"/>
      <c r="AV76" s="254"/>
      <c r="AW76" s="254"/>
      <c r="AX76" s="254"/>
      <c r="AY76" s="254"/>
      <c r="AZ76" s="254"/>
      <c r="BA76" s="254"/>
      <c r="BB76" s="254"/>
      <c r="BC76" s="254"/>
      <c r="BD76" s="254"/>
      <c r="BE76" s="254"/>
      <c r="BF76" s="254"/>
      <c r="BG76" s="254"/>
      <c r="BH76" s="254"/>
      <c r="BI76" s="254"/>
      <c r="BJ76" s="254"/>
      <c r="BK76" s="254"/>
      <c r="BL76" s="254"/>
      <c r="BM76" s="254"/>
      <c r="BN76" s="254"/>
      <c r="BO76" s="254"/>
      <c r="BP76" s="254"/>
      <c r="BQ76" s="254"/>
      <c r="BR76" s="254"/>
      <c r="BS76" s="254"/>
      <c r="BT76" s="254"/>
      <c r="BU76" s="254"/>
      <c r="BV76" s="254"/>
      <c r="BW76" s="254"/>
      <c r="BX76" s="254"/>
      <c r="BY76" s="254"/>
      <c r="BZ76" s="254"/>
      <c r="CA76" s="254"/>
      <c r="CB76" s="254"/>
      <c r="CC76" s="254"/>
      <c r="CD76" s="254"/>
      <c r="CE76" s="254"/>
      <c r="CF76" s="254"/>
      <c r="CG76" s="254"/>
      <c r="CH76" s="254"/>
      <c r="CI76" s="254"/>
      <c r="CJ76" s="254"/>
      <c r="CK76" s="254"/>
    </row>
    <row r="77" spans="1:89" s="255" customFormat="1" ht="27" customHeight="1">
      <c r="A77" s="251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52"/>
      <c r="M77" s="252"/>
      <c r="N77" s="252"/>
      <c r="O77" s="252"/>
      <c r="P77" s="252"/>
      <c r="Q77" s="252"/>
      <c r="R77" s="261"/>
      <c r="S77" s="252"/>
      <c r="T77" s="252"/>
      <c r="U77" s="252"/>
      <c r="V77" s="252"/>
      <c r="W77" s="252"/>
      <c r="X77" s="252"/>
      <c r="Y77" s="252"/>
      <c r="Z77" s="252"/>
      <c r="AA77" s="252"/>
      <c r="AB77" s="252"/>
      <c r="AC77" s="252"/>
      <c r="AD77" s="252"/>
      <c r="AE77" s="252"/>
      <c r="AF77" s="252"/>
      <c r="AG77" s="252"/>
      <c r="AH77" s="252"/>
      <c r="AI77" s="261"/>
      <c r="AJ77" s="261"/>
      <c r="AK77" s="261"/>
      <c r="AL77" s="261"/>
      <c r="AM77" s="261"/>
      <c r="AN77" s="261"/>
      <c r="AO77" s="261"/>
      <c r="AP77" s="261"/>
      <c r="AQ77" s="261"/>
      <c r="AR77" s="261"/>
      <c r="AS77" s="253"/>
      <c r="AT77" s="254"/>
      <c r="AU77" s="254"/>
      <c r="AV77" s="254"/>
      <c r="AW77" s="254"/>
      <c r="AX77" s="254"/>
      <c r="AY77" s="254"/>
      <c r="AZ77" s="254"/>
      <c r="BA77" s="254"/>
      <c r="BB77" s="254"/>
      <c r="BC77" s="254"/>
      <c r="BD77" s="254"/>
      <c r="BE77" s="254"/>
      <c r="BF77" s="254"/>
      <c r="BG77" s="254"/>
      <c r="BH77" s="254"/>
      <c r="BI77" s="254"/>
      <c r="BJ77" s="254"/>
      <c r="BK77" s="254"/>
      <c r="BL77" s="254"/>
      <c r="BM77" s="254"/>
      <c r="BN77" s="254"/>
      <c r="BO77" s="254"/>
      <c r="BP77" s="254"/>
      <c r="BQ77" s="254"/>
      <c r="BR77" s="254"/>
      <c r="BS77" s="254"/>
      <c r="BT77" s="254"/>
      <c r="BU77" s="254"/>
      <c r="BV77" s="254"/>
      <c r="BW77" s="254"/>
      <c r="BX77" s="254"/>
      <c r="BY77" s="254"/>
      <c r="BZ77" s="254"/>
      <c r="CA77" s="254"/>
      <c r="CB77" s="254"/>
      <c r="CC77" s="254"/>
      <c r="CD77" s="254"/>
      <c r="CE77" s="254"/>
      <c r="CF77" s="254"/>
      <c r="CG77" s="254"/>
      <c r="CH77" s="254"/>
      <c r="CI77" s="254"/>
      <c r="CJ77" s="254"/>
      <c r="CK77" s="254"/>
    </row>
    <row r="78" spans="1:89" s="255" customFormat="1" ht="27" customHeight="1">
      <c r="A78" s="251"/>
      <c r="B78" s="398" t="s">
        <v>201</v>
      </c>
      <c r="C78" s="398"/>
      <c r="D78" s="398"/>
      <c r="E78" s="398"/>
      <c r="F78" s="398"/>
      <c r="G78" s="398"/>
      <c r="H78" s="398"/>
      <c r="I78" s="398"/>
      <c r="J78" s="398"/>
      <c r="K78" s="398"/>
      <c r="L78" s="252"/>
      <c r="M78" s="252"/>
      <c r="N78" s="252"/>
      <c r="O78" s="252"/>
      <c r="P78" s="252"/>
      <c r="Q78" s="252"/>
      <c r="R78" s="398" t="s">
        <v>202</v>
      </c>
      <c r="S78" s="398"/>
      <c r="T78" s="398"/>
      <c r="U78" s="398"/>
      <c r="V78" s="398"/>
      <c r="W78" s="398"/>
      <c r="X78" s="398"/>
      <c r="Y78" s="398"/>
      <c r="Z78" s="398"/>
      <c r="AA78" s="398"/>
      <c r="AB78" s="398"/>
      <c r="AC78" s="252"/>
      <c r="AD78" s="252"/>
      <c r="AE78" s="252"/>
      <c r="AF78" s="252"/>
      <c r="AG78" s="252"/>
      <c r="AH78" s="252"/>
      <c r="AI78" s="398" t="s">
        <v>203</v>
      </c>
      <c r="AJ78" s="398"/>
      <c r="AK78" s="398"/>
      <c r="AL78" s="398"/>
      <c r="AM78" s="398"/>
      <c r="AN78" s="398"/>
      <c r="AO78" s="398"/>
      <c r="AP78" s="398"/>
      <c r="AQ78" s="398"/>
      <c r="AR78" s="398"/>
      <c r="AS78" s="253"/>
      <c r="AT78" s="254"/>
      <c r="AU78" s="254"/>
      <c r="AV78" s="254"/>
      <c r="AW78" s="254"/>
      <c r="AX78" s="254"/>
      <c r="AY78" s="254"/>
      <c r="AZ78" s="254"/>
      <c r="BA78" s="254"/>
      <c r="BB78" s="254"/>
      <c r="BC78" s="254"/>
      <c r="BD78" s="254"/>
      <c r="BE78" s="254"/>
      <c r="BF78" s="254"/>
      <c r="BG78" s="254"/>
      <c r="BH78" s="254"/>
      <c r="BI78" s="254"/>
      <c r="BJ78" s="254"/>
      <c r="BK78" s="254"/>
      <c r="BL78" s="254"/>
      <c r="BM78" s="254"/>
      <c r="BN78" s="254"/>
      <c r="BO78" s="254"/>
      <c r="BP78" s="254"/>
      <c r="BQ78" s="254"/>
      <c r="BR78" s="254"/>
      <c r="BS78" s="254"/>
      <c r="BT78" s="254"/>
      <c r="BU78" s="254"/>
      <c r="BV78" s="254"/>
      <c r="BW78" s="254"/>
      <c r="BX78" s="254"/>
      <c r="BY78" s="254"/>
      <c r="BZ78" s="254"/>
      <c r="CA78" s="254"/>
      <c r="CB78" s="254"/>
      <c r="CC78" s="254"/>
      <c r="CD78" s="254"/>
      <c r="CE78" s="254"/>
      <c r="CF78" s="254"/>
      <c r="CG78" s="254"/>
      <c r="CH78" s="254"/>
      <c r="CI78" s="254"/>
      <c r="CJ78" s="254"/>
      <c r="CK78" s="254"/>
    </row>
    <row r="79" spans="1:89" s="255" customFormat="1" ht="27" customHeight="1">
      <c r="A79" s="251"/>
      <c r="B79" s="394" t="s">
        <v>143</v>
      </c>
      <c r="C79" s="394"/>
      <c r="D79" s="394"/>
      <c r="E79" s="394"/>
      <c r="F79" s="394"/>
      <c r="G79" s="394"/>
      <c r="H79" s="394"/>
      <c r="I79" s="394"/>
      <c r="J79" s="394"/>
      <c r="K79" s="394"/>
      <c r="L79" s="252"/>
      <c r="M79" s="252"/>
      <c r="N79" s="252"/>
      <c r="O79" s="252"/>
      <c r="P79" s="252"/>
      <c r="Q79" s="252"/>
      <c r="R79" s="394" t="s">
        <v>240</v>
      </c>
      <c r="S79" s="394"/>
      <c r="T79" s="394"/>
      <c r="U79" s="394"/>
      <c r="V79" s="394"/>
      <c r="W79" s="394"/>
      <c r="X79" s="394"/>
      <c r="Y79" s="394"/>
      <c r="Z79" s="394"/>
      <c r="AA79" s="394"/>
      <c r="AB79" s="394"/>
      <c r="AC79" s="252"/>
      <c r="AD79" s="252"/>
      <c r="AE79" s="252"/>
      <c r="AF79" s="252"/>
      <c r="AG79" s="252"/>
      <c r="AH79" s="252"/>
      <c r="AI79" s="394" t="s">
        <v>241</v>
      </c>
      <c r="AJ79" s="394"/>
      <c r="AK79" s="394"/>
      <c r="AL79" s="394"/>
      <c r="AM79" s="394"/>
      <c r="AN79" s="394"/>
      <c r="AO79" s="394"/>
      <c r="AP79" s="394"/>
      <c r="AQ79" s="394"/>
      <c r="AR79" s="394"/>
      <c r="AS79" s="253"/>
      <c r="AT79" s="254"/>
      <c r="AU79" s="254"/>
      <c r="AV79" s="254"/>
      <c r="AW79" s="254"/>
      <c r="AX79" s="254"/>
      <c r="AY79" s="254"/>
      <c r="AZ79" s="254"/>
      <c r="BA79" s="254"/>
      <c r="BB79" s="254"/>
      <c r="BC79" s="254"/>
      <c r="BD79" s="254"/>
      <c r="BE79" s="254"/>
      <c r="BF79" s="254"/>
      <c r="BG79" s="254"/>
      <c r="BH79" s="254"/>
      <c r="BI79" s="254"/>
      <c r="BJ79" s="254"/>
      <c r="BK79" s="254"/>
      <c r="BL79" s="254"/>
      <c r="BM79" s="254"/>
      <c r="BN79" s="254"/>
      <c r="BO79" s="254"/>
      <c r="BP79" s="254"/>
      <c r="BQ79" s="254"/>
      <c r="BR79" s="254"/>
      <c r="BS79" s="254"/>
      <c r="BT79" s="254"/>
      <c r="BU79" s="254"/>
      <c r="BV79" s="254"/>
      <c r="BW79" s="254"/>
      <c r="BX79" s="254"/>
      <c r="BY79" s="254"/>
      <c r="BZ79" s="254"/>
      <c r="CA79" s="254"/>
      <c r="CB79" s="254"/>
      <c r="CC79" s="254"/>
      <c r="CD79" s="254"/>
      <c r="CE79" s="254"/>
      <c r="CF79" s="254"/>
      <c r="CG79" s="254"/>
      <c r="CH79" s="254"/>
      <c r="CI79" s="254"/>
      <c r="CJ79" s="254"/>
      <c r="CK79" s="254"/>
    </row>
    <row r="80" spans="1:89" s="255" customFormat="1" ht="27" customHeight="1">
      <c r="A80" s="251"/>
      <c r="B80" s="394" t="s">
        <v>206</v>
      </c>
      <c r="C80" s="394"/>
      <c r="D80" s="394"/>
      <c r="E80" s="394"/>
      <c r="F80" s="394"/>
      <c r="G80" s="394"/>
      <c r="H80" s="394"/>
      <c r="I80" s="394"/>
      <c r="J80" s="394"/>
      <c r="K80" s="394"/>
      <c r="L80" s="252"/>
      <c r="M80" s="252"/>
      <c r="N80" s="252"/>
      <c r="O80" s="252"/>
      <c r="P80" s="252"/>
      <c r="Q80" s="252"/>
      <c r="R80" s="394" t="s">
        <v>242</v>
      </c>
      <c r="S80" s="394"/>
      <c r="T80" s="394"/>
      <c r="U80" s="394"/>
      <c r="V80" s="394"/>
      <c r="W80" s="394"/>
      <c r="X80" s="394"/>
      <c r="Y80" s="394"/>
      <c r="Z80" s="394"/>
      <c r="AA80" s="394"/>
      <c r="AB80" s="394"/>
      <c r="AC80" s="252"/>
      <c r="AD80" s="252"/>
      <c r="AE80" s="252"/>
      <c r="AF80" s="252"/>
      <c r="AG80" s="252"/>
      <c r="AH80" s="252"/>
      <c r="AI80" s="394" t="s">
        <v>243</v>
      </c>
      <c r="AJ80" s="394"/>
      <c r="AK80" s="394"/>
      <c r="AL80" s="394"/>
      <c r="AM80" s="394"/>
      <c r="AN80" s="394"/>
      <c r="AO80" s="394"/>
      <c r="AP80" s="394"/>
      <c r="AQ80" s="394"/>
      <c r="AR80" s="394"/>
      <c r="AS80" s="253"/>
      <c r="AT80" s="254"/>
      <c r="AU80" s="254"/>
      <c r="AV80" s="254"/>
      <c r="AW80" s="254"/>
      <c r="AX80" s="254"/>
      <c r="AY80" s="254"/>
      <c r="AZ80" s="254"/>
      <c r="BA80" s="254"/>
      <c r="BB80" s="254"/>
      <c r="BC80" s="254"/>
      <c r="BD80" s="254"/>
      <c r="BE80" s="254"/>
      <c r="BF80" s="254"/>
      <c r="BG80" s="254"/>
      <c r="BH80" s="254"/>
      <c r="BI80" s="254"/>
      <c r="BJ80" s="254"/>
      <c r="BK80" s="254"/>
      <c r="BL80" s="254"/>
      <c r="BM80" s="254"/>
      <c r="BN80" s="254"/>
      <c r="BO80" s="254"/>
      <c r="BP80" s="254"/>
      <c r="BQ80" s="254"/>
      <c r="BR80" s="254"/>
      <c r="BS80" s="254"/>
      <c r="BT80" s="254"/>
      <c r="BU80" s="254"/>
      <c r="BV80" s="254"/>
      <c r="BW80" s="254"/>
      <c r="BX80" s="254"/>
      <c r="BY80" s="254"/>
      <c r="BZ80" s="254"/>
      <c r="CA80" s="254"/>
      <c r="CB80" s="254"/>
      <c r="CC80" s="254"/>
      <c r="CD80" s="254"/>
      <c r="CE80" s="254"/>
      <c r="CF80" s="254"/>
      <c r="CG80" s="254"/>
      <c r="CH80" s="254"/>
      <c r="CI80" s="254"/>
      <c r="CJ80" s="254"/>
      <c r="CK80" s="254"/>
    </row>
    <row r="81" spans="1:89" s="255" customFormat="1" ht="27" customHeight="1">
      <c r="A81" s="251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52"/>
      <c r="M81" s="252"/>
      <c r="N81" s="252"/>
      <c r="O81" s="25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52"/>
      <c r="AF81" s="252"/>
      <c r="AG81" s="252"/>
      <c r="AH81" s="252"/>
      <c r="AI81" s="282"/>
      <c r="AJ81" s="282"/>
      <c r="AK81" s="282"/>
      <c r="AL81" s="282"/>
      <c r="AM81" s="282"/>
      <c r="AN81" s="282"/>
      <c r="AO81" s="282"/>
      <c r="AP81" s="282"/>
      <c r="AQ81" s="282"/>
      <c r="AR81" s="282"/>
      <c r="AS81" s="253"/>
      <c r="AT81" s="254"/>
      <c r="AU81" s="254"/>
      <c r="AV81" s="254"/>
      <c r="AW81" s="254"/>
      <c r="AX81" s="254"/>
      <c r="AY81" s="254"/>
      <c r="AZ81" s="254"/>
      <c r="BA81" s="254"/>
      <c r="BB81" s="254"/>
      <c r="BC81" s="254"/>
      <c r="BD81" s="254"/>
      <c r="BE81" s="254"/>
      <c r="BF81" s="254"/>
      <c r="BG81" s="254"/>
      <c r="BH81" s="254"/>
      <c r="BI81" s="254"/>
      <c r="BJ81" s="254"/>
      <c r="BK81" s="254"/>
      <c r="BL81" s="254"/>
      <c r="BM81" s="254"/>
      <c r="BN81" s="254"/>
      <c r="BO81" s="254"/>
      <c r="BP81" s="254"/>
      <c r="BQ81" s="254"/>
      <c r="BR81" s="254"/>
      <c r="BS81" s="254"/>
      <c r="BT81" s="254"/>
      <c r="BU81" s="254"/>
      <c r="BV81" s="254"/>
      <c r="BW81" s="254"/>
      <c r="BX81" s="254"/>
      <c r="BY81" s="254"/>
      <c r="BZ81" s="254"/>
      <c r="CA81" s="254"/>
      <c r="CB81" s="254"/>
      <c r="CC81" s="254"/>
      <c r="CD81" s="254"/>
      <c r="CE81" s="254"/>
      <c r="CF81" s="254"/>
      <c r="CG81" s="254"/>
      <c r="CH81" s="254"/>
      <c r="CI81" s="254"/>
      <c r="CJ81" s="254"/>
      <c r="CK81" s="254"/>
    </row>
    <row r="82" spans="1:89" s="255" customFormat="1" ht="27" customHeight="1" thickBot="1">
      <c r="A82" s="283"/>
      <c r="B82" s="395"/>
      <c r="C82" s="395"/>
      <c r="D82" s="395"/>
      <c r="E82" s="395"/>
      <c r="F82" s="395"/>
      <c r="G82" s="395"/>
      <c r="H82" s="395"/>
      <c r="I82" s="395"/>
      <c r="J82" s="395"/>
      <c r="K82" s="395"/>
      <c r="L82" s="284"/>
      <c r="M82" s="284"/>
      <c r="N82" s="284"/>
      <c r="O82" s="284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  <c r="AA82" s="395"/>
      <c r="AB82" s="395"/>
      <c r="AC82" s="395"/>
      <c r="AD82" s="395"/>
      <c r="AE82" s="284"/>
      <c r="AF82" s="284"/>
      <c r="AG82" s="284"/>
      <c r="AH82" s="284"/>
      <c r="AI82" s="284"/>
      <c r="AJ82" s="395"/>
      <c r="AK82" s="395"/>
      <c r="AL82" s="395"/>
      <c r="AM82" s="395"/>
      <c r="AN82" s="395"/>
      <c r="AO82" s="395"/>
      <c r="AP82" s="395"/>
      <c r="AQ82" s="395"/>
      <c r="AR82" s="395"/>
      <c r="AS82" s="285"/>
      <c r="AT82" s="254"/>
      <c r="AU82" s="254"/>
      <c r="AV82" s="254"/>
      <c r="AW82" s="254"/>
      <c r="AX82" s="254"/>
      <c r="AY82" s="254"/>
      <c r="AZ82" s="254"/>
      <c r="BA82" s="254"/>
      <c r="BB82" s="254"/>
      <c r="BC82" s="254"/>
      <c r="BD82" s="254"/>
      <c r="BE82" s="254"/>
      <c r="BF82" s="254"/>
      <c r="BG82" s="254"/>
      <c r="BH82" s="254"/>
      <c r="BI82" s="254"/>
      <c r="BJ82" s="254"/>
      <c r="BK82" s="254"/>
      <c r="BL82" s="254"/>
      <c r="BM82" s="254"/>
      <c r="BN82" s="254"/>
      <c r="BO82" s="254"/>
      <c r="BP82" s="254"/>
      <c r="BQ82" s="254"/>
      <c r="BR82" s="254"/>
      <c r="BS82" s="254"/>
      <c r="BT82" s="254"/>
      <c r="BU82" s="254"/>
      <c r="BV82" s="254"/>
      <c r="BW82" s="254"/>
      <c r="BX82" s="254"/>
      <c r="BY82" s="254"/>
      <c r="BZ82" s="254"/>
      <c r="CA82" s="254"/>
      <c r="CB82" s="254"/>
      <c r="CC82" s="254"/>
      <c r="CD82" s="254"/>
      <c r="CE82" s="254"/>
      <c r="CF82" s="254"/>
      <c r="CG82" s="254"/>
      <c r="CH82" s="254"/>
      <c r="CI82" s="254"/>
      <c r="CJ82" s="254"/>
      <c r="CK82" s="254"/>
    </row>
    <row r="83" spans="1:89" s="288" customFormat="1" ht="27" customHeight="1">
      <c r="A83" s="286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287"/>
      <c r="AO83" s="287"/>
      <c r="AP83" s="287"/>
      <c r="AQ83" s="287"/>
      <c r="AR83" s="287"/>
      <c r="AS83" s="287"/>
      <c r="AT83" s="287"/>
      <c r="AU83" s="287"/>
      <c r="AV83" s="287"/>
      <c r="AW83" s="287"/>
      <c r="AX83" s="287"/>
      <c r="AY83" s="287"/>
      <c r="AZ83" s="287"/>
      <c r="BA83" s="287"/>
      <c r="BB83" s="287"/>
      <c r="BC83" s="287"/>
      <c r="BD83" s="287"/>
      <c r="BE83" s="287"/>
      <c r="BF83" s="287"/>
      <c r="BG83" s="287"/>
      <c r="BH83" s="287"/>
      <c r="BI83" s="287"/>
      <c r="BJ83" s="287"/>
      <c r="BK83" s="287"/>
      <c r="BL83" s="287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  <c r="CB83" s="287"/>
      <c r="CC83" s="287"/>
      <c r="CD83" s="287"/>
      <c r="CE83" s="287"/>
      <c r="CF83" s="287"/>
      <c r="CG83" s="287"/>
      <c r="CH83" s="287"/>
      <c r="CI83" s="287"/>
      <c r="CJ83" s="287"/>
      <c r="CK83" s="287"/>
    </row>
    <row r="84" spans="1:89" s="288" customFormat="1" ht="27" customHeight="1">
      <c r="A84" s="286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  <c r="BD84" s="287"/>
      <c r="BE84" s="287"/>
      <c r="BF84" s="287"/>
      <c r="BG84" s="287"/>
      <c r="BH84" s="287"/>
      <c r="BI84" s="287"/>
      <c r="BJ84" s="287"/>
      <c r="BK84" s="287"/>
      <c r="BL84" s="287"/>
      <c r="BM84" s="287"/>
      <c r="BN84" s="287"/>
      <c r="BO84" s="287"/>
      <c r="BP84" s="287"/>
      <c r="BQ84" s="287"/>
      <c r="BR84" s="287"/>
      <c r="BS84" s="287"/>
      <c r="BT84" s="287"/>
      <c r="BU84" s="287"/>
      <c r="BV84" s="287"/>
      <c r="BW84" s="287"/>
      <c r="BX84" s="287"/>
      <c r="BY84" s="287"/>
      <c r="BZ84" s="287"/>
      <c r="CA84" s="287"/>
      <c r="CB84" s="287"/>
      <c r="CC84" s="287"/>
      <c r="CD84" s="287"/>
      <c r="CE84" s="287"/>
      <c r="CF84" s="287"/>
      <c r="CG84" s="287"/>
      <c r="CH84" s="287"/>
      <c r="CI84" s="287"/>
      <c r="CJ84" s="287"/>
      <c r="CK84" s="287"/>
    </row>
    <row r="85" spans="1:89" s="288" customFormat="1" ht="27" customHeight="1">
      <c r="A85" s="286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287"/>
      <c r="AO85" s="287"/>
      <c r="AP85" s="287"/>
      <c r="AQ85" s="287"/>
      <c r="AR85" s="287"/>
      <c r="AS85" s="287"/>
      <c r="AT85" s="287"/>
      <c r="AU85" s="287"/>
      <c r="AV85" s="287"/>
      <c r="AW85" s="287"/>
      <c r="AX85" s="287"/>
      <c r="AY85" s="287"/>
      <c r="AZ85" s="287"/>
      <c r="BA85" s="287"/>
      <c r="BB85" s="287"/>
      <c r="BC85" s="287"/>
      <c r="BD85" s="287"/>
      <c r="BE85" s="287"/>
      <c r="BF85" s="287"/>
      <c r="BG85" s="287"/>
      <c r="BH85" s="287"/>
      <c r="BI85" s="287"/>
      <c r="BJ85" s="287"/>
      <c r="BK85" s="287"/>
      <c r="BL85" s="287"/>
      <c r="BM85" s="287"/>
      <c r="BN85" s="287"/>
      <c r="BO85" s="287"/>
      <c r="BP85" s="287"/>
      <c r="BQ85" s="287"/>
      <c r="BR85" s="287"/>
      <c r="BS85" s="287"/>
      <c r="BT85" s="287"/>
      <c r="BU85" s="287"/>
      <c r="BV85" s="287"/>
      <c r="BW85" s="287"/>
      <c r="BX85" s="287"/>
      <c r="BY85" s="287"/>
      <c r="BZ85" s="287"/>
      <c r="CA85" s="287"/>
      <c r="CB85" s="287"/>
      <c r="CC85" s="287"/>
      <c r="CD85" s="287"/>
      <c r="CE85" s="287"/>
      <c r="CF85" s="287"/>
      <c r="CG85" s="287"/>
      <c r="CH85" s="287"/>
      <c r="CI85" s="287"/>
      <c r="CJ85" s="287"/>
      <c r="CK85" s="287"/>
    </row>
    <row r="86" spans="1:89" s="288" customFormat="1" ht="27" customHeight="1">
      <c r="A86" s="286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  <c r="BD86" s="287"/>
      <c r="BE86" s="287"/>
      <c r="BF86" s="287"/>
      <c r="BG86" s="287"/>
      <c r="BH86" s="287"/>
      <c r="BI86" s="287"/>
      <c r="BJ86" s="287"/>
      <c r="BK86" s="287"/>
      <c r="BL86" s="287"/>
      <c r="BM86" s="287"/>
      <c r="BN86" s="287"/>
      <c r="BO86" s="287"/>
      <c r="BP86" s="287"/>
      <c r="BQ86" s="287"/>
      <c r="BR86" s="287"/>
      <c r="BS86" s="287"/>
      <c r="BT86" s="287"/>
      <c r="BU86" s="287"/>
      <c r="BV86" s="287"/>
      <c r="BW86" s="287"/>
      <c r="BX86" s="287"/>
      <c r="BY86" s="287"/>
      <c r="BZ86" s="287"/>
      <c r="CA86" s="287"/>
      <c r="CB86" s="287"/>
      <c r="CC86" s="287"/>
      <c r="CD86" s="287"/>
      <c r="CE86" s="287"/>
      <c r="CF86" s="287"/>
      <c r="CG86" s="287"/>
      <c r="CH86" s="287"/>
      <c r="CI86" s="287"/>
      <c r="CJ86" s="287"/>
      <c r="CK86" s="287"/>
    </row>
    <row r="87" spans="1:89" s="288" customFormat="1" ht="27" customHeight="1">
      <c r="A87" s="286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  <c r="AU87" s="287"/>
      <c r="AV87" s="287"/>
      <c r="AW87" s="287"/>
      <c r="AX87" s="287"/>
      <c r="AY87" s="287"/>
      <c r="AZ87" s="287"/>
      <c r="BA87" s="287"/>
      <c r="BB87" s="287"/>
      <c r="BC87" s="287"/>
      <c r="BD87" s="287"/>
      <c r="BE87" s="287"/>
      <c r="BF87" s="287"/>
      <c r="BG87" s="287"/>
      <c r="BH87" s="287"/>
      <c r="BI87" s="287"/>
      <c r="BJ87" s="287"/>
      <c r="BK87" s="287"/>
      <c r="BL87" s="287"/>
      <c r="BM87" s="287"/>
      <c r="BN87" s="287"/>
      <c r="BO87" s="287"/>
      <c r="BP87" s="287"/>
      <c r="BQ87" s="287"/>
      <c r="BR87" s="287"/>
      <c r="BS87" s="287"/>
      <c r="BT87" s="287"/>
      <c r="BU87" s="287"/>
      <c r="BV87" s="287"/>
      <c r="BW87" s="287"/>
      <c r="BX87" s="287"/>
      <c r="BY87" s="287"/>
      <c r="BZ87" s="287"/>
      <c r="CA87" s="287"/>
      <c r="CB87" s="287"/>
      <c r="CC87" s="287"/>
      <c r="CD87" s="287"/>
      <c r="CE87" s="287"/>
      <c r="CF87" s="287"/>
      <c r="CG87" s="287"/>
      <c r="CH87" s="287"/>
      <c r="CI87" s="287"/>
      <c r="CJ87" s="287"/>
      <c r="CK87" s="287"/>
    </row>
    <row r="88" spans="1:89" s="288" customFormat="1" ht="27" customHeight="1">
      <c r="A88" s="286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  <c r="BD88" s="287"/>
      <c r="BE88" s="287"/>
      <c r="BF88" s="287"/>
      <c r="BG88" s="287"/>
      <c r="BH88" s="287"/>
      <c r="BI88" s="287"/>
      <c r="BJ88" s="287"/>
      <c r="BK88" s="287"/>
      <c r="BL88" s="287"/>
      <c r="BM88" s="287"/>
      <c r="BN88" s="287"/>
      <c r="BO88" s="287"/>
      <c r="BP88" s="287"/>
      <c r="BQ88" s="287"/>
      <c r="BR88" s="287"/>
      <c r="BS88" s="287"/>
      <c r="BT88" s="287"/>
      <c r="BU88" s="287"/>
      <c r="BV88" s="287"/>
      <c r="BW88" s="287"/>
      <c r="BX88" s="287"/>
      <c r="BY88" s="287"/>
      <c r="BZ88" s="287"/>
      <c r="CA88" s="287"/>
      <c r="CB88" s="287"/>
      <c r="CC88" s="287"/>
      <c r="CD88" s="287"/>
      <c r="CE88" s="287"/>
      <c r="CF88" s="287"/>
      <c r="CG88" s="287"/>
      <c r="CH88" s="287"/>
      <c r="CI88" s="287"/>
      <c r="CJ88" s="287"/>
      <c r="CK88" s="287"/>
    </row>
    <row r="89" spans="1:89" s="288" customFormat="1" ht="27" customHeight="1">
      <c r="A89" s="286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287"/>
      <c r="AO89" s="287"/>
      <c r="AP89" s="287"/>
      <c r="AQ89" s="287"/>
      <c r="AR89" s="287"/>
      <c r="AS89" s="287"/>
      <c r="AT89" s="287"/>
      <c r="AU89" s="287"/>
      <c r="AV89" s="287"/>
      <c r="AW89" s="287"/>
      <c r="AX89" s="287"/>
      <c r="AY89" s="287"/>
      <c r="AZ89" s="287"/>
      <c r="BA89" s="287"/>
      <c r="BB89" s="287"/>
      <c r="BC89" s="287"/>
      <c r="BD89" s="287"/>
      <c r="BE89" s="287"/>
      <c r="BF89" s="287"/>
      <c r="BG89" s="287"/>
      <c r="BH89" s="287"/>
      <c r="BI89" s="287"/>
      <c r="BJ89" s="287"/>
      <c r="BK89" s="287"/>
      <c r="BL89" s="287"/>
      <c r="BM89" s="287"/>
      <c r="BN89" s="287"/>
      <c r="BO89" s="287"/>
      <c r="BP89" s="287"/>
      <c r="BQ89" s="287"/>
      <c r="BR89" s="287"/>
      <c r="BS89" s="287"/>
      <c r="BT89" s="287"/>
      <c r="BU89" s="287"/>
      <c r="BV89" s="287"/>
      <c r="BW89" s="287"/>
      <c r="BX89" s="287"/>
      <c r="BY89" s="287"/>
      <c r="BZ89" s="287"/>
      <c r="CA89" s="287"/>
      <c r="CB89" s="287"/>
      <c r="CC89" s="287"/>
      <c r="CD89" s="287"/>
      <c r="CE89" s="287"/>
      <c r="CF89" s="287"/>
      <c r="CG89" s="287"/>
      <c r="CH89" s="287"/>
      <c r="CI89" s="287"/>
      <c r="CJ89" s="287"/>
      <c r="CK89" s="287"/>
    </row>
    <row r="90" spans="1:89" s="288" customFormat="1" ht="27" customHeight="1">
      <c r="A90" s="286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287"/>
      <c r="AO90" s="287"/>
      <c r="AP90" s="287"/>
      <c r="AQ90" s="287"/>
      <c r="AR90" s="287"/>
      <c r="AS90" s="287"/>
      <c r="AT90" s="287"/>
      <c r="AU90" s="287"/>
      <c r="AV90" s="287"/>
      <c r="AW90" s="287"/>
      <c r="AX90" s="287"/>
      <c r="AY90" s="287"/>
      <c r="AZ90" s="287"/>
      <c r="BA90" s="287"/>
      <c r="BB90" s="287"/>
      <c r="BC90" s="287"/>
      <c r="BD90" s="287"/>
      <c r="BE90" s="287"/>
      <c r="BF90" s="287"/>
      <c r="BG90" s="287"/>
      <c r="BH90" s="287"/>
      <c r="BI90" s="287"/>
      <c r="BJ90" s="287"/>
      <c r="BK90" s="287"/>
      <c r="BL90" s="287"/>
      <c r="BM90" s="287"/>
      <c r="BN90" s="287"/>
      <c r="BO90" s="287"/>
      <c r="BP90" s="287"/>
      <c r="BQ90" s="287"/>
      <c r="BR90" s="287"/>
      <c r="BS90" s="287"/>
      <c r="BT90" s="287"/>
      <c r="BU90" s="287"/>
      <c r="BV90" s="287"/>
      <c r="BW90" s="287"/>
      <c r="BX90" s="287"/>
      <c r="BY90" s="287"/>
      <c r="BZ90" s="287"/>
      <c r="CA90" s="287"/>
      <c r="CB90" s="287"/>
      <c r="CC90" s="287"/>
      <c r="CD90" s="287"/>
      <c r="CE90" s="287"/>
      <c r="CF90" s="287"/>
      <c r="CG90" s="287"/>
      <c r="CH90" s="287"/>
      <c r="CI90" s="287"/>
      <c r="CJ90" s="287"/>
      <c r="CK90" s="287"/>
    </row>
    <row r="91" spans="1:89" s="288" customFormat="1" ht="27" customHeight="1">
      <c r="A91" s="286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287"/>
      <c r="AO91" s="287"/>
      <c r="AP91" s="287"/>
      <c r="AQ91" s="287"/>
      <c r="AR91" s="287"/>
      <c r="AS91" s="287"/>
      <c r="AT91" s="287"/>
      <c r="AU91" s="287"/>
      <c r="AV91" s="287"/>
      <c r="AW91" s="287"/>
      <c r="AX91" s="287"/>
      <c r="AY91" s="287"/>
      <c r="AZ91" s="287"/>
      <c r="BA91" s="287"/>
      <c r="BB91" s="287"/>
      <c r="BC91" s="287"/>
      <c r="BD91" s="287"/>
      <c r="BE91" s="287"/>
      <c r="BF91" s="287"/>
      <c r="BG91" s="287"/>
      <c r="BH91" s="287"/>
      <c r="BI91" s="287"/>
      <c r="BJ91" s="287"/>
      <c r="BK91" s="287"/>
      <c r="BL91" s="287"/>
      <c r="BM91" s="287"/>
      <c r="BN91" s="287"/>
      <c r="BO91" s="287"/>
      <c r="BP91" s="287"/>
      <c r="BQ91" s="287"/>
      <c r="BR91" s="287"/>
      <c r="BS91" s="287"/>
      <c r="BT91" s="287"/>
      <c r="BU91" s="287"/>
      <c r="BV91" s="287"/>
      <c r="BW91" s="287"/>
      <c r="BX91" s="287"/>
      <c r="BY91" s="287"/>
      <c r="BZ91" s="287"/>
      <c r="CA91" s="287"/>
      <c r="CB91" s="287"/>
      <c r="CC91" s="287"/>
      <c r="CD91" s="287"/>
      <c r="CE91" s="287"/>
      <c r="CF91" s="287"/>
      <c r="CG91" s="287"/>
      <c r="CH91" s="287"/>
      <c r="CI91" s="287"/>
      <c r="CJ91" s="287"/>
      <c r="CK91" s="287"/>
    </row>
    <row r="92" spans="1:89" s="288" customFormat="1" ht="27" customHeight="1">
      <c r="A92" s="286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  <c r="BD92" s="287"/>
      <c r="BE92" s="287"/>
      <c r="BF92" s="287"/>
      <c r="BG92" s="287"/>
      <c r="BH92" s="287"/>
      <c r="BI92" s="287"/>
      <c r="BJ92" s="287"/>
      <c r="BK92" s="287"/>
      <c r="BL92" s="287"/>
      <c r="BM92" s="287"/>
      <c r="BN92" s="287"/>
      <c r="BO92" s="287"/>
      <c r="BP92" s="287"/>
      <c r="BQ92" s="287"/>
      <c r="BR92" s="287"/>
      <c r="BS92" s="287"/>
      <c r="BT92" s="287"/>
      <c r="BU92" s="287"/>
      <c r="BV92" s="287"/>
      <c r="BW92" s="287"/>
      <c r="BX92" s="287"/>
      <c r="BY92" s="287"/>
      <c r="BZ92" s="287"/>
      <c r="CA92" s="287"/>
      <c r="CB92" s="287"/>
      <c r="CC92" s="287"/>
      <c r="CD92" s="287"/>
      <c r="CE92" s="287"/>
      <c r="CF92" s="287"/>
      <c r="CG92" s="287"/>
      <c r="CH92" s="287"/>
      <c r="CI92" s="287"/>
      <c r="CJ92" s="287"/>
      <c r="CK92" s="287"/>
    </row>
    <row r="93" spans="1:89" s="288" customFormat="1" ht="27" customHeight="1">
      <c r="A93" s="286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287"/>
      <c r="AY93" s="287"/>
      <c r="AZ93" s="287"/>
      <c r="BA93" s="287"/>
      <c r="BB93" s="287"/>
      <c r="BC93" s="287"/>
      <c r="BD93" s="287"/>
      <c r="BE93" s="287"/>
      <c r="BF93" s="287"/>
      <c r="BG93" s="287"/>
      <c r="BH93" s="287"/>
      <c r="BI93" s="287"/>
      <c r="BJ93" s="287"/>
      <c r="BK93" s="287"/>
      <c r="BL93" s="287"/>
      <c r="BM93" s="287"/>
      <c r="BN93" s="287"/>
      <c r="BO93" s="287"/>
      <c r="BP93" s="287"/>
      <c r="BQ93" s="287"/>
      <c r="BR93" s="287"/>
      <c r="BS93" s="287"/>
      <c r="BT93" s="287"/>
      <c r="BU93" s="287"/>
      <c r="BV93" s="287"/>
      <c r="BW93" s="287"/>
      <c r="BX93" s="287"/>
      <c r="BY93" s="287"/>
      <c r="BZ93" s="287"/>
      <c r="CA93" s="287"/>
      <c r="CB93" s="287"/>
      <c r="CC93" s="287"/>
      <c r="CD93" s="287"/>
      <c r="CE93" s="287"/>
      <c r="CF93" s="287"/>
      <c r="CG93" s="287"/>
      <c r="CH93" s="287"/>
      <c r="CI93" s="287"/>
      <c r="CJ93" s="287"/>
      <c r="CK93" s="287"/>
    </row>
    <row r="94" spans="1:89" s="288" customFormat="1" ht="27" customHeight="1">
      <c r="A94" s="286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  <c r="BD94" s="287"/>
      <c r="BE94" s="287"/>
      <c r="BF94" s="287"/>
      <c r="BG94" s="287"/>
      <c r="BH94" s="287"/>
      <c r="BI94" s="287"/>
      <c r="BJ94" s="287"/>
      <c r="BK94" s="287"/>
      <c r="BL94" s="287"/>
      <c r="BM94" s="287"/>
      <c r="BN94" s="287"/>
      <c r="BO94" s="287"/>
      <c r="BP94" s="287"/>
      <c r="BQ94" s="287"/>
      <c r="BR94" s="287"/>
      <c r="BS94" s="287"/>
      <c r="BT94" s="287"/>
      <c r="BU94" s="287"/>
      <c r="BV94" s="287"/>
      <c r="BW94" s="287"/>
      <c r="BX94" s="287"/>
      <c r="BY94" s="287"/>
      <c r="BZ94" s="287"/>
      <c r="CA94" s="287"/>
      <c r="CB94" s="287"/>
      <c r="CC94" s="287"/>
      <c r="CD94" s="287"/>
      <c r="CE94" s="287"/>
      <c r="CF94" s="287"/>
      <c r="CG94" s="287"/>
      <c r="CH94" s="287"/>
      <c r="CI94" s="287"/>
      <c r="CJ94" s="287"/>
      <c r="CK94" s="287"/>
    </row>
    <row r="95" spans="1:89" s="288" customFormat="1" ht="27" customHeight="1">
      <c r="A95" s="286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  <c r="BD95" s="287"/>
      <c r="BE95" s="287"/>
      <c r="BF95" s="287"/>
      <c r="BG95" s="287"/>
      <c r="BH95" s="287"/>
      <c r="BI95" s="287"/>
      <c r="BJ95" s="287"/>
      <c r="BK95" s="287"/>
      <c r="BL95" s="287"/>
      <c r="BM95" s="287"/>
      <c r="BN95" s="287"/>
      <c r="BO95" s="287"/>
      <c r="BP95" s="287"/>
      <c r="BQ95" s="287"/>
      <c r="BR95" s="287"/>
      <c r="BS95" s="287"/>
      <c r="BT95" s="287"/>
      <c r="BU95" s="287"/>
      <c r="BV95" s="287"/>
      <c r="BW95" s="287"/>
      <c r="BX95" s="287"/>
      <c r="BY95" s="287"/>
      <c r="BZ95" s="287"/>
      <c r="CA95" s="287"/>
      <c r="CB95" s="287"/>
      <c r="CC95" s="287"/>
      <c r="CD95" s="287"/>
      <c r="CE95" s="287"/>
      <c r="CF95" s="287"/>
      <c r="CG95" s="287"/>
      <c r="CH95" s="287"/>
      <c r="CI95" s="287"/>
      <c r="CJ95" s="287"/>
      <c r="CK95" s="287"/>
    </row>
    <row r="96" spans="1:89" s="288" customFormat="1" ht="27" customHeight="1">
      <c r="A96" s="286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  <c r="BD96" s="287"/>
      <c r="BE96" s="287"/>
      <c r="BF96" s="287"/>
      <c r="BG96" s="287"/>
      <c r="BH96" s="287"/>
      <c r="BI96" s="287"/>
      <c r="BJ96" s="287"/>
      <c r="BK96" s="287"/>
      <c r="BL96" s="287"/>
      <c r="BM96" s="287"/>
      <c r="BN96" s="287"/>
      <c r="BO96" s="287"/>
      <c r="BP96" s="287"/>
      <c r="BQ96" s="287"/>
      <c r="BR96" s="287"/>
      <c r="BS96" s="287"/>
      <c r="BT96" s="287"/>
      <c r="BU96" s="287"/>
      <c r="BV96" s="287"/>
      <c r="BW96" s="287"/>
      <c r="BX96" s="287"/>
      <c r="BY96" s="287"/>
      <c r="BZ96" s="287"/>
      <c r="CA96" s="287"/>
      <c r="CB96" s="287"/>
      <c r="CC96" s="287"/>
      <c r="CD96" s="287"/>
      <c r="CE96" s="287"/>
      <c r="CF96" s="287"/>
      <c r="CG96" s="287"/>
      <c r="CH96" s="287"/>
      <c r="CI96" s="287"/>
      <c r="CJ96" s="287"/>
      <c r="CK96" s="287"/>
    </row>
    <row r="97" spans="1:89" s="288" customFormat="1" ht="27" customHeight="1">
      <c r="A97" s="286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  <c r="BD97" s="287"/>
      <c r="BE97" s="287"/>
      <c r="BF97" s="287"/>
      <c r="BG97" s="287"/>
      <c r="BH97" s="287"/>
      <c r="BI97" s="287"/>
      <c r="BJ97" s="287"/>
      <c r="BK97" s="287"/>
      <c r="BL97" s="287"/>
      <c r="BM97" s="287"/>
      <c r="BN97" s="287"/>
      <c r="BO97" s="287"/>
      <c r="BP97" s="287"/>
      <c r="BQ97" s="287"/>
      <c r="BR97" s="287"/>
      <c r="BS97" s="287"/>
      <c r="BT97" s="287"/>
      <c r="BU97" s="287"/>
      <c r="BV97" s="287"/>
      <c r="BW97" s="287"/>
      <c r="BX97" s="287"/>
      <c r="BY97" s="287"/>
      <c r="BZ97" s="287"/>
      <c r="CA97" s="287"/>
      <c r="CB97" s="287"/>
      <c r="CC97" s="287"/>
      <c r="CD97" s="287"/>
      <c r="CE97" s="287"/>
      <c r="CF97" s="287"/>
      <c r="CG97" s="287"/>
      <c r="CH97" s="287"/>
      <c r="CI97" s="287"/>
      <c r="CJ97" s="287"/>
      <c r="CK97" s="287"/>
    </row>
    <row r="98" spans="1:89" s="288" customFormat="1" ht="27" customHeight="1">
      <c r="A98" s="286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  <c r="BD98" s="287"/>
      <c r="BE98" s="287"/>
      <c r="BF98" s="287"/>
      <c r="BG98" s="287"/>
      <c r="BH98" s="287"/>
      <c r="BI98" s="287"/>
      <c r="BJ98" s="287"/>
      <c r="BK98" s="287"/>
      <c r="BL98" s="287"/>
      <c r="BM98" s="287"/>
      <c r="BN98" s="287"/>
      <c r="BO98" s="287"/>
      <c r="BP98" s="287"/>
      <c r="BQ98" s="287"/>
      <c r="BR98" s="287"/>
      <c r="BS98" s="287"/>
      <c r="BT98" s="287"/>
      <c r="BU98" s="287"/>
      <c r="BV98" s="287"/>
      <c r="BW98" s="287"/>
      <c r="BX98" s="287"/>
      <c r="BY98" s="287"/>
      <c r="BZ98" s="287"/>
      <c r="CA98" s="287"/>
      <c r="CB98" s="287"/>
      <c r="CC98" s="287"/>
      <c r="CD98" s="287"/>
      <c r="CE98" s="287"/>
      <c r="CF98" s="287"/>
      <c r="CG98" s="287"/>
      <c r="CH98" s="287"/>
      <c r="CI98" s="287"/>
      <c r="CJ98" s="287"/>
      <c r="CK98" s="287"/>
    </row>
    <row r="99" spans="1:89" s="288" customFormat="1" ht="27" customHeight="1">
      <c r="A99" s="286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  <c r="BD99" s="287"/>
      <c r="BE99" s="287"/>
      <c r="BF99" s="287"/>
      <c r="BG99" s="287"/>
      <c r="BH99" s="287"/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  <c r="BY99" s="287"/>
      <c r="BZ99" s="287"/>
      <c r="CA99" s="287"/>
      <c r="CB99" s="287"/>
      <c r="CC99" s="287"/>
      <c r="CD99" s="287"/>
      <c r="CE99" s="287"/>
      <c r="CF99" s="287"/>
      <c r="CG99" s="287"/>
      <c r="CH99" s="287"/>
      <c r="CI99" s="287"/>
      <c r="CJ99" s="287"/>
      <c r="CK99" s="287"/>
    </row>
    <row r="100" spans="1:89" s="292" customFormat="1" ht="27" customHeight="1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90"/>
      <c r="Q100" s="290"/>
      <c r="R100" s="290"/>
      <c r="S100" s="290"/>
      <c r="T100" s="290"/>
      <c r="U100" s="290"/>
      <c r="V100" s="290"/>
      <c r="W100" s="290"/>
      <c r="X100" s="290"/>
      <c r="Y100" s="290"/>
      <c r="Z100" s="290"/>
      <c r="AA100" s="290"/>
      <c r="AB100" s="290"/>
      <c r="AC100" s="290"/>
      <c r="AD100" s="290"/>
      <c r="AE100" s="290"/>
      <c r="AF100" s="290"/>
      <c r="AG100" s="290"/>
      <c r="AH100" s="290"/>
      <c r="AI100" s="290"/>
      <c r="AJ100" s="290"/>
      <c r="AK100" s="290"/>
      <c r="AL100" s="290"/>
      <c r="AM100" s="290"/>
      <c r="AN100" s="290"/>
      <c r="AO100" s="290"/>
      <c r="AP100" s="290"/>
      <c r="AQ100" s="290"/>
      <c r="AR100" s="290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291"/>
      <c r="BI100" s="291"/>
      <c r="BJ100" s="291"/>
      <c r="BK100" s="291"/>
      <c r="BL100" s="291"/>
      <c r="BM100" s="291"/>
      <c r="BN100" s="291"/>
      <c r="BO100" s="291"/>
      <c r="BP100" s="291"/>
      <c r="BQ100" s="291"/>
      <c r="BR100" s="291"/>
      <c r="BS100" s="291"/>
      <c r="BT100" s="291"/>
      <c r="BU100" s="291"/>
      <c r="BV100" s="291"/>
      <c r="BW100" s="291"/>
      <c r="BX100" s="291"/>
      <c r="BY100" s="291"/>
      <c r="BZ100" s="291"/>
      <c r="CA100" s="291"/>
      <c r="CB100" s="291"/>
      <c r="CC100" s="291"/>
      <c r="CD100" s="291"/>
      <c r="CE100" s="291"/>
      <c r="CF100" s="291"/>
      <c r="CG100" s="291"/>
      <c r="CH100" s="291"/>
      <c r="CI100" s="291"/>
      <c r="CJ100" s="291"/>
      <c r="CK100" s="291"/>
    </row>
    <row r="101" spans="1:89" s="292" customFormat="1" ht="27" customHeight="1">
      <c r="A101" s="289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  <c r="AR101" s="290"/>
      <c r="AS101" s="291"/>
      <c r="AT101" s="291"/>
      <c r="AU101" s="291"/>
      <c r="AV101" s="291"/>
      <c r="AW101" s="291"/>
      <c r="AX101" s="291"/>
      <c r="AY101" s="291"/>
      <c r="AZ101" s="291"/>
      <c r="BA101" s="291"/>
      <c r="BB101" s="291"/>
      <c r="BC101" s="291"/>
      <c r="BD101" s="291"/>
      <c r="BE101" s="291"/>
      <c r="BF101" s="291"/>
      <c r="BG101" s="291"/>
      <c r="BH101" s="291"/>
      <c r="BI101" s="291"/>
      <c r="BJ101" s="291"/>
      <c r="BK101" s="291"/>
      <c r="BL101" s="291"/>
      <c r="BM101" s="291"/>
      <c r="BN101" s="291"/>
      <c r="BO101" s="291"/>
      <c r="BP101" s="291"/>
      <c r="BQ101" s="291"/>
      <c r="BR101" s="291"/>
      <c r="BS101" s="291"/>
      <c r="BT101" s="291"/>
      <c r="BU101" s="291"/>
      <c r="BV101" s="291"/>
      <c r="BW101" s="291"/>
      <c r="BX101" s="291"/>
      <c r="BY101" s="291"/>
      <c r="BZ101" s="291"/>
      <c r="CA101" s="291"/>
      <c r="CB101" s="291"/>
      <c r="CC101" s="291"/>
      <c r="CD101" s="291"/>
      <c r="CE101" s="291"/>
      <c r="CF101" s="291"/>
      <c r="CG101" s="291"/>
      <c r="CH101" s="291"/>
      <c r="CI101" s="291"/>
      <c r="CJ101" s="291"/>
      <c r="CK101" s="291"/>
    </row>
    <row r="102" spans="1:89" s="292" customFormat="1" ht="27" customHeight="1">
      <c r="A102" s="289"/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90"/>
      <c r="AB102" s="290"/>
      <c r="AC102" s="290"/>
      <c r="AD102" s="290"/>
      <c r="AE102" s="290"/>
      <c r="AF102" s="290"/>
      <c r="AG102" s="290"/>
      <c r="AH102" s="290"/>
      <c r="AI102" s="290"/>
      <c r="AJ102" s="290"/>
      <c r="AK102" s="290"/>
      <c r="AL102" s="290"/>
      <c r="AM102" s="290"/>
      <c r="AN102" s="290"/>
      <c r="AO102" s="290"/>
      <c r="AP102" s="290"/>
      <c r="AQ102" s="290"/>
      <c r="AR102" s="290"/>
      <c r="AS102" s="291"/>
      <c r="AT102" s="291"/>
      <c r="AU102" s="291"/>
      <c r="AV102" s="291"/>
      <c r="AW102" s="291"/>
      <c r="AX102" s="291"/>
      <c r="AY102" s="291"/>
      <c r="AZ102" s="291"/>
      <c r="BA102" s="291"/>
      <c r="BB102" s="291"/>
      <c r="BC102" s="291"/>
      <c r="BD102" s="291"/>
      <c r="BE102" s="291"/>
      <c r="BF102" s="291"/>
      <c r="BG102" s="291"/>
      <c r="BH102" s="291"/>
      <c r="BI102" s="291"/>
      <c r="BJ102" s="291"/>
      <c r="BK102" s="291"/>
      <c r="BL102" s="291"/>
      <c r="BM102" s="291"/>
      <c r="BN102" s="291"/>
      <c r="BO102" s="291"/>
      <c r="BP102" s="291"/>
      <c r="BQ102" s="291"/>
      <c r="BR102" s="291"/>
      <c r="BS102" s="291"/>
      <c r="BT102" s="291"/>
      <c r="BU102" s="291"/>
      <c r="BV102" s="291"/>
      <c r="BW102" s="291"/>
      <c r="BX102" s="291"/>
      <c r="BY102" s="291"/>
      <c r="BZ102" s="291"/>
      <c r="CA102" s="291"/>
      <c r="CB102" s="291"/>
      <c r="CC102" s="291"/>
      <c r="CD102" s="291"/>
      <c r="CE102" s="291"/>
      <c r="CF102" s="291"/>
      <c r="CG102" s="291"/>
      <c r="CH102" s="291"/>
      <c r="CI102" s="291"/>
      <c r="CJ102" s="291"/>
      <c r="CK102" s="291"/>
    </row>
    <row r="103" spans="1:89" s="292" customFormat="1" ht="27" customHeight="1">
      <c r="A103" s="289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90"/>
      <c r="AB103" s="290"/>
      <c r="AC103" s="290"/>
      <c r="AD103" s="290"/>
      <c r="AE103" s="290"/>
      <c r="AF103" s="290"/>
      <c r="AG103" s="290"/>
      <c r="AH103" s="290"/>
      <c r="AI103" s="290"/>
      <c r="AJ103" s="290"/>
      <c r="AK103" s="290"/>
      <c r="AL103" s="290"/>
      <c r="AM103" s="290"/>
      <c r="AN103" s="290"/>
      <c r="AO103" s="290"/>
      <c r="AP103" s="290"/>
      <c r="AQ103" s="290"/>
      <c r="AR103" s="290"/>
      <c r="AS103" s="291"/>
      <c r="AT103" s="291"/>
      <c r="AU103" s="291"/>
      <c r="AV103" s="291"/>
      <c r="AW103" s="291"/>
      <c r="AX103" s="291"/>
      <c r="AY103" s="291"/>
      <c r="AZ103" s="291"/>
      <c r="BA103" s="291"/>
      <c r="BB103" s="291"/>
      <c r="BC103" s="291"/>
      <c r="BD103" s="291"/>
      <c r="BE103" s="291"/>
      <c r="BF103" s="291"/>
      <c r="BG103" s="291"/>
      <c r="BH103" s="291"/>
      <c r="BI103" s="291"/>
      <c r="BJ103" s="291"/>
      <c r="BK103" s="291"/>
      <c r="BL103" s="291"/>
      <c r="BM103" s="291"/>
      <c r="BN103" s="291"/>
      <c r="BO103" s="291"/>
      <c r="BP103" s="291"/>
      <c r="BQ103" s="291"/>
      <c r="BR103" s="291"/>
      <c r="BS103" s="291"/>
      <c r="BT103" s="291"/>
      <c r="BU103" s="291"/>
      <c r="BV103" s="291"/>
      <c r="BW103" s="291"/>
      <c r="BX103" s="291"/>
      <c r="BY103" s="291"/>
      <c r="BZ103" s="291"/>
      <c r="CA103" s="291"/>
      <c r="CB103" s="291"/>
      <c r="CC103" s="291"/>
      <c r="CD103" s="291"/>
      <c r="CE103" s="291"/>
      <c r="CF103" s="291"/>
      <c r="CG103" s="291"/>
      <c r="CH103" s="291"/>
      <c r="CI103" s="291"/>
      <c r="CJ103" s="291"/>
      <c r="CK103" s="291"/>
    </row>
    <row r="104" spans="1:89" s="292" customFormat="1" ht="27" customHeight="1">
      <c r="A104" s="289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0"/>
      <c r="P104" s="290"/>
      <c r="Q104" s="290"/>
      <c r="R104" s="290"/>
      <c r="S104" s="290"/>
      <c r="T104" s="290"/>
      <c r="U104" s="290"/>
      <c r="V104" s="290"/>
      <c r="W104" s="290"/>
      <c r="X104" s="290"/>
      <c r="Y104" s="290"/>
      <c r="Z104" s="290"/>
      <c r="AA104" s="290"/>
      <c r="AB104" s="290"/>
      <c r="AC104" s="290"/>
      <c r="AD104" s="290"/>
      <c r="AE104" s="290"/>
      <c r="AF104" s="290"/>
      <c r="AG104" s="290"/>
      <c r="AH104" s="290"/>
      <c r="AI104" s="290"/>
      <c r="AJ104" s="290"/>
      <c r="AK104" s="290"/>
      <c r="AL104" s="290"/>
      <c r="AM104" s="290"/>
      <c r="AN104" s="290"/>
      <c r="AO104" s="290"/>
      <c r="AP104" s="290"/>
      <c r="AQ104" s="290"/>
      <c r="AR104" s="290"/>
      <c r="AS104" s="291"/>
      <c r="AT104" s="291"/>
      <c r="AU104" s="291"/>
      <c r="AV104" s="291"/>
      <c r="AW104" s="291"/>
      <c r="AX104" s="291"/>
      <c r="AY104" s="291"/>
      <c r="AZ104" s="291"/>
      <c r="BA104" s="291"/>
      <c r="BB104" s="291"/>
      <c r="BC104" s="291"/>
      <c r="BD104" s="291"/>
      <c r="BE104" s="291"/>
      <c r="BF104" s="291"/>
      <c r="BG104" s="291"/>
      <c r="BH104" s="291"/>
      <c r="BI104" s="291"/>
      <c r="BJ104" s="291"/>
      <c r="BK104" s="291"/>
      <c r="BL104" s="291"/>
      <c r="BM104" s="291"/>
      <c r="BN104" s="291"/>
      <c r="BO104" s="291"/>
      <c r="BP104" s="291"/>
      <c r="BQ104" s="291"/>
      <c r="BR104" s="291"/>
      <c r="BS104" s="291"/>
      <c r="BT104" s="291"/>
      <c r="BU104" s="291"/>
      <c r="BV104" s="291"/>
      <c r="BW104" s="291"/>
      <c r="BX104" s="291"/>
      <c r="BY104" s="291"/>
      <c r="BZ104" s="291"/>
      <c r="CA104" s="291"/>
      <c r="CB104" s="291"/>
      <c r="CC104" s="291"/>
      <c r="CD104" s="291"/>
      <c r="CE104" s="291"/>
      <c r="CF104" s="291"/>
      <c r="CG104" s="291"/>
      <c r="CH104" s="291"/>
      <c r="CI104" s="291"/>
      <c r="CJ104" s="291"/>
      <c r="CK104" s="291"/>
    </row>
    <row r="105" spans="1:89" s="292" customFormat="1" ht="27" customHeight="1">
      <c r="A105" s="289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90"/>
      <c r="AB105" s="290"/>
      <c r="AC105" s="290"/>
      <c r="AD105" s="290"/>
      <c r="AE105" s="290"/>
      <c r="AF105" s="290"/>
      <c r="AG105" s="290"/>
      <c r="AH105" s="290"/>
      <c r="AI105" s="290"/>
      <c r="AJ105" s="290"/>
      <c r="AK105" s="290"/>
      <c r="AL105" s="290"/>
      <c r="AM105" s="290"/>
      <c r="AN105" s="290"/>
      <c r="AO105" s="290"/>
      <c r="AP105" s="290"/>
      <c r="AQ105" s="290"/>
      <c r="AR105" s="290"/>
      <c r="AS105" s="291"/>
      <c r="AT105" s="291"/>
      <c r="AU105" s="291"/>
      <c r="AV105" s="291"/>
      <c r="AW105" s="291"/>
      <c r="AX105" s="291"/>
      <c r="AY105" s="291"/>
      <c r="AZ105" s="291"/>
      <c r="BA105" s="291"/>
      <c r="BB105" s="291"/>
      <c r="BC105" s="291"/>
      <c r="BD105" s="291"/>
      <c r="BE105" s="291"/>
      <c r="BF105" s="291"/>
      <c r="BG105" s="291"/>
      <c r="BH105" s="291"/>
      <c r="BI105" s="291"/>
      <c r="BJ105" s="291"/>
      <c r="BK105" s="291"/>
      <c r="BL105" s="291"/>
      <c r="BM105" s="291"/>
      <c r="BN105" s="291"/>
      <c r="BO105" s="291"/>
      <c r="BP105" s="291"/>
      <c r="BQ105" s="291"/>
      <c r="BR105" s="291"/>
      <c r="BS105" s="291"/>
      <c r="BT105" s="291"/>
      <c r="BU105" s="291"/>
      <c r="BV105" s="291"/>
      <c r="BW105" s="291"/>
      <c r="BX105" s="291"/>
      <c r="BY105" s="291"/>
      <c r="BZ105" s="291"/>
      <c r="CA105" s="291"/>
      <c r="CB105" s="291"/>
      <c r="CC105" s="291"/>
      <c r="CD105" s="291"/>
      <c r="CE105" s="291"/>
      <c r="CF105" s="291"/>
      <c r="CG105" s="291"/>
      <c r="CH105" s="291"/>
      <c r="CI105" s="291"/>
      <c r="CJ105" s="291"/>
      <c r="CK105" s="291"/>
    </row>
  </sheetData>
  <mergeCells count="205">
    <mergeCell ref="B9:AO9"/>
    <mergeCell ref="AD11:AI11"/>
    <mergeCell ref="AF35:AJ35"/>
    <mergeCell ref="AL35:AP35"/>
    <mergeCell ref="B39:F40"/>
    <mergeCell ref="G39:M40"/>
    <mergeCell ref="N39:S40"/>
    <mergeCell ref="T39:X40"/>
    <mergeCell ref="AG39:AJ39"/>
    <mergeCell ref="AK39:AR40"/>
    <mergeCell ref="Y40:AB40"/>
    <mergeCell ref="AC40:AF40"/>
    <mergeCell ref="AG40:AJ40"/>
    <mergeCell ref="B41:F41"/>
    <mergeCell ref="G41:M41"/>
    <mergeCell ref="N41:S41"/>
    <mergeCell ref="T41:X41"/>
    <mergeCell ref="Y41:AB41"/>
    <mergeCell ref="AC41:AF41"/>
    <mergeCell ref="AG41:AJ41"/>
    <mergeCell ref="AK41:AR41"/>
    <mergeCell ref="B42:F42"/>
    <mergeCell ref="G42:M42"/>
    <mergeCell ref="N42:S42"/>
    <mergeCell ref="T42:X42"/>
    <mergeCell ref="Y42:AB42"/>
    <mergeCell ref="AC42:AF42"/>
    <mergeCell ref="AG42:AJ42"/>
    <mergeCell ref="AK42:AR42"/>
    <mergeCell ref="AG43:AJ43"/>
    <mergeCell ref="AK43:AR43"/>
    <mergeCell ref="B44:F44"/>
    <mergeCell ref="G44:M44"/>
    <mergeCell ref="N44:S44"/>
    <mergeCell ref="T44:X44"/>
    <mergeCell ref="Y44:AB44"/>
    <mergeCell ref="AC44:AF44"/>
    <mergeCell ref="AG44:AJ44"/>
    <mergeCell ref="AK44:AR44"/>
    <mergeCell ref="B43:F43"/>
    <mergeCell ref="G43:M43"/>
    <mergeCell ref="N43:S43"/>
    <mergeCell ref="T43:X43"/>
    <mergeCell ref="Y43:AB43"/>
    <mergeCell ref="AC43:AF43"/>
    <mergeCell ref="B47:F47"/>
    <mergeCell ref="G47:M47"/>
    <mergeCell ref="N47:S47"/>
    <mergeCell ref="T47:X47"/>
    <mergeCell ref="Y47:AB47"/>
    <mergeCell ref="AC47:AF47"/>
    <mergeCell ref="AG45:AJ45"/>
    <mergeCell ref="AK45:AR45"/>
    <mergeCell ref="B46:F46"/>
    <mergeCell ref="G46:M46"/>
    <mergeCell ref="N46:S46"/>
    <mergeCell ref="T46:X46"/>
    <mergeCell ref="Y46:AB46"/>
    <mergeCell ref="AC46:AF46"/>
    <mergeCell ref="AG46:AJ46"/>
    <mergeCell ref="AK46:AR46"/>
    <mergeCell ref="B45:F45"/>
    <mergeCell ref="G45:M45"/>
    <mergeCell ref="N45:S45"/>
    <mergeCell ref="T45:X45"/>
    <mergeCell ref="Y45:AB45"/>
    <mergeCell ref="AC45:AF45"/>
    <mergeCell ref="AG47:AJ47"/>
    <mergeCell ref="AK47:AR47"/>
    <mergeCell ref="G48:M48"/>
    <mergeCell ref="N48:S48"/>
    <mergeCell ref="T48:X48"/>
    <mergeCell ref="Y48:AB48"/>
    <mergeCell ref="AC48:AF48"/>
    <mergeCell ref="AG48:AJ48"/>
    <mergeCell ref="AK48:AR48"/>
    <mergeCell ref="AK49:AR49"/>
    <mergeCell ref="G50:M50"/>
    <mergeCell ref="N50:S50"/>
    <mergeCell ref="T50:X50"/>
    <mergeCell ref="Y50:AB50"/>
    <mergeCell ref="AC50:AF50"/>
    <mergeCell ref="AG50:AJ50"/>
    <mergeCell ref="AK50:AR50"/>
    <mergeCell ref="G49:M49"/>
    <mergeCell ref="N49:S49"/>
    <mergeCell ref="T49:X49"/>
    <mergeCell ref="Y49:AB49"/>
    <mergeCell ref="AC49:AF49"/>
    <mergeCell ref="AG49:AJ49"/>
    <mergeCell ref="AK51:AR51"/>
    <mergeCell ref="B52:F52"/>
    <mergeCell ref="G52:M52"/>
    <mergeCell ref="N52:S52"/>
    <mergeCell ref="T52:X52"/>
    <mergeCell ref="Y52:AB52"/>
    <mergeCell ref="AC52:AF52"/>
    <mergeCell ref="AG52:AJ52"/>
    <mergeCell ref="AK52:AR52"/>
    <mergeCell ref="G51:M51"/>
    <mergeCell ref="N51:S51"/>
    <mergeCell ref="T51:X51"/>
    <mergeCell ref="Y51:AB51"/>
    <mergeCell ref="AC51:AF51"/>
    <mergeCell ref="AG51:AJ51"/>
    <mergeCell ref="AG53:AJ53"/>
    <mergeCell ref="AK53:AR53"/>
    <mergeCell ref="B54:F54"/>
    <mergeCell ref="G54:M54"/>
    <mergeCell ref="N54:S54"/>
    <mergeCell ref="T54:X54"/>
    <mergeCell ref="Y54:AB54"/>
    <mergeCell ref="AC54:AF54"/>
    <mergeCell ref="AG54:AJ54"/>
    <mergeCell ref="AK54:AR54"/>
    <mergeCell ref="B53:F53"/>
    <mergeCell ref="G53:M53"/>
    <mergeCell ref="N53:S53"/>
    <mergeCell ref="T53:X53"/>
    <mergeCell ref="Y53:AB53"/>
    <mergeCell ref="AC53:AF53"/>
    <mergeCell ref="AG55:AJ55"/>
    <mergeCell ref="AK55:AR55"/>
    <mergeCell ref="B56:F56"/>
    <mergeCell ref="G56:M56"/>
    <mergeCell ref="N56:S56"/>
    <mergeCell ref="T56:X56"/>
    <mergeCell ref="Y56:AB56"/>
    <mergeCell ref="AC56:AF56"/>
    <mergeCell ref="AG56:AJ56"/>
    <mergeCell ref="AK56:AR56"/>
    <mergeCell ref="B55:F55"/>
    <mergeCell ref="G55:M55"/>
    <mergeCell ref="N55:S55"/>
    <mergeCell ref="T55:X55"/>
    <mergeCell ref="Y55:AB55"/>
    <mergeCell ref="AC55:AF55"/>
    <mergeCell ref="AG57:AJ57"/>
    <mergeCell ref="AK57:AR57"/>
    <mergeCell ref="B58:F58"/>
    <mergeCell ref="G58:M58"/>
    <mergeCell ref="N58:S58"/>
    <mergeCell ref="T58:X58"/>
    <mergeCell ref="Y58:AB58"/>
    <mergeCell ref="AC58:AF58"/>
    <mergeCell ref="AG58:AJ58"/>
    <mergeCell ref="AK58:AR58"/>
    <mergeCell ref="B57:F57"/>
    <mergeCell ref="G57:M57"/>
    <mergeCell ref="N57:S57"/>
    <mergeCell ref="T57:X57"/>
    <mergeCell ref="Y57:AB57"/>
    <mergeCell ref="AC57:AF57"/>
    <mergeCell ref="AG59:AJ59"/>
    <mergeCell ref="AK59:AR59"/>
    <mergeCell ref="B60:F60"/>
    <mergeCell ref="G60:M60"/>
    <mergeCell ref="N60:S60"/>
    <mergeCell ref="T60:X60"/>
    <mergeCell ref="Y60:AB60"/>
    <mergeCell ref="AC60:AF60"/>
    <mergeCell ref="AG60:AJ60"/>
    <mergeCell ref="AK60:AR60"/>
    <mergeCell ref="B59:F59"/>
    <mergeCell ref="G59:M59"/>
    <mergeCell ref="N59:S59"/>
    <mergeCell ref="T59:X59"/>
    <mergeCell ref="Y59:AB59"/>
    <mergeCell ref="AC59:AF59"/>
    <mergeCell ref="AG61:AJ61"/>
    <mergeCell ref="AK61:AR61"/>
    <mergeCell ref="B62:F62"/>
    <mergeCell ref="G62:M62"/>
    <mergeCell ref="N62:S62"/>
    <mergeCell ref="T62:X62"/>
    <mergeCell ref="Y62:AB62"/>
    <mergeCell ref="AC62:AF62"/>
    <mergeCell ref="AG62:AJ62"/>
    <mergeCell ref="AK62:AR62"/>
    <mergeCell ref="B61:F61"/>
    <mergeCell ref="G61:M61"/>
    <mergeCell ref="N61:S61"/>
    <mergeCell ref="T61:X61"/>
    <mergeCell ref="Y61:AB61"/>
    <mergeCell ref="AC61:AF61"/>
    <mergeCell ref="B80:K80"/>
    <mergeCell ref="R80:AB80"/>
    <mergeCell ref="AI80:AR80"/>
    <mergeCell ref="B82:K82"/>
    <mergeCell ref="P82:AD82"/>
    <mergeCell ref="AJ82:AR82"/>
    <mergeCell ref="AK63:AR63"/>
    <mergeCell ref="B72:AR72"/>
    <mergeCell ref="B78:K78"/>
    <mergeCell ref="R78:AB78"/>
    <mergeCell ref="AI78:AR78"/>
    <mergeCell ref="B79:K79"/>
    <mergeCell ref="R79:AB79"/>
    <mergeCell ref="AI79:AR79"/>
    <mergeCell ref="B63:F63"/>
    <mergeCell ref="G63:M63"/>
    <mergeCell ref="N63:S63"/>
    <mergeCell ref="T63:X63"/>
    <mergeCell ref="AC63:AF63"/>
    <mergeCell ref="AG63:AJ6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BTF</vt:lpstr>
      <vt:lpstr>Forecast</vt:lpstr>
      <vt:lpstr>KM Price</vt:lpstr>
      <vt:lpstr>KJ Price</vt:lpstr>
      <vt:lpstr>BTF!Print_Area</vt:lpstr>
      <vt:lpstr>Forecast!Print_Area</vt:lpstr>
      <vt:lpstr>'KJ Price'!Print_Area</vt:lpstr>
      <vt:lpstr>'KM Price'!Print_Area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2018-09-07T00:00:00Z</cp:lastPrinted>
  <dcterms:created xsi:type="dcterms:W3CDTF">2016-09-01T00:00:56Z</dcterms:created>
  <dcterms:modified xsi:type="dcterms:W3CDTF">2018-09-07T00:00:11Z</dcterms:modified>
</cp:coreProperties>
</file>