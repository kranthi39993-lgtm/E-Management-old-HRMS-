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5" i="2" l="1"/>
  <c r="AI33" i="2"/>
  <c r="V33" i="2"/>
  <c r="J33" i="2" l="1"/>
</calcChain>
</file>

<file path=xl/sharedStrings.xml><?xml version="1.0" encoding="utf-8"?>
<sst xmlns="http://schemas.openxmlformats.org/spreadsheetml/2006/main" count="102" uniqueCount="71">
  <si>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</si>
  <si>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</si>
  <si>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</si>
  <si>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</si>
  <si>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</si>
  <si>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</si>
  <si>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</si>
  <si>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</si>
  <si>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</si>
  <si>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</si>
  <si>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</si>
  <si>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</si>
  <si>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</si>
  <si>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</si>
  <si>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</si>
  <si>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</si>
  <si>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</si>
  <si>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</si>
  <si>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</si>
  <si>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</si>
  <si>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</si>
  <si>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</si>
  <si>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</si>
  <si>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</si>
  <si>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</si>
  <si>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</si>
  <si>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</si>
  <si>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</si>
  <si>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</si>
  <si>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</si>
  <si>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Mr.Logeswaran [QA Mgr.]</t>
  </si>
  <si>
    <t>Kamaya Electric [M] Sdn.Bhd</t>
  </si>
  <si>
    <t>Ms. Umai [IQA]</t>
  </si>
  <si>
    <t>Ms. Emily [Purchasing]</t>
  </si>
  <si>
    <t>Mr. Azman [Production]</t>
  </si>
  <si>
    <t>Crack CV102685/190418</t>
  </si>
  <si>
    <t>KA0201 status</t>
  </si>
  <si>
    <t>Order forecast</t>
  </si>
  <si>
    <t>New Plant status</t>
  </si>
  <si>
    <t>Original all drawing [red stamp/signature]</t>
  </si>
  <si>
    <t>Glass gauge</t>
  </si>
  <si>
    <t>20-30K/lot quantity</t>
  </si>
  <si>
    <t>CRACK CV102685/190418</t>
  </si>
  <si>
    <t>IQA found high% of crack maximum 48/315 15% after color 4 coners. Base on MARUWA master carton shown only 0.3% crack.</t>
  </si>
  <si>
    <t xml:space="preserve">MARUWA explained that transportation cause these crack even though KAMAYA not found any damage on grey box. MARUWA </t>
  </si>
  <si>
    <t>agreed to do sorting from 2-4' May to support KAMAYA production line.</t>
  </si>
  <si>
    <t>874M</t>
  </si>
  <si>
    <t>3080M</t>
  </si>
  <si>
    <t>1598M</t>
  </si>
  <si>
    <t>YA2010</t>
  </si>
  <si>
    <t>CV102685/190418</t>
  </si>
  <si>
    <t>Total</t>
  </si>
  <si>
    <t>ORDER FORECAST</t>
  </si>
  <si>
    <t xml:space="preserve">KAMAYA forecast shown increase on M-Type 874M from 500K to 600K and YA-Type YA2010 50K to 250K. I highlight again </t>
  </si>
  <si>
    <t>KAMAYA allocation only 1,000K and MARUWA not promise but will ship if any reduction from other customer.</t>
  </si>
  <si>
    <t>Chip array product 1632AM [HR75ARW], T1608-4AML [R1532LRW] and T1005-4AMM [R1020MRW] 2nd order in May and</t>
  </si>
  <si>
    <t>expected to continue. KAMAYA had agreed all rank shipment with 1K/rank and 100/105pcs frequency.</t>
  </si>
  <si>
    <t>EXPECTION PLAN</t>
  </si>
  <si>
    <t>New plant 3 completed and Plant 4 expected to run small quantity in Jun. Current produce 7.7B will increae to 20B by 2019.</t>
  </si>
  <si>
    <t>Main product KA0201 maximum usage will be 1,000K/month. Big size YA-type also expected to increase.</t>
  </si>
  <si>
    <t>OTHERS</t>
  </si>
  <si>
    <t>I had mentioned that there will be new price increase in Jul shipment.</t>
  </si>
  <si>
    <t>KA0201 MARUWA sample have not completely finish yet due to production high order. Mr. Azman promise to insert and complete</t>
  </si>
  <si>
    <t>the evaluation so KAMAYA can start try small order ASAP.</t>
  </si>
  <si>
    <t>Ms. Umai said KAMAYA will start to do warp inspection with glass gauge. I agreed to suply glass gauge.</t>
  </si>
  <si>
    <t>CV102677/190418</t>
  </si>
  <si>
    <t>CV102714/250418</t>
  </si>
  <si>
    <t>T1608-4AML</t>
  </si>
  <si>
    <t>1632AM</t>
  </si>
  <si>
    <t>Grand Total</t>
  </si>
  <si>
    <t>Master packing qty listto match with PO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</si>
</sst>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PMincho"/>
      <family val="1"/>
    </font>
    <font>
      <sz val="12"/>
      <color theme="1"/>
      <name val="MS PMincho"/>
      <family val="1"/>
    </font>
    <font>
      <b/>
      <u val="double"/>
      <sz val="36"/>
      <color theme="1"/>
      <name val="MS PMincho"/>
      <family val="1"/>
    </font>
    <font>
      <b/>
      <sz val="12"/>
      <name val="MS PMincho"/>
      <family val="1"/>
    </font>
    <font>
      <b/>
      <u val="double"/>
      <sz val="12"/>
      <name val="MS PMincho"/>
      <family val="1"/>
    </font>
    <font>
      <b/>
      <u/>
      <sz val="12"/>
      <name val="MS PMincho"/>
      <family val="1"/>
    </font>
    <font>
      <b/>
      <u val="double"/>
      <sz val="12"/>
      <color theme="1"/>
      <name val="MS PMincho"/>
      <family val="1"/>
    </font>
    <font>
      <sz val="12"/>
      <color theme="8"/>
      <name val="MS PMincho"/>
      <family val="1"/>
    </font>
    <font>
      <b/>
      <sz val="20"/>
      <color theme="1"/>
      <name val="MS PMincho"/>
      <family val="1"/>
    </font>
    <font>
      <b/>
      <sz val="12"/>
      <color theme="1"/>
      <name val="MS PMincho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4" xfId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lef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3" fontId="3" fillId="3" borderId="0" xfId="1" applyNumberFormat="1" applyFont="1" applyFill="1" applyBorder="1" applyAlignment="1">
      <alignment horizontal="right" vertical="center"/>
    </xf>
    <xf numFmtId="0" fontId="3" fillId="3" borderId="9" xfId="1" applyFont="1" applyFill="1" applyBorder="1">
      <alignment vertical="center"/>
    </xf>
    <xf numFmtId="0" fontId="3" fillId="3" borderId="10" xfId="1" applyFont="1" applyFill="1" applyBorder="1">
      <alignment vertical="center"/>
    </xf>
    <xf numFmtId="3" fontId="3" fillId="3" borderId="10" xfId="1" applyNumberFormat="1" applyFont="1" applyFill="1" applyBorder="1" applyAlignment="1">
      <alignment horizontal="right" vertical="center"/>
    </xf>
    <xf numFmtId="3" fontId="3" fillId="3" borderId="11" xfId="1" applyNumberFormat="1" applyFont="1" applyFill="1" applyBorder="1" applyAlignment="1">
      <alignment horizontal="right" vertical="center"/>
    </xf>
    <xf numFmtId="0" fontId="11" fillId="3" borderId="5" xfId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4"/>
  <sheetViews>
    <sheetView tabSelected="1" topLeftCell="A58" zoomScale="125" zoomScaleNormal="125" workbookViewId="0">
      <selection activeCell="AL69" sqref="AL69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9" t="s">
        <v>8</v>
      </c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80" t="s">
        <v>11</v>
      </c>
      <c r="C5" s="80"/>
      <c r="D5" s="80"/>
      <c r="E5" s="80"/>
      <c r="F5" s="80"/>
      <c r="G5" s="83">
        <v>43217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2"/>
      <c r="S5" s="54" t="s">
        <v>9</v>
      </c>
      <c r="T5" s="54"/>
      <c r="U5" s="54"/>
      <c r="V5" s="54"/>
      <c r="W5" s="54"/>
      <c r="X5" s="54"/>
      <c r="Y5" s="82" t="s">
        <v>21</v>
      </c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80"/>
      <c r="C6" s="80"/>
      <c r="D6" s="80"/>
      <c r="E6" s="80"/>
      <c r="F6" s="80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2"/>
      <c r="S6" s="57"/>
      <c r="T6" s="57"/>
      <c r="U6" s="57"/>
      <c r="V6" s="57"/>
      <c r="W6" s="57"/>
      <c r="X6" s="57"/>
      <c r="Y6" s="81" t="s">
        <v>20</v>
      </c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59" t="s">
        <v>3</v>
      </c>
      <c r="C7" s="59"/>
      <c r="D7" s="59"/>
      <c r="E7" s="59"/>
      <c r="F7" s="59"/>
      <c r="G7" s="2"/>
      <c r="H7" s="80" t="s">
        <v>17</v>
      </c>
      <c r="I7" s="80"/>
      <c r="J7" s="80"/>
      <c r="K7" s="2"/>
      <c r="L7" s="88" t="s">
        <v>18</v>
      </c>
      <c r="M7" s="88"/>
      <c r="N7" s="88"/>
      <c r="O7" s="2"/>
      <c r="P7" s="2"/>
      <c r="Q7" s="2"/>
      <c r="R7" s="2"/>
      <c r="S7" s="51" t="s">
        <v>10</v>
      </c>
      <c r="T7" s="51"/>
      <c r="U7" s="51"/>
      <c r="V7" s="51"/>
      <c r="W7" s="51"/>
      <c r="X7" s="51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59"/>
      <c r="C8" s="59"/>
      <c r="D8" s="59"/>
      <c r="E8" s="59"/>
      <c r="F8" s="59"/>
      <c r="G8" s="2"/>
      <c r="H8" s="80"/>
      <c r="I8" s="80"/>
      <c r="J8" s="80"/>
      <c r="K8" s="12"/>
      <c r="L8" s="88"/>
      <c r="M8" s="88"/>
      <c r="N8" s="88"/>
      <c r="O8" s="2"/>
      <c r="P8" s="2"/>
      <c r="Q8" s="2"/>
      <c r="R8" s="2"/>
      <c r="S8" s="54"/>
      <c r="T8" s="54"/>
      <c r="U8" s="54"/>
      <c r="V8" s="54"/>
      <c r="W8" s="54"/>
      <c r="X8" s="54"/>
      <c r="Y8" s="85" t="s">
        <v>30</v>
      </c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59"/>
      <c r="C9" s="59"/>
      <c r="D9" s="59"/>
      <c r="E9" s="59"/>
      <c r="F9" s="59"/>
      <c r="G9" s="2"/>
      <c r="H9" s="80"/>
      <c r="I9" s="80"/>
      <c r="J9" s="80"/>
      <c r="K9" s="2"/>
      <c r="L9" s="88"/>
      <c r="M9" s="88"/>
      <c r="N9" s="88"/>
      <c r="O9" s="2"/>
      <c r="P9" s="2"/>
      <c r="Q9" s="2"/>
      <c r="R9" s="2"/>
      <c r="S9" s="57"/>
      <c r="T9" s="57"/>
      <c r="U9" s="57"/>
      <c r="V9" s="57"/>
      <c r="W9" s="57"/>
      <c r="X9" s="57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50" t="s">
        <v>0</v>
      </c>
      <c r="C11" s="51"/>
      <c r="D11" s="51"/>
      <c r="E11" s="51"/>
      <c r="F11" s="51"/>
      <c r="G11" s="70" t="s">
        <v>31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2"/>
      <c r="Z11" s="60" t="s">
        <v>1</v>
      </c>
      <c r="AA11" s="51"/>
      <c r="AB11" s="51"/>
      <c r="AC11" s="51"/>
      <c r="AD11" s="52"/>
      <c r="AE11" s="15" t="s">
        <v>34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53"/>
      <c r="C12" s="54"/>
      <c r="D12" s="54"/>
      <c r="E12" s="54"/>
      <c r="F12" s="54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53"/>
      <c r="AA12" s="54"/>
      <c r="AB12" s="54"/>
      <c r="AC12" s="54"/>
      <c r="AD12" s="55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53"/>
      <c r="C13" s="54"/>
      <c r="D13" s="54"/>
      <c r="E13" s="54"/>
      <c r="F13" s="54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53"/>
      <c r="AA13" s="54"/>
      <c r="AB13" s="54"/>
      <c r="AC13" s="54"/>
      <c r="AD13" s="55"/>
      <c r="AE13" s="19" t="s">
        <v>32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56"/>
      <c r="C14" s="57"/>
      <c r="D14" s="57"/>
      <c r="E14" s="57"/>
      <c r="F14" s="57"/>
      <c r="G14" s="76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8"/>
      <c r="Z14" s="56"/>
      <c r="AA14" s="57"/>
      <c r="AB14" s="57"/>
      <c r="AC14" s="57"/>
      <c r="AD14" s="58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49"/>
      <c r="BF14" s="49"/>
    </row>
    <row r="15" spans="2:66" ht="14.25" customHeight="1">
      <c r="B15" s="50" t="s">
        <v>22</v>
      </c>
      <c r="C15" s="51"/>
      <c r="D15" s="51"/>
      <c r="E15" s="51"/>
      <c r="F15" s="52"/>
      <c r="G15" s="26" t="s">
        <v>23</v>
      </c>
      <c r="H15" s="27" t="s">
        <v>35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1" t="s">
        <v>24</v>
      </c>
      <c r="AA15" s="62"/>
      <c r="AB15" s="62"/>
      <c r="AC15" s="62"/>
      <c r="AD15" s="63"/>
      <c r="AE15" s="28" t="s">
        <v>23</v>
      </c>
      <c r="AF15" s="29" t="s">
        <v>39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49"/>
      <c r="BF15" s="49"/>
    </row>
    <row r="16" spans="2:66">
      <c r="B16" s="53"/>
      <c r="C16" s="54"/>
      <c r="D16" s="54"/>
      <c r="E16" s="54"/>
      <c r="F16" s="55"/>
      <c r="G16" s="2" t="s">
        <v>23</v>
      </c>
      <c r="H16" s="2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4"/>
      <c r="AA16" s="65"/>
      <c r="AB16" s="65"/>
      <c r="AC16" s="65"/>
      <c r="AD16" s="66"/>
      <c r="AE16" s="31" t="s">
        <v>23</v>
      </c>
      <c r="AF16" s="31" t="s">
        <v>40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53"/>
      <c r="C17" s="54"/>
      <c r="D17" s="54"/>
      <c r="E17" s="54"/>
      <c r="F17" s="55"/>
      <c r="G17" s="2" t="s">
        <v>23</v>
      </c>
      <c r="H17" s="33" t="s">
        <v>37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4"/>
      <c r="AA17" s="65"/>
      <c r="AB17" s="65"/>
      <c r="AC17" s="65"/>
      <c r="AD17" s="66"/>
      <c r="AE17" s="31" t="s">
        <v>23</v>
      </c>
      <c r="AF17" s="34" t="s">
        <v>41</v>
      </c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53"/>
      <c r="C18" s="54"/>
      <c r="D18" s="54"/>
      <c r="E18" s="54"/>
      <c r="F18" s="55"/>
      <c r="G18" s="2" t="s">
        <v>23</v>
      </c>
      <c r="H18" s="33" t="s">
        <v>38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64"/>
      <c r="AA18" s="65"/>
      <c r="AB18" s="65"/>
      <c r="AC18" s="65"/>
      <c r="AD18" s="66"/>
      <c r="AE18" s="31" t="s">
        <v>23</v>
      </c>
      <c r="AF18" s="34" t="s">
        <v>70</v>
      </c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53"/>
      <c r="C19" s="54"/>
      <c r="D19" s="54"/>
      <c r="E19" s="54"/>
      <c r="F19" s="55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4"/>
      <c r="AA19" s="65"/>
      <c r="AB19" s="65"/>
      <c r="AC19" s="65"/>
      <c r="AD19" s="66"/>
      <c r="AE19" s="31" t="s">
        <v>23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56"/>
      <c r="C20" s="57"/>
      <c r="D20" s="57"/>
      <c r="E20" s="57"/>
      <c r="F20" s="58"/>
      <c r="G20" s="36" t="s">
        <v>23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67"/>
      <c r="AA20" s="68"/>
      <c r="AB20" s="68"/>
      <c r="AC20" s="68"/>
      <c r="AD20" s="69"/>
      <c r="AE20" s="38" t="s">
        <v>23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53" t="s">
        <v>2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5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94" t="s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 t="s">
        <v>23</v>
      </c>
      <c r="C24" s="2" t="s">
        <v>43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44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 t="s">
        <v>45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50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 t="s">
        <v>65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66</v>
      </c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 t="s">
        <v>69</v>
      </c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 ht="15" customHeight="1">
      <c r="B29" s="41"/>
      <c r="C29" s="2" t="s">
        <v>47</v>
      </c>
      <c r="D29" s="2"/>
      <c r="E29" s="2"/>
      <c r="F29" s="2"/>
      <c r="G29" s="2"/>
      <c r="H29" s="2"/>
      <c r="I29" s="2"/>
      <c r="J29" s="89">
        <v>135000</v>
      </c>
      <c r="K29" s="89"/>
      <c r="L29" s="89"/>
      <c r="M29" s="89"/>
      <c r="N29" s="2"/>
      <c r="O29" s="2" t="s">
        <v>47</v>
      </c>
      <c r="P29" s="2"/>
      <c r="Q29" s="2"/>
      <c r="R29" s="2"/>
      <c r="S29" s="2"/>
      <c r="T29" s="2"/>
      <c r="U29" s="2"/>
      <c r="V29" s="89">
        <v>1500</v>
      </c>
      <c r="W29" s="89"/>
      <c r="X29" s="89"/>
      <c r="Y29" s="89"/>
      <c r="Z29" s="2"/>
      <c r="AA29" s="2"/>
      <c r="AB29" s="2" t="s">
        <v>47</v>
      </c>
      <c r="AC29" s="2"/>
      <c r="AD29" s="2"/>
      <c r="AE29" s="2"/>
      <c r="AF29" s="2"/>
      <c r="AG29" s="8"/>
      <c r="AH29" s="2"/>
      <c r="AI29" s="89">
        <v>15000</v>
      </c>
      <c r="AJ29" s="89"/>
      <c r="AK29" s="89"/>
      <c r="AL29" s="89"/>
      <c r="AM29" s="2"/>
      <c r="AN29" s="2" t="s">
        <v>47</v>
      </c>
      <c r="AO29" s="2"/>
      <c r="AP29" s="2"/>
      <c r="AQ29" s="2"/>
      <c r="AR29" s="2"/>
      <c r="AS29" s="2"/>
      <c r="AT29" s="89">
        <v>151500</v>
      </c>
      <c r="AU29" s="89"/>
      <c r="AV29" s="89"/>
      <c r="AW29" s="89"/>
      <c r="AX29" s="42"/>
    </row>
    <row r="30" spans="2:50">
      <c r="B30" s="41"/>
      <c r="C30" s="2" t="s">
        <v>46</v>
      </c>
      <c r="D30" s="2"/>
      <c r="E30" s="2"/>
      <c r="F30" s="2"/>
      <c r="G30" s="2"/>
      <c r="H30" s="2"/>
      <c r="I30" s="2"/>
      <c r="J30" s="89">
        <v>486000</v>
      </c>
      <c r="K30" s="89"/>
      <c r="L30" s="89"/>
      <c r="M30" s="89"/>
      <c r="N30" s="2"/>
      <c r="O30" s="2" t="s">
        <v>46</v>
      </c>
      <c r="P30" s="2"/>
      <c r="Q30" s="2"/>
      <c r="R30" s="2"/>
      <c r="S30" s="2"/>
      <c r="T30" s="2"/>
      <c r="U30" s="2"/>
      <c r="V30" s="89">
        <v>1500</v>
      </c>
      <c r="W30" s="89"/>
      <c r="X30" s="89"/>
      <c r="Y30" s="89"/>
      <c r="Z30" s="2"/>
      <c r="AA30" s="2"/>
      <c r="AB30" s="2" t="s">
        <v>46</v>
      </c>
      <c r="AC30" s="2"/>
      <c r="AD30" s="2"/>
      <c r="AE30" s="2"/>
      <c r="AF30" s="2"/>
      <c r="AG30" s="8"/>
      <c r="AH30" s="2"/>
      <c r="AI30" s="89">
        <v>16500</v>
      </c>
      <c r="AJ30" s="89"/>
      <c r="AK30" s="89"/>
      <c r="AL30" s="89"/>
      <c r="AM30" s="2"/>
      <c r="AN30" s="2" t="s">
        <v>46</v>
      </c>
      <c r="AO30" s="2"/>
      <c r="AP30" s="2"/>
      <c r="AQ30" s="2"/>
      <c r="AR30" s="2"/>
      <c r="AS30" s="2"/>
      <c r="AT30" s="89">
        <v>504000</v>
      </c>
      <c r="AU30" s="89"/>
      <c r="AV30" s="89"/>
      <c r="AW30" s="89"/>
      <c r="AX30" s="42"/>
    </row>
    <row r="31" spans="2:50">
      <c r="B31" s="41"/>
      <c r="C31" s="2" t="s">
        <v>48</v>
      </c>
      <c r="D31" s="2"/>
      <c r="E31" s="2"/>
      <c r="F31" s="2"/>
      <c r="G31" s="2"/>
      <c r="H31" s="2"/>
      <c r="I31" s="2"/>
      <c r="J31" s="89">
        <v>58500</v>
      </c>
      <c r="K31" s="89"/>
      <c r="L31" s="89"/>
      <c r="M31" s="89"/>
      <c r="N31" s="2"/>
      <c r="O31" s="2"/>
      <c r="P31" s="2"/>
      <c r="Q31" s="2"/>
      <c r="R31" s="2"/>
      <c r="S31" s="2"/>
      <c r="T31" s="2"/>
      <c r="U31" s="2"/>
      <c r="V31" s="89"/>
      <c r="W31" s="89"/>
      <c r="X31" s="89"/>
      <c r="Y31" s="89"/>
      <c r="Z31" s="2"/>
      <c r="AA31" s="2"/>
      <c r="AB31" s="2" t="s">
        <v>67</v>
      </c>
      <c r="AC31" s="2"/>
      <c r="AD31" s="2"/>
      <c r="AE31" s="2"/>
      <c r="AF31" s="2"/>
      <c r="AG31" s="8"/>
      <c r="AH31" s="2"/>
      <c r="AI31" s="89">
        <v>19700</v>
      </c>
      <c r="AJ31" s="89"/>
      <c r="AK31" s="89"/>
      <c r="AL31" s="89"/>
      <c r="AM31" s="2"/>
      <c r="AN31" s="2" t="s">
        <v>48</v>
      </c>
      <c r="AO31" s="2"/>
      <c r="AP31" s="2"/>
      <c r="AQ31" s="2"/>
      <c r="AR31" s="2"/>
      <c r="AS31" s="2"/>
      <c r="AT31" s="89">
        <v>58500</v>
      </c>
      <c r="AU31" s="89"/>
      <c r="AV31" s="89"/>
      <c r="AW31" s="89"/>
      <c r="AX31" s="42"/>
    </row>
    <row r="32" spans="2:50">
      <c r="B32" s="41"/>
      <c r="C32" s="2" t="s">
        <v>49</v>
      </c>
      <c r="D32" s="2"/>
      <c r="E32" s="2"/>
      <c r="F32" s="2"/>
      <c r="G32" s="2"/>
      <c r="H32" s="2"/>
      <c r="I32" s="2"/>
      <c r="J32" s="89">
        <v>49500</v>
      </c>
      <c r="K32" s="89"/>
      <c r="L32" s="89"/>
      <c r="M32" s="89"/>
      <c r="N32" s="2"/>
      <c r="O32" s="2"/>
      <c r="P32" s="2"/>
      <c r="Q32" s="2"/>
      <c r="R32" s="2"/>
      <c r="S32" s="2"/>
      <c r="T32" s="2"/>
      <c r="U32" s="2"/>
      <c r="V32" s="89"/>
      <c r="W32" s="89"/>
      <c r="X32" s="89"/>
      <c r="Y32" s="89"/>
      <c r="Z32" s="2"/>
      <c r="AA32" s="2"/>
      <c r="AB32" s="2" t="s">
        <v>68</v>
      </c>
      <c r="AC32" s="2"/>
      <c r="AD32" s="2"/>
      <c r="AE32" s="2"/>
      <c r="AF32" s="2"/>
      <c r="AG32" s="8"/>
      <c r="AH32" s="2"/>
      <c r="AI32" s="89">
        <v>14700</v>
      </c>
      <c r="AJ32" s="89"/>
      <c r="AK32" s="89"/>
      <c r="AL32" s="89"/>
      <c r="AM32" s="2"/>
      <c r="AN32" s="2" t="s">
        <v>49</v>
      </c>
      <c r="AO32" s="2"/>
      <c r="AP32" s="2"/>
      <c r="AQ32" s="2"/>
      <c r="AR32" s="2"/>
      <c r="AS32" s="2"/>
      <c r="AT32" s="89">
        <v>49500</v>
      </c>
      <c r="AU32" s="89"/>
      <c r="AV32" s="89"/>
      <c r="AW32" s="89"/>
      <c r="AX32" s="42"/>
    </row>
    <row r="33" spans="2:50">
      <c r="B33" s="41"/>
      <c r="C33" s="2" t="s">
        <v>51</v>
      </c>
      <c r="D33" s="2"/>
      <c r="E33" s="2"/>
      <c r="F33" s="2"/>
      <c r="G33" s="2"/>
      <c r="H33" s="2"/>
      <c r="I33" s="2"/>
      <c r="J33" s="89">
        <f>SUM(J29:M32)</f>
        <v>729000</v>
      </c>
      <c r="K33" s="89"/>
      <c r="L33" s="89"/>
      <c r="M33" s="89"/>
      <c r="N33" s="2"/>
      <c r="O33" s="2" t="s">
        <v>51</v>
      </c>
      <c r="P33" s="2"/>
      <c r="Q33" s="2"/>
      <c r="R33" s="2"/>
      <c r="S33" s="2"/>
      <c r="T33" s="2"/>
      <c r="U33" s="2"/>
      <c r="V33" s="89">
        <f>SUM(V29:Y32)</f>
        <v>3000</v>
      </c>
      <c r="W33" s="89"/>
      <c r="X33" s="89"/>
      <c r="Y33" s="89"/>
      <c r="Z33" s="2"/>
      <c r="AA33" s="2"/>
      <c r="AB33" s="2" t="s">
        <v>51</v>
      </c>
      <c r="AC33" s="2"/>
      <c r="AD33" s="2"/>
      <c r="AE33" s="2"/>
      <c r="AF33" s="2"/>
      <c r="AG33" s="8"/>
      <c r="AH33" s="2"/>
      <c r="AI33" s="89">
        <f>SUM(AI29:AL32)</f>
        <v>65900</v>
      </c>
      <c r="AJ33" s="89"/>
      <c r="AK33" s="89"/>
      <c r="AL33" s="89"/>
      <c r="AM33" s="2"/>
      <c r="AN33" s="2" t="s">
        <v>67</v>
      </c>
      <c r="AO33" s="2"/>
      <c r="AP33" s="2"/>
      <c r="AQ33" s="2"/>
      <c r="AR33" s="2"/>
      <c r="AS33" s="2"/>
      <c r="AT33" s="89">
        <v>19700</v>
      </c>
      <c r="AU33" s="89"/>
      <c r="AV33" s="89"/>
      <c r="AW33" s="89"/>
      <c r="AX33" s="42"/>
    </row>
    <row r="34" spans="2:50" ht="15" thickBot="1"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 t="s">
        <v>68</v>
      </c>
      <c r="AO34" s="2"/>
      <c r="AP34" s="2"/>
      <c r="AQ34" s="2"/>
      <c r="AR34" s="2"/>
      <c r="AS34" s="2"/>
      <c r="AT34" s="89">
        <v>14700</v>
      </c>
      <c r="AU34" s="89"/>
      <c r="AV34" s="89"/>
      <c r="AW34" s="89"/>
      <c r="AX34" s="42"/>
    </row>
    <row r="35" spans="2:50" ht="15" thickBot="1"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90" t="s">
        <v>51</v>
      </c>
      <c r="AO35" s="91"/>
      <c r="AP35" s="91"/>
      <c r="AQ35" s="91"/>
      <c r="AR35" s="91"/>
      <c r="AS35" s="91"/>
      <c r="AT35" s="92">
        <f>SUM(AT29:AW34)</f>
        <v>797900</v>
      </c>
      <c r="AU35" s="92"/>
      <c r="AV35" s="92"/>
      <c r="AW35" s="93"/>
      <c r="AX35" s="42"/>
    </row>
    <row r="36" spans="2:50">
      <c r="B36" s="4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94" t="s">
        <v>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 t="s">
        <v>23</v>
      </c>
      <c r="C38" s="2" t="s">
        <v>53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 t="s">
        <v>54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 ht="15" customHeight="1">
      <c r="B40" s="41" t="s">
        <v>23</v>
      </c>
      <c r="C40" s="2" t="s">
        <v>55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>
      <c r="B41" s="41"/>
      <c r="C41" s="2" t="s">
        <v>56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 ht="14.25" customHeight="1">
      <c r="B42" s="4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>
      <c r="B43" s="94" t="s">
        <v>57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 ht="15" customHeight="1">
      <c r="B44" s="41" t="s">
        <v>23</v>
      </c>
      <c r="C44" s="2" t="s">
        <v>58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>
      <c r="B45" s="41"/>
      <c r="C45" s="2" t="s">
        <v>59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>
      <c r="B47" s="94" t="s">
        <v>60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>
      <c r="B48" s="41" t="s">
        <v>23</v>
      </c>
      <c r="C48" s="2" t="s">
        <v>61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 t="s">
        <v>23</v>
      </c>
      <c r="C49" s="2" t="s">
        <v>62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 t="s">
        <v>63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 t="s">
        <v>23</v>
      </c>
      <c r="C51" s="2" t="s">
        <v>64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2"/>
    </row>
    <row r="69" spans="2:50" ht="15" thickBot="1"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43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44"/>
    </row>
    <row r="70" spans="2:50">
      <c r="B70" s="86" t="s">
        <v>16</v>
      </c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7"/>
    </row>
    <row r="71" spans="2:50">
      <c r="B71" s="45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48"/>
    </row>
    <row r="72" spans="2:50">
      <c r="B72" s="4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8"/>
    </row>
    <row r="73" spans="2:50">
      <c r="B73" s="4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8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42"/>
    </row>
    <row r="74" spans="2:50" ht="15" thickBot="1">
      <c r="B74" s="46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47"/>
      <c r="U74" s="47"/>
      <c r="V74" s="4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43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44"/>
    </row>
  </sheetData>
  <mergeCells count="43">
    <mergeCell ref="AT34:AW34"/>
    <mergeCell ref="AT35:AW35"/>
    <mergeCell ref="AT29:AW29"/>
    <mergeCell ref="AT30:AW30"/>
    <mergeCell ref="AT31:AW31"/>
    <mergeCell ref="AT32:AW32"/>
    <mergeCell ref="AT33:AW33"/>
    <mergeCell ref="V33:Y33"/>
    <mergeCell ref="AI29:AL29"/>
    <mergeCell ref="AI30:AL30"/>
    <mergeCell ref="AI31:AL31"/>
    <mergeCell ref="AI32:AL32"/>
    <mergeCell ref="AI33:AL33"/>
    <mergeCell ref="B21:AX21"/>
    <mergeCell ref="Y7:AJ7"/>
    <mergeCell ref="Y8:AJ8"/>
    <mergeCell ref="Y9:AJ9"/>
    <mergeCell ref="B70:AX70"/>
    <mergeCell ref="H7:J9"/>
    <mergeCell ref="L7:N9"/>
    <mergeCell ref="J29:M29"/>
    <mergeCell ref="J30:M30"/>
    <mergeCell ref="J31:M31"/>
    <mergeCell ref="J32:M32"/>
    <mergeCell ref="J33:M33"/>
    <mergeCell ref="V29:Y29"/>
    <mergeCell ref="V30:Y30"/>
    <mergeCell ref="V31:Y31"/>
    <mergeCell ref="V32:Y32"/>
    <mergeCell ref="S1:AJ3"/>
    <mergeCell ref="B5:F6"/>
    <mergeCell ref="S5:X6"/>
    <mergeCell ref="S7:X9"/>
    <mergeCell ref="Y6:AJ6"/>
    <mergeCell ref="Y5:AJ5"/>
    <mergeCell ref="G5:Q6"/>
    <mergeCell ref="BE14:BF15"/>
    <mergeCell ref="B15:F20"/>
    <mergeCell ref="B7:F9"/>
    <mergeCell ref="B11:F14"/>
    <mergeCell ref="Z11:AD14"/>
    <mergeCell ref="Z15:AD20"/>
    <mergeCell ref="G11:Y14"/>
  </mergeCells>
  <printOptions horizontalCentered="1" verticalCentered="1"/>
  <pageMargins left="0.19685039370078741" right="0.19685039370078741" top="0" bottom="0" header="0.19685039370078741" footer="0.19685039370078741"/>
  <pageSetup paperSize="9" scale="79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2018-04-30T01:11:29Z</cp:lastPrinted>
  <dcterms:created xsi:type="dcterms:W3CDTF">2016-09-01T00:00:56Z</dcterms:created>
  <dcterms:modified xsi:type="dcterms:W3CDTF">2018-04-30T03:03:15Z</dcterms:modified>
</cp:coreProperties>
</file>