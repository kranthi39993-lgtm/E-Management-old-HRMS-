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E:\dynabook\仮保存\重要書類\マンスリー報告\2018予算関連\2018年下期予算\"/>
    </mc:Choice>
  </mc:AlternateContent>
  <bookViews>
    <workbookView xWindow="0" yWindow="0" windowWidth="19530" windowHeight="8355" tabRatio="605" activeTab="4"/>
  </bookViews>
  <sheets>
    <sheet name="【データ入力】" sheetId="2" r:id="rId1"/>
    <sheet name="発表書式" sheetId="3" state="hidden" r:id="rId2"/>
    <sheet name="発表書式 (2)" sheetId="4" state="hidden" r:id="rId3"/>
    <sheet name="発表書式 (3)" sheetId="5" state="hidden" r:id="rId4"/>
    <sheet name="発表資料" sheetId="6" r:id="rId5"/>
    <sheet name="実績見込予算" sheetId="8" r:id="rId6"/>
    <sheet name="Sheet3" sheetId="9" r:id="rId7"/>
    <sheet name="Sheet1" sheetId="7" state="hidden" r:id="rId8"/>
  </sheets>
  <definedNames>
    <definedName name="_xlnm.Print_Area" localSheetId="0">【データ入力】!$A$1:$N$17</definedName>
    <definedName name="_xlnm.Print_Area" localSheetId="4">発表資料!$B$1:$AC$31</definedName>
    <definedName name="_xlnm.Print_Area" localSheetId="1">発表書式!$B$2:$AB$30</definedName>
    <definedName name="_xlnm.Print_Area" localSheetId="2">'発表書式 (2)'!$B$2:$AB$26</definedName>
    <definedName name="_xlnm.Print_Area" localSheetId="3">'発表書式 (3)'!$B$2:$AB$30</definedName>
  </definedNames>
  <calcPr calcId="152511"/>
  <fileRecoveryPr autoRecover="0"/>
</workbook>
</file>

<file path=xl/calcChain.xml><?xml version="1.0" encoding="utf-8"?>
<calcChain xmlns="http://schemas.openxmlformats.org/spreadsheetml/2006/main">
  <c r="X37" i="8" l="1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7" i="8"/>
  <c r="E36" i="8"/>
  <c r="X55" i="8"/>
  <c r="W55" i="8"/>
  <c r="U55" i="8"/>
  <c r="T55" i="8"/>
  <c r="S55" i="8"/>
  <c r="R55" i="8"/>
  <c r="P55" i="8"/>
  <c r="O55" i="8"/>
  <c r="N55" i="8"/>
  <c r="M55" i="8"/>
  <c r="L55" i="8"/>
  <c r="K55" i="8"/>
  <c r="J55" i="8"/>
  <c r="I55" i="8"/>
  <c r="H55" i="8"/>
  <c r="G55" i="8"/>
  <c r="F55" i="8"/>
  <c r="E55" i="8"/>
  <c r="X90" i="8"/>
  <c r="W90" i="8"/>
  <c r="U90" i="8"/>
  <c r="T90" i="8"/>
  <c r="S90" i="8"/>
  <c r="R90" i="8"/>
  <c r="P90" i="8"/>
  <c r="O90" i="8"/>
  <c r="N90" i="8"/>
  <c r="M90" i="8"/>
  <c r="L90" i="8"/>
  <c r="K90" i="8"/>
  <c r="J90" i="8"/>
  <c r="I90" i="8"/>
  <c r="H90" i="8"/>
  <c r="G90" i="8"/>
  <c r="F90" i="8"/>
  <c r="X89" i="8"/>
  <c r="W89" i="8"/>
  <c r="U89" i="8"/>
  <c r="T89" i="8"/>
  <c r="S89" i="8"/>
  <c r="R89" i="8"/>
  <c r="P89" i="8"/>
  <c r="O89" i="8"/>
  <c r="N89" i="8"/>
  <c r="M89" i="8"/>
  <c r="L89" i="8"/>
  <c r="K89" i="8"/>
  <c r="J89" i="8"/>
  <c r="I89" i="8"/>
  <c r="H89" i="8"/>
  <c r="G89" i="8"/>
  <c r="F89" i="8"/>
  <c r="E90" i="8"/>
  <c r="E89" i="8"/>
  <c r="X111" i="8"/>
  <c r="W111" i="8"/>
  <c r="U111" i="8"/>
  <c r="T111" i="8"/>
  <c r="S111" i="8"/>
  <c r="R111" i="8"/>
  <c r="P111" i="8"/>
  <c r="O111" i="8"/>
  <c r="N111" i="8"/>
  <c r="M111" i="8"/>
  <c r="L111" i="8"/>
  <c r="K111" i="8"/>
  <c r="J111" i="8"/>
  <c r="I111" i="8"/>
  <c r="H111" i="8"/>
  <c r="G111" i="8"/>
  <c r="F111" i="8"/>
  <c r="X110" i="8"/>
  <c r="W110" i="8"/>
  <c r="U110" i="8"/>
  <c r="T110" i="8"/>
  <c r="S110" i="8"/>
  <c r="R110" i="8"/>
  <c r="P110" i="8"/>
  <c r="O110" i="8"/>
  <c r="N110" i="8"/>
  <c r="M110" i="8"/>
  <c r="L110" i="8"/>
  <c r="K110" i="8"/>
  <c r="J110" i="8"/>
  <c r="I110" i="8"/>
  <c r="H110" i="8"/>
  <c r="G110" i="8"/>
  <c r="F110" i="8"/>
  <c r="E111" i="8"/>
  <c r="E110" i="8"/>
  <c r="N16" i="2" l="1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R16" i="2" l="1"/>
  <c r="R15" i="2"/>
  <c r="Q16" i="2"/>
  <c r="Q15" i="2"/>
  <c r="P16" i="2"/>
  <c r="P15" i="2"/>
  <c r="O16" i="2"/>
  <c r="O15" i="2"/>
  <c r="S15" i="2" s="1"/>
  <c r="R8" i="2"/>
  <c r="R7" i="2"/>
  <c r="Q8" i="2"/>
  <c r="Q7" i="2"/>
  <c r="P8" i="2"/>
  <c r="P7" i="2"/>
  <c r="O7" i="2"/>
  <c r="E26" i="2"/>
  <c r="E25" i="2"/>
  <c r="D26" i="2"/>
  <c r="D25" i="2"/>
  <c r="C26" i="2"/>
  <c r="C25" i="2"/>
  <c r="C34" i="2"/>
  <c r="C33" i="2"/>
  <c r="T16" i="2" l="1"/>
  <c r="T15" i="2"/>
  <c r="O26" i="2"/>
  <c r="P8" i="6" s="1"/>
  <c r="O25" i="2"/>
  <c r="S16" i="2"/>
  <c r="U16" i="2" s="1"/>
  <c r="T8" i="2"/>
  <c r="S7" i="2"/>
  <c r="U7" i="2" s="1"/>
  <c r="T7" i="2"/>
  <c r="P9" i="2"/>
  <c r="U15" i="2"/>
  <c r="P5" i="6"/>
  <c r="N9" i="2"/>
  <c r="M9" i="2"/>
  <c r="L9" i="2"/>
  <c r="K9" i="2"/>
  <c r="J9" i="2"/>
  <c r="I9" i="2"/>
  <c r="H9" i="2"/>
  <c r="G9" i="2"/>
  <c r="F9" i="2"/>
  <c r="E9" i="2"/>
  <c r="D9" i="2"/>
  <c r="C9" i="2"/>
  <c r="O8" i="2"/>
  <c r="S8" i="2" s="1"/>
  <c r="D33" i="2"/>
  <c r="N34" i="2"/>
  <c r="M34" i="2"/>
  <c r="L34" i="2"/>
  <c r="K34" i="2"/>
  <c r="J34" i="2"/>
  <c r="I34" i="2"/>
  <c r="H34" i="2"/>
  <c r="G34" i="2"/>
  <c r="F34" i="2"/>
  <c r="E34" i="2"/>
  <c r="D34" i="2"/>
  <c r="N33" i="2"/>
  <c r="M33" i="2"/>
  <c r="L33" i="2"/>
  <c r="K33" i="2"/>
  <c r="J33" i="2"/>
  <c r="I33" i="2"/>
  <c r="H33" i="2"/>
  <c r="G33" i="2"/>
  <c r="F33" i="2"/>
  <c r="E33" i="2"/>
  <c r="N26" i="2"/>
  <c r="M26" i="2"/>
  <c r="L26" i="2"/>
  <c r="K26" i="2"/>
  <c r="J26" i="2"/>
  <c r="I26" i="2"/>
  <c r="H26" i="2"/>
  <c r="G26" i="2"/>
  <c r="F26" i="2"/>
  <c r="N25" i="2"/>
  <c r="M25" i="2"/>
  <c r="L25" i="2"/>
  <c r="K25" i="2"/>
  <c r="J25" i="2"/>
  <c r="I25" i="2"/>
  <c r="H25" i="2"/>
  <c r="G25" i="2"/>
  <c r="F25" i="2"/>
  <c r="B30" i="2"/>
  <c r="B22" i="2"/>
  <c r="R33" i="2" l="1"/>
  <c r="V6" i="6" s="1"/>
  <c r="O34" i="2"/>
  <c r="P9" i="6" s="1"/>
  <c r="O27" i="2"/>
  <c r="O33" i="2"/>
  <c r="P34" i="2"/>
  <c r="R9" i="6" s="1"/>
  <c r="Q34" i="2"/>
  <c r="T9" i="6" s="1"/>
  <c r="P25" i="2"/>
  <c r="R5" i="6" s="1"/>
  <c r="P11" i="6"/>
  <c r="R26" i="2"/>
  <c r="Q26" i="2"/>
  <c r="T8" i="6" s="1"/>
  <c r="U8" i="2"/>
  <c r="Q25" i="2"/>
  <c r="T5" i="6" s="1"/>
  <c r="Q33" i="2"/>
  <c r="T33" i="2" s="1"/>
  <c r="P6" i="6"/>
  <c r="P7" i="6" s="1"/>
  <c r="S34" i="2"/>
  <c r="T6" i="6"/>
  <c r="P33" i="2"/>
  <c r="R6" i="6" s="1"/>
  <c r="R12" i="6" s="1"/>
  <c r="R34" i="2"/>
  <c r="V9" i="6" s="1"/>
  <c r="R25" i="2"/>
  <c r="V5" i="6" s="1"/>
  <c r="P26" i="2"/>
  <c r="E35" i="2"/>
  <c r="I35" i="2"/>
  <c r="M35" i="2"/>
  <c r="G35" i="2"/>
  <c r="D35" i="2"/>
  <c r="R9" i="2"/>
  <c r="K35" i="2"/>
  <c r="H35" i="2"/>
  <c r="J35" i="2"/>
  <c r="N35" i="2"/>
  <c r="Q9" i="2"/>
  <c r="S9" i="2"/>
  <c r="L35" i="2"/>
  <c r="F35" i="2"/>
  <c r="C35" i="2"/>
  <c r="T9" i="2"/>
  <c r="O9" i="2"/>
  <c r="F17" i="2"/>
  <c r="Q2" i="5"/>
  <c r="V2" i="5"/>
  <c r="Y19" i="5"/>
  <c r="D21" i="5"/>
  <c r="Q21" i="5"/>
  <c r="Q2" i="4"/>
  <c r="V2" i="4"/>
  <c r="D14" i="4"/>
  <c r="Q14" i="4"/>
  <c r="Q2" i="3"/>
  <c r="V2" i="3"/>
  <c r="Y19" i="3"/>
  <c r="D21" i="3"/>
  <c r="Q21" i="3"/>
  <c r="B25" i="2"/>
  <c r="B26" i="2"/>
  <c r="C27" i="2"/>
  <c r="K27" i="2"/>
  <c r="B27" i="2"/>
  <c r="B33" i="2"/>
  <c r="B34" i="2"/>
  <c r="B35" i="2"/>
  <c r="S25" i="2" l="1"/>
  <c r="Q27" i="2"/>
  <c r="T26" i="2"/>
  <c r="Z8" i="6" s="1"/>
  <c r="S33" i="2"/>
  <c r="U33" i="2" s="1"/>
  <c r="V8" i="6"/>
  <c r="V10" i="6" s="1"/>
  <c r="T34" i="2"/>
  <c r="Z9" i="6" s="1"/>
  <c r="P12" i="6"/>
  <c r="T25" i="2"/>
  <c r="P27" i="2"/>
  <c r="R8" i="6"/>
  <c r="S26" i="2"/>
  <c r="W5" i="4"/>
  <c r="R27" i="2"/>
  <c r="V12" i="6"/>
  <c r="T7" i="6"/>
  <c r="T11" i="6"/>
  <c r="V7" i="6"/>
  <c r="R7" i="6"/>
  <c r="O35" i="2"/>
  <c r="P10" i="6"/>
  <c r="Z6" i="6"/>
  <c r="R35" i="2"/>
  <c r="Q35" i="2"/>
  <c r="T12" i="6"/>
  <c r="P35" i="2"/>
  <c r="I27" i="2"/>
  <c r="E27" i="2"/>
  <c r="J27" i="2"/>
  <c r="S5" i="5"/>
  <c r="W5" i="5"/>
  <c r="U8" i="3"/>
  <c r="N27" i="2"/>
  <c r="L27" i="2"/>
  <c r="H27" i="2"/>
  <c r="Q8" i="4"/>
  <c r="U5" i="5"/>
  <c r="Q8" i="5"/>
  <c r="W5" i="3"/>
  <c r="F27" i="2"/>
  <c r="M27" i="2"/>
  <c r="G27" i="2"/>
  <c r="D27" i="2"/>
  <c r="D17" i="2"/>
  <c r="U5" i="4"/>
  <c r="U5" i="3"/>
  <c r="I17" i="2"/>
  <c r="L17" i="2"/>
  <c r="T27" i="2" l="1"/>
  <c r="V11" i="6"/>
  <c r="Z5" i="6"/>
  <c r="Z7" i="6" s="1"/>
  <c r="U25" i="2"/>
  <c r="X6" i="6"/>
  <c r="U34" i="2"/>
  <c r="AB9" i="6" s="1"/>
  <c r="R11" i="6"/>
  <c r="R10" i="6"/>
  <c r="U26" i="2"/>
  <c r="S27" i="2"/>
  <c r="X8" i="6"/>
  <c r="X9" i="6"/>
  <c r="X5" i="6"/>
  <c r="S35" i="2"/>
  <c r="Z12" i="6"/>
  <c r="T35" i="2"/>
  <c r="T10" i="6"/>
  <c r="Q8" i="3"/>
  <c r="U11" i="3"/>
  <c r="U8" i="5"/>
  <c r="U11" i="5" s="1"/>
  <c r="S6" i="5"/>
  <c r="S7" i="5" s="1"/>
  <c r="R17" i="2"/>
  <c r="U8" i="4"/>
  <c r="U11" i="4" s="1"/>
  <c r="S5" i="3"/>
  <c r="S5" i="4"/>
  <c r="G17" i="2"/>
  <c r="S7" i="4"/>
  <c r="M17" i="2"/>
  <c r="E17" i="2"/>
  <c r="S6" i="3"/>
  <c r="S6" i="4"/>
  <c r="J17" i="2"/>
  <c r="S7" i="3"/>
  <c r="P17" i="2"/>
  <c r="H17" i="2"/>
  <c r="C17" i="2"/>
  <c r="W8" i="3"/>
  <c r="W11" i="3" s="1"/>
  <c r="W8" i="5"/>
  <c r="W11" i="5" s="1"/>
  <c r="W8" i="4"/>
  <c r="W11" i="4" s="1"/>
  <c r="Q5" i="4"/>
  <c r="Q11" i="4" s="1"/>
  <c r="Q5" i="3"/>
  <c r="Q5" i="5"/>
  <c r="Q11" i="5" s="1"/>
  <c r="S8" i="5"/>
  <c r="S11" i="5" s="1"/>
  <c r="S8" i="3"/>
  <c r="S8" i="4"/>
  <c r="N17" i="2"/>
  <c r="K17" i="2"/>
  <c r="Z11" i="6" l="1"/>
  <c r="X11" i="6"/>
  <c r="X10" i="6"/>
  <c r="U27" i="2"/>
  <c r="AB8" i="6"/>
  <c r="X12" i="6"/>
  <c r="AB6" i="6"/>
  <c r="AB12" i="6" s="1"/>
  <c r="AB5" i="6"/>
  <c r="S11" i="3"/>
  <c r="Z10" i="6"/>
  <c r="U35" i="2"/>
  <c r="X7" i="6"/>
  <c r="AB10" i="6"/>
  <c r="Q11" i="3"/>
  <c r="U9" i="2"/>
  <c r="U6" i="3"/>
  <c r="U7" i="4"/>
  <c r="S11" i="4"/>
  <c r="U7" i="3"/>
  <c r="T17" i="2"/>
  <c r="U6" i="4"/>
  <c r="W7" i="4"/>
  <c r="W9" i="5"/>
  <c r="W9" i="3"/>
  <c r="W9" i="4"/>
  <c r="O17" i="2"/>
  <c r="W7" i="3"/>
  <c r="S9" i="3"/>
  <c r="S9" i="5"/>
  <c r="S9" i="4"/>
  <c r="Q17" i="2"/>
  <c r="Q9" i="4"/>
  <c r="Q9" i="3"/>
  <c r="Q9" i="5"/>
  <c r="AB11" i="6" l="1"/>
  <c r="AB7" i="6"/>
  <c r="U6" i="5"/>
  <c r="U7" i="5" s="1"/>
  <c r="S12" i="4"/>
  <c r="S10" i="4"/>
  <c r="Q6" i="3"/>
  <c r="Q7" i="3" s="1"/>
  <c r="Q6" i="5"/>
  <c r="Q7" i="5" s="1"/>
  <c r="Q6" i="4"/>
  <c r="Q7" i="4" s="1"/>
  <c r="Q10" i="3"/>
  <c r="S12" i="5"/>
  <c r="S10" i="5"/>
  <c r="U9" i="4"/>
  <c r="U9" i="5"/>
  <c r="U9" i="3"/>
  <c r="Q10" i="4"/>
  <c r="S10" i="3"/>
  <c r="S12" i="3"/>
  <c r="U17" i="2"/>
  <c r="S17" i="2"/>
  <c r="W10" i="5"/>
  <c r="W10" i="3"/>
  <c r="Q10" i="5"/>
  <c r="W6" i="5"/>
  <c r="W7" i="5" s="1"/>
  <c r="W6" i="3"/>
  <c r="W12" i="3" s="1"/>
  <c r="W6" i="4"/>
  <c r="W12" i="4" s="1"/>
  <c r="W10" i="4"/>
  <c r="Y5" i="4"/>
  <c r="Y5" i="3"/>
  <c r="Y5" i="5"/>
  <c r="AA5" i="5"/>
  <c r="AA5" i="4"/>
  <c r="AA5" i="3"/>
  <c r="Y8" i="3"/>
  <c r="Y8" i="4"/>
  <c r="Y8" i="5"/>
  <c r="AA8" i="3"/>
  <c r="AA8" i="5"/>
  <c r="AA8" i="4"/>
  <c r="Y11" i="3" l="1"/>
  <c r="Q12" i="4"/>
  <c r="Y11" i="5"/>
  <c r="Q12" i="3"/>
  <c r="U12" i="5"/>
  <c r="U10" i="5"/>
  <c r="Q12" i="5"/>
  <c r="W12" i="5"/>
  <c r="U12" i="3"/>
  <c r="U10" i="3"/>
  <c r="U10" i="4"/>
  <c r="U12" i="4"/>
  <c r="Y9" i="3"/>
  <c r="Y9" i="5"/>
  <c r="Y9" i="4"/>
  <c r="Y11" i="4"/>
  <c r="Y7" i="4" l="1"/>
  <c r="Y7" i="3"/>
  <c r="Y6" i="3"/>
  <c r="Y12" i="3" s="1"/>
  <c r="Y6" i="4"/>
  <c r="Y12" i="4" s="1"/>
  <c r="Y6" i="5"/>
  <c r="Y7" i="5" s="1"/>
  <c r="Y10" i="5"/>
  <c r="Y10" i="3"/>
  <c r="Y10" i="4"/>
  <c r="Y12" i="5" l="1"/>
</calcChain>
</file>

<file path=xl/sharedStrings.xml><?xml version="1.0" encoding="utf-8"?>
<sst xmlns="http://schemas.openxmlformats.org/spreadsheetml/2006/main" count="436" uniqueCount="149">
  <si>
    <t>予算</t>
    <rPh sb="0" eb="2">
      <t>ヨサン</t>
    </rPh>
    <phoneticPr fontId="2"/>
  </si>
  <si>
    <t>実績</t>
    <rPh sb="0" eb="2">
      <t>ジッセキ</t>
    </rPh>
    <phoneticPr fontId="2"/>
  </si>
  <si>
    <t>通期</t>
    <rPh sb="0" eb="2">
      <t>ツウキ</t>
    </rPh>
    <phoneticPr fontId="2"/>
  </si>
  <si>
    <t>営業利益</t>
    <rPh sb="0" eb="2">
      <t>エイギョウ</t>
    </rPh>
    <rPh sb="2" eb="4">
      <t>リエキ</t>
    </rPh>
    <phoneticPr fontId="2"/>
  </si>
  <si>
    <t>売上高</t>
    <rPh sb="0" eb="2">
      <t>ウリアゲ</t>
    </rPh>
    <rPh sb="2" eb="3">
      <t>ダカ</t>
    </rPh>
    <phoneticPr fontId="2"/>
  </si>
  <si>
    <t>■ 売上/利益</t>
    <rPh sb="2" eb="3">
      <t>バイ</t>
    </rPh>
    <rPh sb="3" eb="4">
      <t>ウエ</t>
    </rPh>
    <rPh sb="5" eb="7">
      <t>リエキ</t>
    </rPh>
    <phoneticPr fontId="2"/>
  </si>
  <si>
    <t>【データ入力】</t>
    <rPh sb="4" eb="6">
      <t>ニュウリョク</t>
    </rPh>
    <phoneticPr fontId="2"/>
  </si>
  <si>
    <t>【グラフ用（自動入力）】</t>
    <rPh sb="4" eb="5">
      <t>ヨウ</t>
    </rPh>
    <rPh sb="6" eb="8">
      <t>ジドウ</t>
    </rPh>
    <rPh sb="8" eb="10">
      <t>ニュウリョク</t>
    </rPh>
    <phoneticPr fontId="2"/>
  </si>
  <si>
    <t>合計</t>
    <rPh sb="0" eb="2">
      <t>ゴウケイ</t>
    </rPh>
    <phoneticPr fontId="2"/>
  </si>
  <si>
    <t>実績：</t>
    <rPh sb="0" eb="2">
      <t>ジッセキ</t>
    </rPh>
    <phoneticPr fontId="2"/>
  </si>
  <si>
    <t>予算：</t>
    <rPh sb="0" eb="2">
      <t>ヨサン</t>
    </rPh>
    <phoneticPr fontId="2"/>
  </si>
  <si>
    <t>1Q</t>
    <phoneticPr fontId="2"/>
  </si>
  <si>
    <t>営業利益実績</t>
    <rPh sb="0" eb="2">
      <t>エイギョウ</t>
    </rPh>
    <rPh sb="2" eb="4">
      <t>リエキ</t>
    </rPh>
    <rPh sb="4" eb="6">
      <t>ジッセキ</t>
    </rPh>
    <phoneticPr fontId="2"/>
  </si>
  <si>
    <t>営業利益予算</t>
    <rPh sb="0" eb="2">
      <t>エイギョウ</t>
    </rPh>
    <rPh sb="2" eb="4">
      <t>リエキ</t>
    </rPh>
    <rPh sb="4" eb="6">
      <t>ヨサン</t>
    </rPh>
    <phoneticPr fontId="2"/>
  </si>
  <si>
    <t>営業利益率</t>
    <rPh sb="0" eb="2">
      <t>エイギョウ</t>
    </rPh>
    <rPh sb="2" eb="4">
      <t>リエキ</t>
    </rPh>
    <rPh sb="4" eb="5">
      <t>リツ</t>
    </rPh>
    <phoneticPr fontId="2"/>
  </si>
  <si>
    <t>営業利益率（予算）</t>
    <rPh sb="0" eb="2">
      <t>エイギョウ</t>
    </rPh>
    <rPh sb="2" eb="4">
      <t>リエキ</t>
    </rPh>
    <rPh sb="4" eb="5">
      <t>リツ</t>
    </rPh>
    <rPh sb="6" eb="8">
      <t>ヨサン</t>
    </rPh>
    <phoneticPr fontId="2"/>
  </si>
  <si>
    <t>■</t>
    <phoneticPr fontId="2"/>
  </si>
  <si>
    <t>■</t>
    <phoneticPr fontId="2"/>
  </si>
  <si>
    <t>2Q</t>
    <phoneticPr fontId="2"/>
  </si>
  <si>
    <t>3Q</t>
    <phoneticPr fontId="2"/>
  </si>
  <si>
    <t>4Q</t>
    <phoneticPr fontId="2"/>
  </si>
  <si>
    <t>営業
利益率</t>
    <rPh sb="0" eb="2">
      <t>エイギョウ</t>
    </rPh>
    <rPh sb="3" eb="5">
      <t>リエキ</t>
    </rPh>
    <rPh sb="5" eb="6">
      <t>リツ</t>
    </rPh>
    <phoneticPr fontId="2"/>
  </si>
  <si>
    <t>■設備投資（予算）</t>
    <rPh sb="1" eb="3">
      <t>セツビ</t>
    </rPh>
    <rPh sb="3" eb="5">
      <t>トウシ</t>
    </rPh>
    <rPh sb="6" eb="8">
      <t>ヨサン</t>
    </rPh>
    <phoneticPr fontId="2"/>
  </si>
  <si>
    <t>期首</t>
    <rPh sb="0" eb="2">
      <t>キシュ</t>
    </rPh>
    <phoneticPr fontId="2"/>
  </si>
  <si>
    <t>期末</t>
    <rPh sb="0" eb="2">
      <t>キマツ</t>
    </rPh>
    <phoneticPr fontId="2"/>
  </si>
  <si>
    <t>増産対応</t>
    <rPh sb="0" eb="2">
      <t>ゾウサン</t>
    </rPh>
    <rPh sb="2" eb="4">
      <t>タイオウ</t>
    </rPh>
    <phoneticPr fontId="2"/>
  </si>
  <si>
    <t>生産性向上</t>
    <rPh sb="0" eb="3">
      <t>セイサンセイ</t>
    </rPh>
    <rPh sb="3" eb="5">
      <t>コウジョウ</t>
    </rPh>
    <phoneticPr fontId="2"/>
  </si>
  <si>
    <t>品質改善</t>
    <rPh sb="0" eb="2">
      <t>ヒンシツ</t>
    </rPh>
    <rPh sb="2" eb="4">
      <t>カイゼン</t>
    </rPh>
    <phoneticPr fontId="2"/>
  </si>
  <si>
    <t>その他</t>
    <rPh sb="2" eb="3">
      <t>タ</t>
    </rPh>
    <phoneticPr fontId="2"/>
  </si>
  <si>
    <t>（百万円）</t>
    <rPh sb="1" eb="4">
      <t>ヒャクマンエン</t>
    </rPh>
    <phoneticPr fontId="2"/>
  </si>
  <si>
    <t>結果</t>
    <rPh sb="0" eb="2">
      <t>ケッカ</t>
    </rPh>
    <phoneticPr fontId="2"/>
  </si>
  <si>
    <t>達成率/成長率</t>
    <rPh sb="0" eb="3">
      <t>タッセイリツ</t>
    </rPh>
    <rPh sb="4" eb="7">
      <t>セイチョウリツ</t>
    </rPh>
    <phoneticPr fontId="2"/>
  </si>
  <si>
    <t>1Q</t>
    <phoneticPr fontId="2"/>
  </si>
  <si>
    <t>2Q</t>
    <phoneticPr fontId="2"/>
  </si>
  <si>
    <t>3Q</t>
    <phoneticPr fontId="2"/>
  </si>
  <si>
    <t>4Q</t>
    <phoneticPr fontId="2"/>
  </si>
  <si>
    <t>4</t>
    <phoneticPr fontId="2"/>
  </si>
  <si>
    <t>1</t>
    <phoneticPr fontId="2"/>
  </si>
  <si>
    <t>1Q</t>
    <phoneticPr fontId="2"/>
  </si>
  <si>
    <t>2Q</t>
    <phoneticPr fontId="2"/>
  </si>
  <si>
    <t>3Q</t>
    <phoneticPr fontId="2"/>
  </si>
  <si>
    <t>4Q</t>
    <phoneticPr fontId="2"/>
  </si>
  <si>
    <t>4</t>
    <phoneticPr fontId="2"/>
  </si>
  <si>
    <t>1</t>
    <phoneticPr fontId="2"/>
  </si>
  <si>
    <t>原材料</t>
    <rPh sb="0" eb="3">
      <t>ゲンザイリョウ</t>
    </rPh>
    <phoneticPr fontId="2"/>
  </si>
  <si>
    <t>貯蔵品　仕掛品</t>
    <rPh sb="0" eb="3">
      <t>チョゾウヒン</t>
    </rPh>
    <rPh sb="4" eb="6">
      <t>シカカリ</t>
    </rPh>
    <rPh sb="6" eb="7">
      <t>ヒン</t>
    </rPh>
    <phoneticPr fontId="2"/>
  </si>
  <si>
    <t>完成品　商品</t>
    <rPh sb="0" eb="3">
      <t>カンセイヒン</t>
    </rPh>
    <rPh sb="4" eb="6">
      <t>ショウヒン</t>
    </rPh>
    <phoneticPr fontId="2"/>
  </si>
  <si>
    <t>金額</t>
    <rPh sb="0" eb="2">
      <t>キンガク</t>
    </rPh>
    <phoneticPr fontId="2"/>
  </si>
  <si>
    <t>在庫日数</t>
    <rPh sb="0" eb="2">
      <t>ザイコ</t>
    </rPh>
    <rPh sb="2" eb="4">
      <t>ニッスウ</t>
    </rPh>
    <phoneticPr fontId="2"/>
  </si>
  <si>
    <t>部署名をご記載ください</t>
    <rPh sb="0" eb="2">
      <t>ブショ</t>
    </rPh>
    <rPh sb="2" eb="3">
      <t>メイ</t>
    </rPh>
    <rPh sb="5" eb="7">
      <t>キサイ</t>
    </rPh>
    <phoneticPr fontId="2"/>
  </si>
  <si>
    <t>上期</t>
    <rPh sb="0" eb="2">
      <t>カミキ</t>
    </rPh>
    <phoneticPr fontId="2"/>
  </si>
  <si>
    <t>下期</t>
    <rPh sb="0" eb="2">
      <t>シモキ</t>
    </rPh>
    <phoneticPr fontId="2"/>
  </si>
  <si>
    <t>単位：百万円</t>
    <rPh sb="0" eb="2">
      <t>タンイ</t>
    </rPh>
    <rPh sb="3" eb="6">
      <t>ヒャクマンエン</t>
    </rPh>
    <phoneticPr fontId="2"/>
  </si>
  <si>
    <t>前期比</t>
    <rPh sb="0" eb="3">
      <t>ゼンキヒ</t>
    </rPh>
    <phoneticPr fontId="2"/>
  </si>
  <si>
    <t>■在庫（実績/目標）</t>
    <rPh sb="1" eb="3">
      <t>ザイコ</t>
    </rPh>
    <rPh sb="4" eb="6">
      <t>ジッセキ</t>
    </rPh>
    <rPh sb="7" eb="9">
      <t>モクヒョウ</t>
    </rPh>
    <phoneticPr fontId="2"/>
  </si>
  <si>
    <t>施策</t>
    <rPh sb="0" eb="2">
      <t>シサク</t>
    </rPh>
    <phoneticPr fontId="2"/>
  </si>
  <si>
    <r>
      <t>16</t>
    </r>
    <r>
      <rPr>
        <b/>
        <sz val="14"/>
        <rFont val="ＭＳ Ｐゴシック"/>
        <family val="3"/>
        <charset val="128"/>
      </rPr>
      <t>年</t>
    </r>
    <r>
      <rPr>
        <b/>
        <sz val="14"/>
        <rFont val="Arial"/>
        <family val="2"/>
      </rPr>
      <t>3</t>
    </r>
    <r>
      <rPr>
        <b/>
        <sz val="14"/>
        <rFont val="ＭＳ Ｐゴシック"/>
        <family val="3"/>
        <charset val="128"/>
      </rPr>
      <t>月末</t>
    </r>
    <rPh sb="2" eb="3">
      <t>ネン</t>
    </rPh>
    <rPh sb="4" eb="5">
      <t>ガツ</t>
    </rPh>
    <rPh sb="5" eb="6">
      <t>マツ</t>
    </rPh>
    <phoneticPr fontId="2"/>
  </si>
  <si>
    <r>
      <t>17</t>
    </r>
    <r>
      <rPr>
        <b/>
        <sz val="14"/>
        <rFont val="ＭＳ Ｐゴシック"/>
        <family val="3"/>
        <charset val="128"/>
      </rPr>
      <t>年</t>
    </r>
    <r>
      <rPr>
        <b/>
        <sz val="14"/>
        <rFont val="Arial"/>
        <family val="2"/>
      </rPr>
      <t>3</t>
    </r>
    <r>
      <rPr>
        <b/>
        <sz val="14"/>
        <rFont val="ＭＳ Ｐゴシック"/>
        <family val="3"/>
        <charset val="128"/>
      </rPr>
      <t>月末</t>
    </r>
    <rPh sb="2" eb="3">
      <t>ネン</t>
    </rPh>
    <rPh sb="4" eb="5">
      <t>ガツ</t>
    </rPh>
    <rPh sb="5" eb="6">
      <t>マツ</t>
    </rPh>
    <phoneticPr fontId="2"/>
  </si>
  <si>
    <t>2Q</t>
  </si>
  <si>
    <t>3Q</t>
  </si>
  <si>
    <t>4Q</t>
  </si>
  <si>
    <t>売上高実績</t>
    <rPh sb="0" eb="2">
      <t>ウリアゲ</t>
    </rPh>
    <rPh sb="2" eb="3">
      <t>ダカ</t>
    </rPh>
    <rPh sb="3" eb="5">
      <t>ジッセキ</t>
    </rPh>
    <phoneticPr fontId="2"/>
  </si>
  <si>
    <t>売上高予算</t>
    <rPh sb="0" eb="2">
      <t>ウリアゲ</t>
    </rPh>
    <rPh sb="2" eb="3">
      <t>ダカ</t>
    </rPh>
    <rPh sb="3" eb="5">
      <t>ヨサン</t>
    </rPh>
    <phoneticPr fontId="2"/>
  </si>
  <si>
    <t>↓上記グラフからの自動リンク　/　発表書式への自動リンク</t>
    <rPh sb="1" eb="3">
      <t>ジョウキ</t>
    </rPh>
    <rPh sb="9" eb="11">
      <t>ジドウ</t>
    </rPh>
    <rPh sb="17" eb="19">
      <t>ハッピョウ</t>
    </rPh>
    <rPh sb="19" eb="21">
      <t>ショシキ</t>
    </rPh>
    <rPh sb="23" eb="25">
      <t>ジドウ</t>
    </rPh>
    <phoneticPr fontId="2"/>
  </si>
  <si>
    <t>単位： 千円</t>
    <rPh sb="0" eb="2">
      <t>タンイ</t>
    </rPh>
    <rPh sb="4" eb="5">
      <t>セン</t>
    </rPh>
    <phoneticPr fontId="2"/>
  </si>
  <si>
    <t>単位： 百万円</t>
    <rPh sb="0" eb="2">
      <t>タンイ</t>
    </rPh>
    <rPh sb="4" eb="5">
      <t>ヒャク</t>
    </rPh>
    <rPh sb="5" eb="6">
      <t>マン</t>
    </rPh>
    <phoneticPr fontId="2"/>
  </si>
  <si>
    <t>単位：　百万円</t>
    <rPh sb="0" eb="2">
      <t>タンイ</t>
    </rPh>
    <rPh sb="4" eb="7">
      <t>ヒャクマンエン</t>
    </rPh>
    <phoneticPr fontId="2"/>
  </si>
  <si>
    <t>　■　在庫削減への取組み（削減目標）</t>
    <rPh sb="3" eb="5">
      <t>ザイコ</t>
    </rPh>
    <rPh sb="5" eb="7">
      <t>サクゲン</t>
    </rPh>
    <rPh sb="9" eb="11">
      <t>トリク</t>
    </rPh>
    <rPh sb="13" eb="15">
      <t>サクゲン</t>
    </rPh>
    <rPh sb="15" eb="17">
      <t>モクヒョウ</t>
    </rPh>
    <phoneticPr fontId="1"/>
  </si>
  <si>
    <t>１Q</t>
    <phoneticPr fontId="2"/>
  </si>
  <si>
    <t>２Q</t>
  </si>
  <si>
    <t>３Q</t>
  </si>
  <si>
    <t>４Q</t>
  </si>
  <si>
    <t>2018年度</t>
    <rPh sb="4" eb="6">
      <t>ネンド</t>
    </rPh>
    <phoneticPr fontId="2"/>
  </si>
  <si>
    <t>■</t>
    <phoneticPr fontId="2"/>
  </si>
  <si>
    <t>■ 取組み結果（収益効果策、新製品・商品/新市場、トピックス等）</t>
    <rPh sb="2" eb="4">
      <t>トリクミ</t>
    </rPh>
    <rPh sb="5" eb="7">
      <t>ケッカ</t>
    </rPh>
    <rPh sb="8" eb="10">
      <t>シュウエキ</t>
    </rPh>
    <rPh sb="10" eb="12">
      <t>コウカ</t>
    </rPh>
    <rPh sb="12" eb="13">
      <t>サク</t>
    </rPh>
    <rPh sb="14" eb="17">
      <t>シンセイヒン</t>
    </rPh>
    <rPh sb="18" eb="19">
      <t>ショウ</t>
    </rPh>
    <rPh sb="19" eb="20">
      <t>シナ</t>
    </rPh>
    <rPh sb="21" eb="24">
      <t>シンシジョウ</t>
    </rPh>
    <rPh sb="30" eb="31">
      <t>トウ</t>
    </rPh>
    <phoneticPr fontId="1"/>
  </si>
  <si>
    <t>　■　収益取組み項目（見込効果、スケジュール）、収益強化策等</t>
    <rPh sb="3" eb="5">
      <t>シュウエキ</t>
    </rPh>
    <rPh sb="5" eb="7">
      <t>トリク</t>
    </rPh>
    <rPh sb="8" eb="10">
      <t>コウモク</t>
    </rPh>
    <rPh sb="11" eb="13">
      <t>ミコミ</t>
    </rPh>
    <rPh sb="13" eb="15">
      <t>コウカ</t>
    </rPh>
    <rPh sb="24" eb="26">
      <t>シュウエキ</t>
    </rPh>
    <rPh sb="26" eb="28">
      <t>キョウカ</t>
    </rPh>
    <rPh sb="28" eb="29">
      <t>サク</t>
    </rPh>
    <rPh sb="29" eb="30">
      <t>トウ</t>
    </rPh>
    <phoneticPr fontId="1"/>
  </si>
  <si>
    <t>※下表の色付きセルに入力ください</t>
    <rPh sb="1" eb="3">
      <t>カヒョウ</t>
    </rPh>
    <rPh sb="4" eb="5">
      <t>イロ</t>
    </rPh>
    <rPh sb="5" eb="6">
      <t>ツ</t>
    </rPh>
    <rPh sb="10" eb="12">
      <t>ニュウリョク</t>
    </rPh>
    <phoneticPr fontId="2"/>
  </si>
  <si>
    <t>予算</t>
    <rPh sb="0" eb="2">
      <t>ヨサン</t>
    </rPh>
    <phoneticPr fontId="2"/>
  </si>
  <si>
    <t>予算比</t>
    <rPh sb="0" eb="3">
      <t>ヨサンヒ</t>
    </rPh>
    <phoneticPr fontId="2"/>
  </si>
  <si>
    <t>■ 収益貢献製品・商品/市場状況/競争状況</t>
    <rPh sb="2" eb="4">
      <t>シュウエキ</t>
    </rPh>
    <rPh sb="4" eb="6">
      <t>コウケン</t>
    </rPh>
    <rPh sb="6" eb="8">
      <t>セイヒン</t>
    </rPh>
    <rPh sb="9" eb="11">
      <t>ショウヒン</t>
    </rPh>
    <rPh sb="12" eb="14">
      <t>シジョウ</t>
    </rPh>
    <rPh sb="14" eb="16">
      <t>ジョウキョウ</t>
    </rPh>
    <rPh sb="17" eb="19">
      <t>キョウソウ</t>
    </rPh>
    <rPh sb="19" eb="21">
      <t>ジョウキョウ</t>
    </rPh>
    <phoneticPr fontId="2"/>
  </si>
  <si>
    <t>予算</t>
    <rPh sb="0" eb="2">
      <t>ヨサン</t>
    </rPh>
    <phoneticPr fontId="2"/>
  </si>
  <si>
    <t>●2018年度予算</t>
    <rPh sb="5" eb="7">
      <t>ネンド</t>
    </rPh>
    <rPh sb="7" eb="9">
      <t>ヨサン</t>
    </rPh>
    <phoneticPr fontId="2"/>
  </si>
  <si>
    <t>　■　収益貢献製品・商品、ターゲット市場/懸念事項</t>
    <rPh sb="3" eb="5">
      <t>シュウエキ</t>
    </rPh>
    <rPh sb="5" eb="7">
      <t>コウケン</t>
    </rPh>
    <rPh sb="7" eb="9">
      <t>セイヒン</t>
    </rPh>
    <rPh sb="10" eb="12">
      <t>ショウヒン</t>
    </rPh>
    <rPh sb="18" eb="20">
      <t>シジョウ</t>
    </rPh>
    <rPh sb="21" eb="23">
      <t>ケネン</t>
    </rPh>
    <rPh sb="23" eb="25">
      <t>ジコウ</t>
    </rPh>
    <phoneticPr fontId="2"/>
  </si>
  <si>
    <t>２０１８年９月　フォーラム　第三部発表資料</t>
    <rPh sb="4" eb="5">
      <t>ネン</t>
    </rPh>
    <rPh sb="6" eb="7">
      <t>ガツ</t>
    </rPh>
    <rPh sb="14" eb="17">
      <t>ダイサンブ</t>
    </rPh>
    <rPh sb="17" eb="19">
      <t>ハッピョウ</t>
    </rPh>
    <rPh sb="19" eb="21">
      <t>シリョウ</t>
    </rPh>
    <phoneticPr fontId="2"/>
  </si>
  <si>
    <t>■ 在庫状況（18年3月末　→　18年9月末見込み）</t>
    <rPh sb="2" eb="4">
      <t>ザイコ</t>
    </rPh>
    <rPh sb="4" eb="6">
      <t>ジョウキョウ</t>
    </rPh>
    <rPh sb="9" eb="10">
      <t>ネン</t>
    </rPh>
    <rPh sb="11" eb="12">
      <t>ガツ</t>
    </rPh>
    <rPh sb="12" eb="13">
      <t>マツ</t>
    </rPh>
    <rPh sb="18" eb="19">
      <t>ネン</t>
    </rPh>
    <rPh sb="20" eb="21">
      <t>ガツ</t>
    </rPh>
    <rPh sb="21" eb="22">
      <t>マツ</t>
    </rPh>
    <rPh sb="22" eb="24">
      <t>ミコ</t>
    </rPh>
    <phoneticPr fontId="1"/>
  </si>
  <si>
    <t>実/見込</t>
    <rPh sb="0" eb="1">
      <t>ジツ</t>
    </rPh>
    <rPh sb="2" eb="3">
      <t>ケン</t>
    </rPh>
    <rPh sb="3" eb="4">
      <t>コミ</t>
    </rPh>
    <phoneticPr fontId="2"/>
  </si>
  <si>
    <t>上期結果</t>
    <rPh sb="0" eb="2">
      <t>カミキ</t>
    </rPh>
    <rPh sb="2" eb="4">
      <t>ケッカ</t>
    </rPh>
    <phoneticPr fontId="2"/>
  </si>
  <si>
    <t>下期施策</t>
    <rPh sb="0" eb="2">
      <t>シモキ</t>
    </rPh>
    <rPh sb="2" eb="4">
      <t>シサク</t>
    </rPh>
    <phoneticPr fontId="2"/>
  </si>
  <si>
    <r>
      <t xml:space="preserve">■ </t>
    </r>
    <r>
      <rPr>
        <b/>
        <sz val="22"/>
        <rFont val="ＭＳ Ｐゴシック"/>
        <family val="3"/>
        <charset val="128"/>
      </rPr>
      <t>売上高/営業利益</t>
    </r>
    <rPh sb="2" eb="3">
      <t>バイ</t>
    </rPh>
    <rPh sb="3" eb="4">
      <t>ウエ</t>
    </rPh>
    <rPh sb="4" eb="5">
      <t>ダカ</t>
    </rPh>
    <rPh sb="6" eb="8">
      <t>エイギョウ</t>
    </rPh>
    <rPh sb="8" eb="10">
      <t>リエキ</t>
    </rPh>
    <phoneticPr fontId="2"/>
  </si>
  <si>
    <t>●2018年度実・見込</t>
    <rPh sb="5" eb="7">
      <t>ネンド</t>
    </rPh>
    <rPh sb="7" eb="8">
      <t>ジツ</t>
    </rPh>
    <rPh sb="9" eb="11">
      <t>ミコミ</t>
    </rPh>
    <phoneticPr fontId="2"/>
  </si>
  <si>
    <t>実・見込</t>
    <rPh sb="0" eb="1">
      <t>ジツ</t>
    </rPh>
    <rPh sb="2" eb="4">
      <t>ミコミ</t>
    </rPh>
    <phoneticPr fontId="2"/>
  </si>
  <si>
    <t>MARUWA(MALAYSA)</t>
    <phoneticPr fontId="2"/>
  </si>
  <si>
    <t>アルミナ基板事業部</t>
    <rPh sb="4" eb="6">
      <t>キバン</t>
    </rPh>
    <rPh sb="6" eb="8">
      <t>ジギョウ</t>
    </rPh>
    <rPh sb="8" eb="9">
      <t>ブ</t>
    </rPh>
    <phoneticPr fontId="2"/>
  </si>
  <si>
    <t>発表者：小川</t>
    <rPh sb="0" eb="3">
      <t>ハッピョウシャ</t>
    </rPh>
    <rPh sb="4" eb="6">
      <t>オガワ</t>
    </rPh>
    <phoneticPr fontId="2"/>
  </si>
  <si>
    <t>チップ抵抗・・・品不足の影響もあり売り手市場の状態</t>
    <rPh sb="3" eb="5">
      <t>テイコウ</t>
    </rPh>
    <rPh sb="8" eb="11">
      <t>シナブソク</t>
    </rPh>
    <rPh sb="12" eb="14">
      <t>エイキョウ</t>
    </rPh>
    <rPh sb="17" eb="18">
      <t>ウ</t>
    </rPh>
    <rPh sb="19" eb="20">
      <t>テ</t>
    </rPh>
    <rPh sb="20" eb="22">
      <t>シジョウ</t>
    </rPh>
    <rPh sb="23" eb="25">
      <t>ジョウタイ</t>
    </rPh>
    <phoneticPr fontId="2"/>
  </si>
  <si>
    <t>大型基板・・・DBC用基板調整、LED用基板受注増</t>
    <rPh sb="0" eb="2">
      <t>オオガタ</t>
    </rPh>
    <rPh sb="2" eb="4">
      <t>キバン</t>
    </rPh>
    <rPh sb="10" eb="11">
      <t>ヨウ</t>
    </rPh>
    <rPh sb="11" eb="13">
      <t>キバン</t>
    </rPh>
    <rPh sb="13" eb="15">
      <t>チョウセイ</t>
    </rPh>
    <rPh sb="19" eb="20">
      <t>ヨウ</t>
    </rPh>
    <rPh sb="20" eb="22">
      <t>キバン</t>
    </rPh>
    <rPh sb="22" eb="24">
      <t>ジュチュウ</t>
    </rPh>
    <rPh sb="24" eb="25">
      <t>ゾウ</t>
    </rPh>
    <phoneticPr fontId="2"/>
  </si>
  <si>
    <t>基板価格見直し　3月対比　10%値上げ</t>
    <rPh sb="0" eb="2">
      <t>キバン</t>
    </rPh>
    <rPh sb="2" eb="4">
      <t>カカク</t>
    </rPh>
    <rPh sb="4" eb="6">
      <t>ミナオ</t>
    </rPh>
    <rPh sb="9" eb="10">
      <t>ガツ</t>
    </rPh>
    <rPh sb="10" eb="12">
      <t>タイヒ</t>
    </rPh>
    <rPh sb="16" eb="18">
      <t>ネア</t>
    </rPh>
    <phoneticPr fontId="2"/>
  </si>
  <si>
    <t>競合増産　基板全体占有率　三環　50%　MARUWA　15%</t>
    <rPh sb="0" eb="2">
      <t>キョウゴウ</t>
    </rPh>
    <rPh sb="2" eb="4">
      <t>ゾウサン</t>
    </rPh>
    <rPh sb="5" eb="7">
      <t>キバン</t>
    </rPh>
    <rPh sb="7" eb="9">
      <t>ゼンタイ</t>
    </rPh>
    <rPh sb="9" eb="11">
      <t>センユウ</t>
    </rPh>
    <rPh sb="11" eb="12">
      <t>リツ</t>
    </rPh>
    <rPh sb="13" eb="14">
      <t>サン</t>
    </rPh>
    <rPh sb="14" eb="15">
      <t>カン</t>
    </rPh>
    <phoneticPr fontId="2"/>
  </si>
  <si>
    <t>ジルコニア基板の顧客増産対応に伴い受注確保</t>
    <rPh sb="5" eb="7">
      <t>キバン</t>
    </rPh>
    <rPh sb="8" eb="10">
      <t>コキャク</t>
    </rPh>
    <rPh sb="10" eb="12">
      <t>ゾウサン</t>
    </rPh>
    <rPh sb="12" eb="14">
      <t>タイオウ</t>
    </rPh>
    <rPh sb="15" eb="16">
      <t>トモナ</t>
    </rPh>
    <rPh sb="17" eb="19">
      <t>ジュチュウ</t>
    </rPh>
    <rPh sb="19" eb="21">
      <t>カクホ</t>
    </rPh>
    <phoneticPr fontId="2"/>
  </si>
  <si>
    <t>（新規設備反直炉　12月末稼動予定）</t>
    <rPh sb="1" eb="3">
      <t>シンキ</t>
    </rPh>
    <rPh sb="3" eb="5">
      <t>セツビ</t>
    </rPh>
    <rPh sb="5" eb="6">
      <t>ソ</t>
    </rPh>
    <rPh sb="6" eb="7">
      <t>ナオ</t>
    </rPh>
    <rPh sb="7" eb="8">
      <t>ロ</t>
    </rPh>
    <rPh sb="11" eb="12">
      <t>ガツ</t>
    </rPh>
    <rPh sb="12" eb="13">
      <t>マツ</t>
    </rPh>
    <rPh sb="13" eb="15">
      <t>カドウ</t>
    </rPh>
    <rPh sb="15" eb="17">
      <t>ヨテイ</t>
    </rPh>
    <phoneticPr fontId="2"/>
  </si>
  <si>
    <t>150k→250k/M</t>
    <phoneticPr fontId="2"/>
  </si>
  <si>
    <t>チップ基板価格見直し　９月対比　10%値上げ</t>
    <rPh sb="3" eb="5">
      <t>キバン</t>
    </rPh>
    <rPh sb="5" eb="7">
      <t>カカク</t>
    </rPh>
    <rPh sb="7" eb="9">
      <t>ミナオ</t>
    </rPh>
    <rPh sb="12" eb="13">
      <t>ガツ</t>
    </rPh>
    <rPh sb="13" eb="15">
      <t>タイヒ</t>
    </rPh>
    <rPh sb="19" eb="21">
      <t>ネア</t>
    </rPh>
    <phoneticPr fontId="2"/>
  </si>
  <si>
    <t>労務費削減　３月末対比　　１５名削減</t>
    <rPh sb="0" eb="3">
      <t>ロウムヒ</t>
    </rPh>
    <rPh sb="3" eb="5">
      <t>サクゲン</t>
    </rPh>
    <rPh sb="7" eb="9">
      <t>ガツマツ</t>
    </rPh>
    <rPh sb="9" eb="11">
      <t>タイヒ</t>
    </rPh>
    <rPh sb="15" eb="16">
      <t>メイ</t>
    </rPh>
    <rPh sb="16" eb="18">
      <t>サクゲン</t>
    </rPh>
    <phoneticPr fontId="2"/>
  </si>
  <si>
    <t>　　　　　　　　　　　　TPH　目標80.4％　→　73.9％(ZTA)</t>
    <rPh sb="16" eb="18">
      <t>モクヒョウ</t>
    </rPh>
    <phoneticPr fontId="2"/>
  </si>
  <si>
    <t>顧客クレーム増加（SUB）　2018年上期　26件　（前期１４件）</t>
    <rPh sb="0" eb="2">
      <t>コキャク</t>
    </rPh>
    <rPh sb="6" eb="8">
      <t>ゾウカ</t>
    </rPh>
    <rPh sb="18" eb="19">
      <t>ネン</t>
    </rPh>
    <rPh sb="19" eb="21">
      <t>カミキ</t>
    </rPh>
    <rPh sb="24" eb="25">
      <t>ケン</t>
    </rPh>
    <rPh sb="27" eb="29">
      <t>ゼンキ</t>
    </rPh>
    <rPh sb="31" eb="32">
      <t>ケン</t>
    </rPh>
    <phoneticPr fontId="2"/>
  </si>
  <si>
    <t>歩留まり改善目標未達　　SUB　目標81.0%　→　80.5％</t>
    <rPh sb="0" eb="2">
      <t>ブド</t>
    </rPh>
    <rPh sb="4" eb="6">
      <t>カイゼン</t>
    </rPh>
    <rPh sb="6" eb="8">
      <t>モクヒョウ</t>
    </rPh>
    <rPh sb="8" eb="9">
      <t>ミ</t>
    </rPh>
    <rPh sb="9" eb="10">
      <t>タツ</t>
    </rPh>
    <rPh sb="16" eb="18">
      <t>モクヒョウ</t>
    </rPh>
    <phoneticPr fontId="2"/>
  </si>
  <si>
    <t>外観自動検査機導入　　労務費削減　20名（２０１９年1月）</t>
    <rPh sb="0" eb="2">
      <t>ガイカン</t>
    </rPh>
    <rPh sb="2" eb="4">
      <t>ジドウ</t>
    </rPh>
    <rPh sb="4" eb="6">
      <t>ケンサ</t>
    </rPh>
    <rPh sb="6" eb="7">
      <t>キ</t>
    </rPh>
    <rPh sb="7" eb="9">
      <t>ドウニュウ</t>
    </rPh>
    <rPh sb="11" eb="14">
      <t>ロウムヒ</t>
    </rPh>
    <rPh sb="14" eb="16">
      <t>サクゲン</t>
    </rPh>
    <rPh sb="19" eb="20">
      <t>メイ</t>
    </rPh>
    <rPh sb="25" eb="26">
      <t>ネン</t>
    </rPh>
    <rPh sb="27" eb="28">
      <t>ガツ</t>
    </rPh>
    <phoneticPr fontId="2"/>
  </si>
  <si>
    <t>歩留まり改善スピードUP　技術メンバー常駐（2018年10月　2名）</t>
    <rPh sb="0" eb="2">
      <t>ブド</t>
    </rPh>
    <rPh sb="4" eb="6">
      <t>カイゼン</t>
    </rPh>
    <rPh sb="13" eb="15">
      <t>ギジュツ</t>
    </rPh>
    <rPh sb="19" eb="21">
      <t>ジョウチュウ</t>
    </rPh>
    <rPh sb="26" eb="27">
      <t>ネン</t>
    </rPh>
    <rPh sb="29" eb="30">
      <t>ガツ</t>
    </rPh>
    <rPh sb="32" eb="33">
      <t>メイ</t>
    </rPh>
    <phoneticPr fontId="2"/>
  </si>
  <si>
    <t>顧客クレーム低減活動　2018年下期　13件（上期50％down）</t>
    <rPh sb="0" eb="2">
      <t>コキャク</t>
    </rPh>
    <rPh sb="6" eb="8">
      <t>テイゲン</t>
    </rPh>
    <rPh sb="8" eb="10">
      <t>カツドウ</t>
    </rPh>
    <rPh sb="15" eb="16">
      <t>ネン</t>
    </rPh>
    <rPh sb="16" eb="18">
      <t>シモキ</t>
    </rPh>
    <rPh sb="21" eb="22">
      <t>ケン</t>
    </rPh>
    <rPh sb="23" eb="25">
      <t>カミキ</t>
    </rPh>
    <phoneticPr fontId="2"/>
  </si>
  <si>
    <t>　工程異常処理及び設備管理基準のルール強化</t>
    <rPh sb="1" eb="3">
      <t>コウテイ</t>
    </rPh>
    <rPh sb="3" eb="5">
      <t>イジョウ</t>
    </rPh>
    <rPh sb="5" eb="7">
      <t>ショリ</t>
    </rPh>
    <rPh sb="7" eb="8">
      <t>オヨ</t>
    </rPh>
    <rPh sb="9" eb="11">
      <t>セツビ</t>
    </rPh>
    <rPh sb="11" eb="13">
      <t>カンリ</t>
    </rPh>
    <rPh sb="13" eb="15">
      <t>キジュン</t>
    </rPh>
    <rPh sb="19" eb="21">
      <t>キョウカ</t>
    </rPh>
    <phoneticPr fontId="2"/>
  </si>
  <si>
    <t>アルミナ基板連結予実管理</t>
    <rPh sb="4" eb="6">
      <t>キバン</t>
    </rPh>
    <rPh sb="6" eb="8">
      <t>レンケツ</t>
    </rPh>
    <rPh sb="8" eb="9">
      <t>ヨ</t>
    </rPh>
    <rPh sb="9" eb="10">
      <t>ジツ</t>
    </rPh>
    <rPh sb="10" eb="12">
      <t>カンリ</t>
    </rPh>
    <phoneticPr fontId="2"/>
  </si>
  <si>
    <t>予算集計</t>
    <rPh sb="0" eb="2">
      <t>ヨサン</t>
    </rPh>
    <rPh sb="2" eb="4">
      <t>シュウケイ</t>
    </rPh>
    <phoneticPr fontId="2"/>
  </si>
  <si>
    <t>単位：千円</t>
    <rPh sb="0" eb="2">
      <t>タンイ</t>
    </rPh>
    <rPh sb="3" eb="5">
      <t>センエン</t>
    </rPh>
    <phoneticPr fontId="2"/>
  </si>
  <si>
    <t>管理会計</t>
    <rPh sb="0" eb="2">
      <t>カンリ</t>
    </rPh>
    <rPh sb="2" eb="4">
      <t>カイケイ</t>
    </rPh>
    <phoneticPr fontId="2"/>
  </si>
  <si>
    <t>見込</t>
    <rPh sb="0" eb="2">
      <t>ミコミ</t>
    </rPh>
    <phoneticPr fontId="2"/>
  </si>
  <si>
    <t>下期予算</t>
    <rPh sb="0" eb="2">
      <t>シモキ</t>
    </rPh>
    <rPh sb="2" eb="4">
      <t>ヨサン</t>
    </rPh>
    <phoneticPr fontId="2"/>
  </si>
  <si>
    <t>1Q</t>
  </si>
  <si>
    <t>上期</t>
  </si>
  <si>
    <t>下期</t>
  </si>
  <si>
    <t>予算増減</t>
    <rPh sb="0" eb="2">
      <t>ヨサン</t>
    </rPh>
    <rPh sb="2" eb="4">
      <t>ゾウゲン</t>
    </rPh>
    <phoneticPr fontId="2"/>
  </si>
  <si>
    <t>外部売上</t>
    <phoneticPr fontId="2"/>
  </si>
  <si>
    <t>期初予算</t>
  </si>
  <si>
    <t>実績値</t>
  </si>
  <si>
    <t>営業利益</t>
    <phoneticPr fontId="2"/>
  </si>
  <si>
    <t>内部売上</t>
    <rPh sb="0" eb="2">
      <t>ナイブ</t>
    </rPh>
    <rPh sb="2" eb="4">
      <t>ウリアゲ</t>
    </rPh>
    <phoneticPr fontId="2"/>
  </si>
  <si>
    <t>チップ連結</t>
    <rPh sb="3" eb="5">
      <t>レンケツ</t>
    </rPh>
    <phoneticPr fontId="2"/>
  </si>
  <si>
    <t>利益率</t>
    <rPh sb="0" eb="2">
      <t>リエキ</t>
    </rPh>
    <rPh sb="2" eb="3">
      <t>リツ</t>
    </rPh>
    <phoneticPr fontId="2"/>
  </si>
  <si>
    <t>大型基板MM</t>
    <rPh sb="0" eb="2">
      <t>オオガタ</t>
    </rPh>
    <rPh sb="2" eb="4">
      <t>キバン</t>
    </rPh>
    <phoneticPr fontId="2"/>
  </si>
  <si>
    <t>ｱﾙﾐﾅ基板　TOTAL</t>
    <rPh sb="4" eb="6">
      <t>キバン</t>
    </rPh>
    <phoneticPr fontId="2"/>
  </si>
  <si>
    <t>実績値</t>
    <phoneticPr fontId="2"/>
  </si>
  <si>
    <t>ﾊﾞﾙﾌﾞ</t>
    <phoneticPr fontId="2"/>
  </si>
  <si>
    <t>外部売上</t>
    <phoneticPr fontId="2"/>
  </si>
  <si>
    <t>FINANCE　PROFIT</t>
    <phoneticPr fontId="2"/>
  </si>
  <si>
    <t>PRODUCTION　PROFIT</t>
    <phoneticPr fontId="2"/>
  </si>
  <si>
    <t>チップJM</t>
    <phoneticPr fontId="2"/>
  </si>
  <si>
    <t>外部売上</t>
    <phoneticPr fontId="2"/>
  </si>
  <si>
    <t>営業利益</t>
    <phoneticPr fontId="2"/>
  </si>
  <si>
    <t>チップ商品+HIC</t>
    <phoneticPr fontId="2"/>
  </si>
  <si>
    <t>チップMM</t>
    <phoneticPr fontId="2"/>
  </si>
  <si>
    <t>営業利益</t>
    <phoneticPr fontId="2"/>
  </si>
  <si>
    <t>マグネット</t>
    <phoneticPr fontId="2"/>
  </si>
  <si>
    <t>MALAYSIA TOTAL</t>
    <phoneticPr fontId="2"/>
  </si>
  <si>
    <t>チップJM</t>
    <phoneticPr fontId="2"/>
  </si>
  <si>
    <t>チップ商品+HIC</t>
    <phoneticPr fontId="2"/>
  </si>
  <si>
    <t>チップMM</t>
    <phoneticPr fontId="2"/>
  </si>
  <si>
    <t>　在庫回転日数　3月末　59日　→　9月末　41日</t>
    <rPh sb="1" eb="3">
      <t>ザイコ</t>
    </rPh>
    <rPh sb="3" eb="5">
      <t>カイテン</t>
    </rPh>
    <rPh sb="5" eb="7">
      <t>ニッスウ</t>
    </rPh>
    <rPh sb="9" eb="11">
      <t>ガツマツ</t>
    </rPh>
    <rPh sb="14" eb="15">
      <t>ヒ</t>
    </rPh>
    <rPh sb="19" eb="21">
      <t>ガツマツ</t>
    </rPh>
    <rPh sb="24" eb="25">
      <t>ヒ</t>
    </rPh>
    <phoneticPr fontId="2"/>
  </si>
  <si>
    <t>　在庫回転日数　２０１９年３月末　40日</t>
    <rPh sb="1" eb="3">
      <t>ザイコ</t>
    </rPh>
    <rPh sb="3" eb="5">
      <t>カイテン</t>
    </rPh>
    <rPh sb="5" eb="7">
      <t>ニッスウ</t>
    </rPh>
    <rPh sb="12" eb="13">
      <t>ネン</t>
    </rPh>
    <rPh sb="14" eb="16">
      <t>ガツマツ</t>
    </rPh>
    <rPh sb="19" eb="20">
      <t>ニチ</t>
    </rPh>
    <phoneticPr fontId="2"/>
  </si>
  <si>
    <t>労務費（最低賃金の上昇）５％UP　2019年1月より</t>
    <rPh sb="0" eb="3">
      <t>ロウムヒ</t>
    </rPh>
    <rPh sb="4" eb="6">
      <t>サイテイ</t>
    </rPh>
    <rPh sb="6" eb="8">
      <t>チンギン</t>
    </rPh>
    <rPh sb="9" eb="11">
      <t>ジョウショウ</t>
    </rPh>
    <rPh sb="21" eb="22">
      <t>ネン</t>
    </rPh>
    <rPh sb="23" eb="24">
      <t>ガツ</t>
    </rPh>
    <phoneticPr fontId="2"/>
  </si>
  <si>
    <t>材料費　８％UP、電動費　５％UP、資材品での価格UP　</t>
    <rPh sb="0" eb="3">
      <t>ザイリョウヒ</t>
    </rPh>
    <rPh sb="9" eb="11">
      <t>デンドウ</t>
    </rPh>
    <rPh sb="11" eb="12">
      <t>ヒ</t>
    </rPh>
    <rPh sb="18" eb="20">
      <t>シザイ</t>
    </rPh>
    <rPh sb="20" eb="21">
      <t>ヒン</t>
    </rPh>
    <rPh sb="23" eb="25">
      <t>カカク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</si>
</sst>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#,##0;&quot;△ &quot;#,##0"/>
    <numFmt numFmtId="177" formatCode="0.0%"/>
    <numFmt numFmtId="178" formatCode="0_ "/>
    <numFmt numFmtId="179" formatCode="#,##0.000;&quot;△ &quot;#,##0.000"/>
    <numFmt numFmtId="180" formatCode="#,##0;&quot;▲ &quot;#,##0"/>
    <numFmt numFmtId="181" formatCode="#,##0.0_);[Red]\(#,##0.0\)"/>
    <numFmt numFmtId="182" formatCode="#,##0_);[Red]\(#,##0\)"/>
    <numFmt numFmtId="183" formatCode="0;&quot;△ &quot;0"/>
    <numFmt numFmtId="184" formatCode="0_ ;[Red]\-0\ "/>
  </numFmts>
  <fonts count="78" x14ac:knownFonts="1">
    <font>
      <sz val="12"/>
      <name val="Arial Narrow"/>
      <family val="2"/>
    </font>
    <font>
      <sz val="12"/>
      <name val="Arial Narrow"/>
      <family val="2"/>
    </font>
    <font>
      <sz val="6"/>
      <name val="ＭＳ Ｐゴシック"/>
      <family val="3"/>
      <charset val="128"/>
    </font>
    <font>
      <b/>
      <sz val="14"/>
      <color indexed="53"/>
      <name val="ＭＳ Ｐゴシック"/>
      <family val="3"/>
      <charset val="128"/>
    </font>
    <font>
      <b/>
      <sz val="14"/>
      <color indexed="60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indexed="17"/>
      <name val="ＭＳ Ｐゴシック"/>
      <family val="3"/>
      <charset val="128"/>
    </font>
    <font>
      <sz val="22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2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26"/>
      <name val="ＭＳ Ｐゴシック"/>
      <family val="3"/>
      <charset val="128"/>
    </font>
    <font>
      <sz val="28"/>
      <color indexed="12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indexed="6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color indexed="12"/>
      <name val="ＭＳ Ｐゴシック"/>
      <family val="3"/>
      <charset val="128"/>
    </font>
    <font>
      <b/>
      <sz val="24"/>
      <color indexed="12"/>
      <name val="ＭＳ Ｐゴシック"/>
      <family val="3"/>
      <charset val="128"/>
    </font>
    <font>
      <b/>
      <sz val="18"/>
      <color indexed="10"/>
      <name val="ＭＳ Ｐゴシック"/>
      <family val="3"/>
      <charset val="128"/>
    </font>
    <font>
      <b/>
      <sz val="24"/>
      <name val="ＭＳ Ｐゴシック"/>
      <family val="3"/>
      <charset val="128"/>
    </font>
    <font>
      <b/>
      <sz val="22"/>
      <color indexed="12"/>
      <name val="ＭＳ Ｐゴシック"/>
      <family val="3"/>
      <charset val="128"/>
    </font>
    <font>
      <b/>
      <sz val="22"/>
      <color indexed="10"/>
      <name val="ＭＳ Ｐゴシック"/>
      <family val="3"/>
      <charset val="128"/>
    </font>
    <font>
      <sz val="22"/>
      <color indexed="63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6"/>
      <color indexed="10"/>
      <name val="ＭＳ Ｐゴシック"/>
      <family val="3"/>
      <charset val="128"/>
    </font>
    <font>
      <b/>
      <sz val="16"/>
      <color indexed="12"/>
      <name val="ＭＳ Ｐゴシック"/>
      <family val="3"/>
      <charset val="128"/>
    </font>
    <font>
      <b/>
      <sz val="16"/>
      <name val="Arial Narrow"/>
      <family val="2"/>
    </font>
    <font>
      <b/>
      <sz val="13"/>
      <name val="ＭＳ Ｐゴシック"/>
      <family val="3"/>
      <charset val="128"/>
    </font>
    <font>
      <b/>
      <sz val="2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sz val="18"/>
      <name val="ＭＳ Ｐゴシック"/>
      <family val="3"/>
      <charset val="128"/>
    </font>
    <font>
      <b/>
      <sz val="14"/>
      <name val="Arial"/>
      <family val="2"/>
    </font>
    <font>
      <sz val="20"/>
      <color indexed="10"/>
      <name val="Arial"/>
      <family val="2"/>
    </font>
    <font>
      <b/>
      <sz val="2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5"/>
      <name val="ＭＳ Ｐゴシック"/>
      <family val="3"/>
      <charset val="128"/>
    </font>
    <font>
      <sz val="15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17"/>
      <name val="ＭＳ Ｐゴシック"/>
      <family val="3"/>
      <charset val="128"/>
    </font>
    <font>
      <sz val="17"/>
      <color indexed="8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b/>
      <sz val="18"/>
      <color rgb="FFFF0000"/>
      <name val="Arial"/>
      <family val="2"/>
    </font>
    <font>
      <b/>
      <sz val="12"/>
      <color theme="0"/>
      <name val="ＭＳ Ｐゴシック"/>
      <family val="3"/>
      <charset val="128"/>
    </font>
    <font>
      <b/>
      <sz val="14"/>
      <color theme="0"/>
      <name val="ＭＳ Ｐゴシック"/>
      <family val="3"/>
      <charset val="128"/>
    </font>
    <font>
      <sz val="15"/>
      <color rgb="FFFF0000"/>
      <name val="ＭＳ Ｐゴシック"/>
      <family val="3"/>
      <charset val="128"/>
    </font>
    <font>
      <b/>
      <u/>
      <sz val="14"/>
      <color rgb="FF0000FF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b/>
      <sz val="18"/>
      <color rgb="FF0000FF"/>
      <name val="ＭＳ Ｐゴシック"/>
      <family val="3"/>
      <charset val="128"/>
    </font>
    <font>
      <b/>
      <sz val="18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b/>
      <sz val="22"/>
      <color rgb="FF0070C0"/>
      <name val="ＭＳ Ｐゴシック"/>
      <family val="3"/>
      <charset val="128"/>
    </font>
    <font>
      <b/>
      <sz val="20"/>
      <color rgb="FF0070C0"/>
      <name val="ＭＳ Ｐゴシック"/>
      <family val="3"/>
      <charset val="128"/>
    </font>
    <font>
      <sz val="22"/>
      <color rgb="FF0070C0"/>
      <name val="ＭＳ Ｐゴシック"/>
      <family val="3"/>
      <charset val="128"/>
    </font>
    <font>
      <b/>
      <sz val="22"/>
      <color rgb="FF002060"/>
      <name val="ＭＳ Ｐゴシック"/>
      <family val="3"/>
      <charset val="128"/>
    </font>
    <font>
      <b/>
      <sz val="20"/>
      <color rgb="FF002060"/>
      <name val="ＭＳ Ｐゴシック"/>
      <family val="3"/>
      <charset val="128"/>
    </font>
    <font>
      <sz val="20"/>
      <color rgb="FFFF0000"/>
      <name val="ＭＳ Ｐゴシック"/>
      <family val="3"/>
      <charset val="128"/>
    </font>
    <font>
      <sz val="12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name val="HG丸ｺﾞｼｯｸM-PRO"/>
      <family val="3"/>
      <charset val="128"/>
    </font>
    <font>
      <u/>
      <sz val="16"/>
      <color indexed="39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sz val="8"/>
      <color indexed="55"/>
      <name val="Arial"/>
      <family val="2"/>
    </font>
    <font>
      <b/>
      <sz val="14"/>
      <color indexed="10"/>
      <name val="ＭＳ Ｐゴシック"/>
      <family val="3"/>
      <charset val="128"/>
    </font>
    <font>
      <sz val="8"/>
      <color indexed="55"/>
      <name val="ＭＳ Ｐゴシック"/>
      <family val="3"/>
      <charset val="128"/>
    </font>
    <font>
      <sz val="10"/>
      <color indexed="10"/>
      <name val="Arial"/>
      <family val="2"/>
    </font>
    <font>
      <b/>
      <sz val="10"/>
      <name val="ＭＳ Ｐゴシック"/>
      <family val="3"/>
      <charset val="128"/>
    </font>
    <font>
      <b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 diagonalUp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indexed="64"/>
      </diagonal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 diagonalUp="1">
      <left style="thin">
        <color theme="0"/>
      </left>
      <right/>
      <top style="thin">
        <color theme="0"/>
      </top>
      <bottom/>
      <diagonal style="thin">
        <color indexed="64"/>
      </diagonal>
    </border>
    <border diagonalUp="1">
      <left/>
      <right style="thin">
        <color theme="0"/>
      </right>
      <top style="thin">
        <color theme="0"/>
      </top>
      <bottom/>
      <diagonal style="thin">
        <color indexed="64"/>
      </diagonal>
    </border>
    <border diagonalUp="1">
      <left style="thin">
        <color theme="0"/>
      </left>
      <right/>
      <top/>
      <bottom style="thin">
        <color theme="0"/>
      </bottom>
      <diagonal style="thin">
        <color indexed="64"/>
      </diagonal>
    </border>
    <border diagonalUp="1">
      <left/>
      <right style="thin">
        <color theme="0"/>
      </right>
      <top/>
      <bottom style="thin">
        <color theme="0"/>
      </bottom>
      <diagonal style="thin">
        <color indexed="64"/>
      </diagonal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 diagonalUp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indexed="64"/>
      </diagonal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504">
    <xf numFmtId="0" fontId="0" fillId="0" borderId="0" xfId="0"/>
    <xf numFmtId="176" fontId="5" fillId="0" borderId="0" xfId="2" applyNumberFormat="1" applyFont="1" applyBorder="1" applyAlignment="1">
      <alignment vertical="center"/>
    </xf>
    <xf numFmtId="176" fontId="13" fillId="0" borderId="0" xfId="2" applyNumberFormat="1" applyFont="1" applyBorder="1" applyAlignment="1">
      <alignment vertical="center"/>
    </xf>
    <xf numFmtId="176" fontId="9" fillId="0" borderId="0" xfId="2" applyNumberFormat="1" applyFont="1" applyBorder="1" applyAlignment="1">
      <alignment vertical="center"/>
    </xf>
    <xf numFmtId="179" fontId="9" fillId="0" borderId="0" xfId="2" applyNumberFormat="1" applyFont="1" applyBorder="1" applyAlignment="1">
      <alignment vertical="center"/>
    </xf>
    <xf numFmtId="176" fontId="5" fillId="0" borderId="0" xfId="2" applyNumberFormat="1" applyFont="1" applyFill="1" applyBorder="1" applyAlignment="1">
      <alignment vertical="center"/>
    </xf>
    <xf numFmtId="176" fontId="14" fillId="0" borderId="0" xfId="2" applyNumberFormat="1" applyFont="1" applyBorder="1" applyAlignment="1">
      <alignment horizontal="left" vertical="center"/>
    </xf>
    <xf numFmtId="176" fontId="15" fillId="0" borderId="0" xfId="2" applyNumberFormat="1" applyFont="1" applyBorder="1" applyAlignment="1">
      <alignment horizontal="center" vertical="center"/>
    </xf>
    <xf numFmtId="176" fontId="8" fillId="0" borderId="0" xfId="2" applyNumberFormat="1" applyFont="1" applyBorder="1" applyAlignment="1">
      <alignment horizontal="center" vertical="center" wrapText="1"/>
    </xf>
    <xf numFmtId="176" fontId="17" fillId="2" borderId="0" xfId="2" applyNumberFormat="1" applyFont="1" applyFill="1" applyBorder="1" applyAlignment="1">
      <alignment vertical="center"/>
    </xf>
    <xf numFmtId="176" fontId="5" fillId="2" borderId="0" xfId="2" applyNumberFormat="1" applyFont="1" applyFill="1" applyBorder="1" applyAlignment="1">
      <alignment vertical="center"/>
    </xf>
    <xf numFmtId="176" fontId="5" fillId="2" borderId="0" xfId="2" applyNumberFormat="1" applyFont="1" applyFill="1" applyBorder="1" applyAlignment="1">
      <alignment horizontal="right" vertical="center"/>
    </xf>
    <xf numFmtId="176" fontId="5" fillId="2" borderId="0" xfId="2" applyNumberFormat="1" applyFont="1" applyFill="1" applyBorder="1" applyAlignment="1">
      <alignment horizontal="left" vertical="center"/>
    </xf>
    <xf numFmtId="176" fontId="5" fillId="3" borderId="0" xfId="2" applyNumberFormat="1" applyFont="1" applyFill="1" applyBorder="1" applyAlignment="1">
      <alignment vertical="center"/>
    </xf>
    <xf numFmtId="0" fontId="4" fillId="3" borderId="0" xfId="2" applyNumberFormat="1" applyFont="1" applyFill="1" applyAlignment="1">
      <alignment horizontal="center" vertical="center"/>
    </xf>
    <xf numFmtId="0" fontId="5" fillId="3" borderId="0" xfId="0" applyFont="1" applyFill="1"/>
    <xf numFmtId="0" fontId="7" fillId="3" borderId="0" xfId="2" applyNumberFormat="1" applyFont="1" applyFill="1" applyAlignment="1">
      <alignment horizontal="center" vertical="center"/>
    </xf>
    <xf numFmtId="0" fontId="16" fillId="3" borderId="0" xfId="0" applyFont="1" applyFill="1"/>
    <xf numFmtId="0" fontId="16" fillId="3" borderId="0" xfId="2" applyNumberFormat="1" applyFont="1" applyFill="1" applyAlignment="1">
      <alignment horizontal="center" vertical="center"/>
    </xf>
    <xf numFmtId="0" fontId="5" fillId="3" borderId="0" xfId="0" applyFont="1" applyFill="1" applyAlignment="1">
      <alignment shrinkToFit="1"/>
    </xf>
    <xf numFmtId="176" fontId="5" fillId="3" borderId="0" xfId="2" applyNumberFormat="1" applyFont="1" applyFill="1" applyAlignment="1">
      <alignment vertical="center" shrinkToFit="1"/>
    </xf>
    <xf numFmtId="177" fontId="5" fillId="3" borderId="0" xfId="1" applyNumberFormat="1" applyFont="1" applyFill="1"/>
    <xf numFmtId="177" fontId="5" fillId="3" borderId="0" xfId="1" applyNumberFormat="1" applyFont="1" applyFill="1" applyAlignment="1">
      <alignment vertical="center"/>
    </xf>
    <xf numFmtId="176" fontId="5" fillId="0" borderId="0" xfId="2" applyNumberFormat="1" applyFont="1" applyFill="1" applyBorder="1" applyAlignment="1">
      <alignment horizontal="right" vertical="center"/>
    </xf>
    <xf numFmtId="176" fontId="5" fillId="0" borderId="0" xfId="2" applyNumberFormat="1" applyFont="1" applyFill="1" applyBorder="1" applyAlignment="1">
      <alignment horizontal="left" vertical="center"/>
    </xf>
    <xf numFmtId="176" fontId="6" fillId="3" borderId="0" xfId="2" applyNumberFormat="1" applyFont="1" applyFill="1" applyBorder="1" applyAlignment="1">
      <alignment vertical="center"/>
    </xf>
    <xf numFmtId="176" fontId="6" fillId="0" borderId="0" xfId="2" applyNumberFormat="1" applyFont="1" applyFill="1" applyBorder="1" applyAlignment="1">
      <alignment vertical="center"/>
    </xf>
    <xf numFmtId="176" fontId="18" fillId="0" borderId="0" xfId="2" applyNumberFormat="1" applyFont="1" applyFill="1" applyBorder="1" applyAlignment="1">
      <alignment vertical="center"/>
    </xf>
    <xf numFmtId="176" fontId="18" fillId="2" borderId="0" xfId="2" applyNumberFormat="1" applyFont="1" applyFill="1" applyBorder="1" applyAlignment="1">
      <alignment vertical="center"/>
    </xf>
    <xf numFmtId="176" fontId="17" fillId="0" borderId="0" xfId="2" applyNumberFormat="1" applyFont="1" applyFill="1" applyBorder="1" applyAlignment="1">
      <alignment horizontal="right" vertical="center"/>
    </xf>
    <xf numFmtId="176" fontId="10" fillId="0" borderId="0" xfId="2" applyNumberFormat="1" applyFont="1" applyBorder="1" applyAlignment="1">
      <alignment horizontal="center" vertical="center" shrinkToFit="1"/>
    </xf>
    <xf numFmtId="176" fontId="20" fillId="0" borderId="0" xfId="2" applyNumberFormat="1" applyFont="1" applyBorder="1" applyAlignment="1">
      <alignment vertical="center"/>
    </xf>
    <xf numFmtId="176" fontId="21" fillId="0" borderId="0" xfId="2" applyNumberFormat="1" applyFont="1" applyFill="1" applyBorder="1" applyAlignment="1">
      <alignment horizontal="center" vertical="center"/>
    </xf>
    <xf numFmtId="176" fontId="11" fillId="0" borderId="0" xfId="2" applyNumberFormat="1" applyFont="1" applyFill="1" applyBorder="1" applyAlignment="1">
      <alignment horizontal="right" vertical="center"/>
    </xf>
    <xf numFmtId="176" fontId="23" fillId="0" borderId="0" xfId="2" applyNumberFormat="1" applyFont="1" applyBorder="1" applyAlignment="1"/>
    <xf numFmtId="176" fontId="23" fillId="0" borderId="0" xfId="2" applyNumberFormat="1" applyFont="1" applyBorder="1" applyAlignment="1">
      <alignment vertical="center"/>
    </xf>
    <xf numFmtId="176" fontId="23" fillId="0" borderId="2" xfId="2" applyNumberFormat="1" applyFont="1" applyBorder="1" applyAlignment="1">
      <alignment horizontal="left" vertical="center"/>
    </xf>
    <xf numFmtId="176" fontId="23" fillId="0" borderId="3" xfId="2" applyNumberFormat="1" applyFont="1" applyBorder="1" applyAlignment="1">
      <alignment horizontal="left" vertical="center"/>
    </xf>
    <xf numFmtId="176" fontId="23" fillId="0" borderId="4" xfId="2" applyNumberFormat="1" applyFont="1" applyBorder="1" applyAlignment="1">
      <alignment horizontal="left" vertical="center"/>
    </xf>
    <xf numFmtId="176" fontId="25" fillId="0" borderId="0" xfId="2" applyNumberFormat="1" applyFont="1" applyBorder="1" applyAlignment="1">
      <alignment vertical="center"/>
    </xf>
    <xf numFmtId="176" fontId="26" fillId="0" borderId="5" xfId="2" applyNumberFormat="1" applyFont="1" applyFill="1" applyBorder="1" applyAlignment="1">
      <alignment vertical="center"/>
    </xf>
    <xf numFmtId="176" fontId="26" fillId="0" borderId="0" xfId="2" applyNumberFormat="1" applyFont="1" applyFill="1" applyBorder="1" applyAlignment="1">
      <alignment vertical="center"/>
    </xf>
    <xf numFmtId="176" fontId="26" fillId="0" borderId="5" xfId="2" applyNumberFormat="1" applyFont="1" applyFill="1" applyBorder="1" applyAlignment="1">
      <alignment horizontal="left" vertical="center"/>
    </xf>
    <xf numFmtId="176" fontId="26" fillId="0" borderId="0" xfId="2" applyNumberFormat="1" applyFont="1" applyFill="1" applyBorder="1" applyAlignment="1">
      <alignment horizontal="left" vertical="center"/>
    </xf>
    <xf numFmtId="176" fontId="26" fillId="0" borderId="0" xfId="2" applyNumberFormat="1" applyFont="1" applyBorder="1" applyAlignment="1">
      <alignment vertical="center"/>
    </xf>
    <xf numFmtId="176" fontId="26" fillId="0" borderId="0" xfId="2" quotePrefix="1" applyNumberFormat="1" applyFont="1" applyFill="1" applyBorder="1" applyAlignment="1">
      <alignment horizontal="right" vertical="center"/>
    </xf>
    <xf numFmtId="0" fontId="26" fillId="0" borderId="0" xfId="0" applyFont="1" applyBorder="1" applyAlignment="1">
      <alignment vertical="center"/>
    </xf>
    <xf numFmtId="176" fontId="27" fillId="0" borderId="0" xfId="2" applyNumberFormat="1" applyFont="1" applyFill="1" applyBorder="1" applyAlignment="1">
      <alignment vertical="center"/>
    </xf>
    <xf numFmtId="176" fontId="26" fillId="0" borderId="6" xfId="2" applyNumberFormat="1" applyFont="1" applyFill="1" applyBorder="1" applyAlignment="1">
      <alignment vertical="center"/>
    </xf>
    <xf numFmtId="0" fontId="26" fillId="0" borderId="7" xfId="0" applyFont="1" applyBorder="1" applyAlignment="1">
      <alignment vertical="center"/>
    </xf>
    <xf numFmtId="176" fontId="26" fillId="0" borderId="7" xfId="2" applyNumberFormat="1" applyFont="1" applyFill="1" applyBorder="1" applyAlignment="1">
      <alignment vertical="center"/>
    </xf>
    <xf numFmtId="176" fontId="27" fillId="0" borderId="7" xfId="2" applyNumberFormat="1" applyFont="1" applyFill="1" applyBorder="1" applyAlignment="1">
      <alignment vertical="center"/>
    </xf>
    <xf numFmtId="176" fontId="26" fillId="0" borderId="8" xfId="2" applyNumberFormat="1" applyFont="1" applyFill="1" applyBorder="1" applyAlignment="1">
      <alignment vertical="center"/>
    </xf>
    <xf numFmtId="176" fontId="28" fillId="0" borderId="0" xfId="2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176" fontId="5" fillId="0" borderId="7" xfId="2" applyNumberFormat="1" applyFont="1" applyBorder="1" applyAlignment="1">
      <alignment vertical="center"/>
    </xf>
    <xf numFmtId="176" fontId="9" fillId="0" borderId="7" xfId="2" applyNumberFormat="1" applyFont="1" applyBorder="1" applyAlignment="1">
      <alignment horizontal="center" vertical="center"/>
    </xf>
    <xf numFmtId="176" fontId="12" fillId="0" borderId="7" xfId="2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9" fillId="0" borderId="7" xfId="0" applyFont="1" applyBorder="1" applyAlignment="1">
      <alignment vertical="center"/>
    </xf>
    <xf numFmtId="176" fontId="26" fillId="0" borderId="7" xfId="2" applyNumberFormat="1" applyFont="1" applyBorder="1" applyAlignment="1">
      <alignment vertical="center"/>
    </xf>
    <xf numFmtId="176" fontId="26" fillId="0" borderId="9" xfId="2" applyNumberFormat="1" applyFont="1" applyFill="1" applyBorder="1" applyAlignment="1">
      <alignment vertical="center"/>
    </xf>
    <xf numFmtId="182" fontId="11" fillId="0" borderId="0" xfId="0" applyNumberFormat="1" applyFont="1" applyBorder="1" applyAlignment="1">
      <alignment horizontal="center" vertical="center"/>
    </xf>
    <xf numFmtId="181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176" fontId="26" fillId="0" borderId="10" xfId="2" applyNumberFormat="1" applyFont="1" applyFill="1" applyBorder="1" applyAlignment="1">
      <alignment vertical="center"/>
    </xf>
    <xf numFmtId="176" fontId="26" fillId="0" borderId="11" xfId="2" applyNumberFormat="1" applyFont="1" applyFill="1" applyBorder="1" applyAlignment="1">
      <alignment vertical="center"/>
    </xf>
    <xf numFmtId="176" fontId="26" fillId="0" borderId="12" xfId="2" applyNumberFormat="1" applyFont="1" applyFill="1" applyBorder="1" applyAlignment="1">
      <alignment vertical="center"/>
    </xf>
    <xf numFmtId="176" fontId="23" fillId="0" borderId="13" xfId="2" applyNumberFormat="1" applyFont="1" applyBorder="1" applyAlignment="1">
      <alignment vertical="center"/>
    </xf>
    <xf numFmtId="176" fontId="15" fillId="0" borderId="0" xfId="2" applyNumberFormat="1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right" vertical="center"/>
    </xf>
    <xf numFmtId="176" fontId="46" fillId="0" borderId="0" xfId="2" applyNumberFormat="1" applyFont="1" applyFill="1" applyBorder="1" applyAlignment="1">
      <alignment vertical="center"/>
    </xf>
    <xf numFmtId="176" fontId="14" fillId="5" borderId="31" xfId="2" applyNumberFormat="1" applyFont="1" applyFill="1" applyBorder="1" applyAlignment="1">
      <alignment horizontal="center" vertical="center" shrinkToFit="1"/>
    </xf>
    <xf numFmtId="176" fontId="6" fillId="6" borderId="31" xfId="2" applyNumberFormat="1" applyFont="1" applyFill="1" applyBorder="1" applyAlignment="1">
      <alignment horizontal="center" vertical="center" shrinkToFit="1"/>
    </xf>
    <xf numFmtId="176" fontId="36" fillId="5" borderId="31" xfId="2" applyNumberFormat="1" applyFont="1" applyFill="1" applyBorder="1" applyAlignment="1">
      <alignment horizontal="center" vertical="center" shrinkToFit="1"/>
    </xf>
    <xf numFmtId="176" fontId="6" fillId="7" borderId="31" xfId="2" applyNumberFormat="1" applyFont="1" applyFill="1" applyBorder="1" applyAlignment="1">
      <alignment horizontal="center" vertical="center" shrinkToFit="1"/>
    </xf>
    <xf numFmtId="183" fontId="32" fillId="6" borderId="31" xfId="2" applyNumberFormat="1" applyFont="1" applyFill="1" applyBorder="1" applyAlignment="1">
      <alignment horizontal="center" vertical="center" shrinkToFit="1"/>
    </xf>
    <xf numFmtId="183" fontId="32" fillId="7" borderId="31" xfId="2" applyNumberFormat="1" applyFont="1" applyFill="1" applyBorder="1" applyAlignment="1">
      <alignment horizontal="center" vertical="center" shrinkToFit="1"/>
    </xf>
    <xf numFmtId="176" fontId="14" fillId="8" borderId="31" xfId="2" applyNumberFormat="1" applyFont="1" applyFill="1" applyBorder="1" applyAlignment="1">
      <alignment horizontal="center" vertical="center" shrinkToFit="1"/>
    </xf>
    <xf numFmtId="176" fontId="36" fillId="8" borderId="31" xfId="2" applyNumberFormat="1" applyFont="1" applyFill="1" applyBorder="1" applyAlignment="1">
      <alignment horizontal="center" vertical="center" shrinkToFit="1"/>
    </xf>
    <xf numFmtId="183" fontId="48" fillId="9" borderId="31" xfId="2" applyNumberFormat="1" applyFont="1" applyFill="1" applyBorder="1" applyAlignment="1">
      <alignment horizontal="center" vertical="center" shrinkToFit="1"/>
    </xf>
    <xf numFmtId="176" fontId="14" fillId="9" borderId="31" xfId="2" applyNumberFormat="1" applyFont="1" applyFill="1" applyBorder="1" applyAlignment="1">
      <alignment horizontal="center" vertical="center" shrinkToFit="1"/>
    </xf>
    <xf numFmtId="183" fontId="32" fillId="10" borderId="31" xfId="2" applyNumberFormat="1" applyFont="1" applyFill="1" applyBorder="1" applyAlignment="1">
      <alignment horizontal="center" vertical="center" shrinkToFit="1"/>
    </xf>
    <xf numFmtId="176" fontId="6" fillId="10" borderId="31" xfId="2" applyNumberFormat="1" applyFont="1" applyFill="1" applyBorder="1" applyAlignment="1">
      <alignment horizontal="center" vertical="center" shrinkToFit="1"/>
    </xf>
    <xf numFmtId="176" fontId="23" fillId="0" borderId="2" xfId="2" applyNumberFormat="1" applyFont="1" applyBorder="1" applyAlignment="1">
      <alignment horizontal="center" vertical="center"/>
    </xf>
    <xf numFmtId="176" fontId="46" fillId="2" borderId="0" xfId="2" applyNumberFormat="1" applyFont="1" applyFill="1" applyBorder="1" applyAlignment="1">
      <alignment vertical="center"/>
    </xf>
    <xf numFmtId="176" fontId="39" fillId="0" borderId="2" xfId="2" applyNumberFormat="1" applyFont="1" applyBorder="1" applyAlignment="1">
      <alignment horizontal="left" vertical="center"/>
    </xf>
    <xf numFmtId="176" fontId="26" fillId="0" borderId="15" xfId="2" applyNumberFormat="1" applyFont="1" applyFill="1" applyBorder="1" applyAlignment="1">
      <alignment vertical="center"/>
    </xf>
    <xf numFmtId="176" fontId="26" fillId="0" borderId="16" xfId="2" applyNumberFormat="1" applyFont="1" applyFill="1" applyBorder="1" applyAlignment="1">
      <alignment vertical="center"/>
    </xf>
    <xf numFmtId="176" fontId="26" fillId="0" borderId="15" xfId="2" applyNumberFormat="1" applyFont="1" applyFill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176" fontId="26" fillId="0" borderId="17" xfId="2" applyNumberFormat="1" applyFont="1" applyFill="1" applyBorder="1" applyAlignment="1">
      <alignment vertical="center"/>
    </xf>
    <xf numFmtId="176" fontId="26" fillId="0" borderId="18" xfId="2" applyNumberFormat="1" applyFont="1" applyFill="1" applyBorder="1" applyAlignment="1">
      <alignment vertical="center"/>
    </xf>
    <xf numFmtId="0" fontId="26" fillId="0" borderId="18" xfId="0" applyFont="1" applyBorder="1" applyAlignment="1">
      <alignment vertical="center"/>
    </xf>
    <xf numFmtId="176" fontId="27" fillId="0" borderId="18" xfId="2" applyNumberFormat="1" applyFont="1" applyFill="1" applyBorder="1" applyAlignment="1">
      <alignment vertical="center"/>
    </xf>
    <xf numFmtId="176" fontId="26" fillId="0" borderId="19" xfId="2" applyNumberFormat="1" applyFont="1" applyFill="1" applyBorder="1" applyAlignment="1">
      <alignment vertical="center"/>
    </xf>
    <xf numFmtId="0" fontId="29" fillId="0" borderId="18" xfId="0" applyFont="1" applyBorder="1" applyAlignment="1">
      <alignment vertical="center"/>
    </xf>
    <xf numFmtId="176" fontId="26" fillId="0" borderId="18" xfId="2" applyNumberFormat="1" applyFont="1" applyBorder="1" applyAlignment="1">
      <alignment vertical="center"/>
    </xf>
    <xf numFmtId="176" fontId="26" fillId="0" borderId="20" xfId="2" applyNumberFormat="1" applyFont="1" applyFill="1" applyBorder="1" applyAlignment="1">
      <alignment vertical="center"/>
    </xf>
    <xf numFmtId="176" fontId="23" fillId="0" borderId="21" xfId="2" applyNumberFormat="1" applyFont="1" applyBorder="1" applyAlignment="1">
      <alignment horizontal="left" vertical="center"/>
    </xf>
    <xf numFmtId="176" fontId="23" fillId="0" borderId="22" xfId="2" applyNumberFormat="1" applyFont="1" applyBorder="1" applyAlignment="1">
      <alignment horizontal="left" vertical="center"/>
    </xf>
    <xf numFmtId="176" fontId="39" fillId="0" borderId="22" xfId="2" applyNumberFormat="1" applyFont="1" applyBorder="1" applyAlignment="1">
      <alignment horizontal="left" vertical="center"/>
    </xf>
    <xf numFmtId="176" fontId="23" fillId="0" borderId="23" xfId="2" applyNumberFormat="1" applyFont="1" applyBorder="1" applyAlignment="1">
      <alignment vertical="center"/>
    </xf>
    <xf numFmtId="176" fontId="23" fillId="0" borderId="22" xfId="2" applyNumberFormat="1" applyFont="1" applyBorder="1" applyAlignment="1">
      <alignment horizontal="center" vertical="center"/>
    </xf>
    <xf numFmtId="176" fontId="23" fillId="0" borderId="24" xfId="2" applyNumberFormat="1" applyFont="1" applyBorder="1" applyAlignment="1">
      <alignment horizontal="left" vertical="center"/>
    </xf>
    <xf numFmtId="183" fontId="32" fillId="0" borderId="32" xfId="2" applyNumberFormat="1" applyFont="1" applyFill="1" applyBorder="1" applyAlignment="1">
      <alignment horizontal="center" vertical="center" shrinkToFit="1"/>
    </xf>
    <xf numFmtId="176" fontId="6" fillId="0" borderId="32" xfId="2" applyNumberFormat="1" applyFont="1" applyFill="1" applyBorder="1" applyAlignment="1">
      <alignment horizontal="center" vertical="center" shrinkToFit="1"/>
    </xf>
    <xf numFmtId="176" fontId="14" fillId="5" borderId="32" xfId="2" applyNumberFormat="1" applyFont="1" applyFill="1" applyBorder="1" applyAlignment="1">
      <alignment horizontal="center" vertical="center" shrinkToFit="1"/>
    </xf>
    <xf numFmtId="176" fontId="36" fillId="5" borderId="32" xfId="2" applyNumberFormat="1" applyFont="1" applyFill="1" applyBorder="1" applyAlignment="1">
      <alignment horizontal="center" vertical="center" shrinkToFit="1"/>
    </xf>
    <xf numFmtId="176" fontId="14" fillId="8" borderId="32" xfId="2" applyNumberFormat="1" applyFont="1" applyFill="1" applyBorder="1" applyAlignment="1">
      <alignment horizontal="center" vertical="center" shrinkToFit="1"/>
    </xf>
    <xf numFmtId="176" fontId="36" fillId="8" borderId="32" xfId="2" applyNumberFormat="1" applyFont="1" applyFill="1" applyBorder="1" applyAlignment="1">
      <alignment horizontal="center" vertical="center" shrinkToFit="1"/>
    </xf>
    <xf numFmtId="183" fontId="48" fillId="9" borderId="32" xfId="2" applyNumberFormat="1" applyFont="1" applyFill="1" applyBorder="1" applyAlignment="1">
      <alignment horizontal="center" vertical="center" shrinkToFit="1"/>
    </xf>
    <xf numFmtId="176" fontId="14" fillId="9" borderId="32" xfId="2" applyNumberFormat="1" applyFont="1" applyFill="1" applyBorder="1" applyAlignment="1">
      <alignment horizontal="center" vertical="center" shrinkToFit="1"/>
    </xf>
    <xf numFmtId="176" fontId="26" fillId="0" borderId="0" xfId="2" applyNumberFormat="1" applyFont="1" applyFill="1" applyBorder="1" applyAlignment="1">
      <alignment horizontal="right" vertical="center"/>
    </xf>
    <xf numFmtId="176" fontId="40" fillId="0" borderId="0" xfId="2" applyNumberFormat="1" applyFont="1" applyBorder="1" applyAlignment="1">
      <alignment vertical="center"/>
    </xf>
    <xf numFmtId="176" fontId="6" fillId="0" borderId="0" xfId="2" applyNumberFormat="1" applyFont="1" applyBorder="1" applyAlignment="1">
      <alignment vertical="center"/>
    </xf>
    <xf numFmtId="176" fontId="51" fillId="0" borderId="0" xfId="2" applyNumberFormat="1" applyFont="1" applyBorder="1" applyAlignment="1">
      <alignment vertical="center"/>
    </xf>
    <xf numFmtId="176" fontId="41" fillId="0" borderId="0" xfId="2" applyNumberFormat="1" applyFont="1" applyBorder="1" applyAlignment="1">
      <alignment vertical="center"/>
    </xf>
    <xf numFmtId="176" fontId="24" fillId="0" borderId="0" xfId="2" applyNumberFormat="1" applyFont="1" applyBorder="1" applyAlignment="1">
      <alignment vertical="center"/>
    </xf>
    <xf numFmtId="176" fontId="42" fillId="0" borderId="0" xfId="2" applyNumberFormat="1" applyFont="1" applyBorder="1" applyAlignment="1">
      <alignment vertical="center"/>
    </xf>
    <xf numFmtId="176" fontId="26" fillId="0" borderId="14" xfId="2" applyNumberFormat="1" applyFont="1" applyFill="1" applyBorder="1" applyAlignment="1">
      <alignment vertical="center"/>
    </xf>
    <xf numFmtId="176" fontId="5" fillId="0" borderId="14" xfId="2" applyNumberFormat="1" applyFont="1" applyBorder="1" applyAlignment="1">
      <alignment vertical="center"/>
    </xf>
    <xf numFmtId="176" fontId="26" fillId="0" borderId="25" xfId="2" applyNumberFormat="1" applyFont="1" applyFill="1" applyBorder="1" applyAlignment="1">
      <alignment vertical="center"/>
    </xf>
    <xf numFmtId="176" fontId="26" fillId="0" borderId="25" xfId="2" applyNumberFormat="1" applyFont="1" applyFill="1" applyBorder="1" applyAlignment="1">
      <alignment horizontal="left" vertical="center"/>
    </xf>
    <xf numFmtId="176" fontId="26" fillId="0" borderId="1" xfId="2" applyNumberFormat="1" applyFont="1" applyFill="1" applyBorder="1" applyAlignment="1">
      <alignment vertical="center"/>
    </xf>
    <xf numFmtId="176" fontId="26" fillId="0" borderId="14" xfId="2" quotePrefix="1" applyNumberFormat="1" applyFont="1" applyFill="1" applyBorder="1" applyAlignment="1">
      <alignment horizontal="right" vertical="center"/>
    </xf>
    <xf numFmtId="176" fontId="26" fillId="0" borderId="14" xfId="2" applyNumberFormat="1" applyFont="1" applyBorder="1" applyAlignment="1">
      <alignment vertical="center"/>
    </xf>
    <xf numFmtId="176" fontId="42" fillId="0" borderId="14" xfId="2" applyNumberFormat="1" applyFont="1" applyBorder="1" applyAlignment="1">
      <alignment vertical="center"/>
    </xf>
    <xf numFmtId="0" fontId="29" fillId="0" borderId="14" xfId="0" applyFont="1" applyBorder="1" applyAlignment="1">
      <alignment vertical="center"/>
    </xf>
    <xf numFmtId="176" fontId="26" fillId="0" borderId="26" xfId="2" applyNumberFormat="1" applyFont="1" applyFill="1" applyBorder="1" applyAlignment="1">
      <alignment vertical="center"/>
    </xf>
    <xf numFmtId="176" fontId="52" fillId="0" borderId="0" xfId="2" applyNumberFormat="1" applyFont="1" applyBorder="1" applyAlignment="1">
      <alignment vertical="center"/>
    </xf>
    <xf numFmtId="176" fontId="52" fillId="0" borderId="0" xfId="2" applyNumberFormat="1" applyFont="1" applyFill="1" applyBorder="1" applyAlignment="1">
      <alignment vertical="center"/>
    </xf>
    <xf numFmtId="176" fontId="43" fillId="0" borderId="0" xfId="2" applyNumberFormat="1" applyFont="1" applyFill="1" applyBorder="1" applyAlignment="1">
      <alignment vertical="center"/>
    </xf>
    <xf numFmtId="176" fontId="40" fillId="0" borderId="0" xfId="2" applyNumberFormat="1" applyFont="1" applyFill="1" applyBorder="1" applyAlignment="1">
      <alignment vertical="center"/>
    </xf>
    <xf numFmtId="176" fontId="5" fillId="0" borderId="15" xfId="2" applyNumberFormat="1" applyFont="1" applyBorder="1" applyAlignment="1">
      <alignment vertical="center"/>
    </xf>
    <xf numFmtId="176" fontId="5" fillId="0" borderId="16" xfId="2" applyNumberFormat="1" applyFont="1" applyBorder="1" applyAlignment="1">
      <alignment vertical="center"/>
    </xf>
    <xf numFmtId="176" fontId="14" fillId="0" borderId="0" xfId="2" applyNumberFormat="1" applyFont="1" applyFill="1" applyBorder="1" applyAlignment="1">
      <alignment vertical="center"/>
    </xf>
    <xf numFmtId="176" fontId="5" fillId="0" borderId="27" xfId="2" applyNumberFormat="1" applyFont="1" applyFill="1" applyBorder="1" applyAlignment="1">
      <alignment vertical="center"/>
    </xf>
    <xf numFmtId="0" fontId="53" fillId="0" borderId="0" xfId="0" applyFont="1" applyBorder="1" applyAlignment="1">
      <alignment vertical="center"/>
    </xf>
    <xf numFmtId="176" fontId="53" fillId="0" borderId="0" xfId="2" applyNumberFormat="1" applyFont="1" applyBorder="1" applyAlignment="1">
      <alignment vertical="center"/>
    </xf>
    <xf numFmtId="0" fontId="53" fillId="0" borderId="14" xfId="0" applyFont="1" applyBorder="1" applyAlignment="1">
      <alignment vertical="center"/>
    </xf>
    <xf numFmtId="0" fontId="44" fillId="0" borderId="25" xfId="0" applyFont="1" applyBorder="1" applyAlignment="1">
      <alignment vertical="center"/>
    </xf>
    <xf numFmtId="0" fontId="45" fillId="0" borderId="25" xfId="0" applyFont="1" applyBorder="1" applyAlignment="1">
      <alignment vertical="center"/>
    </xf>
    <xf numFmtId="176" fontId="5" fillId="0" borderId="25" xfId="2" applyNumberFormat="1" applyFont="1" applyBorder="1" applyAlignment="1">
      <alignment vertical="center"/>
    </xf>
    <xf numFmtId="176" fontId="53" fillId="0" borderId="14" xfId="2" applyNumberFormat="1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176" fontId="54" fillId="0" borderId="0" xfId="2" applyNumberFormat="1" applyFont="1" applyBorder="1" applyAlignment="1">
      <alignment vertical="center"/>
    </xf>
    <xf numFmtId="176" fontId="54" fillId="0" borderId="0" xfId="2" applyNumberFormat="1" applyFont="1" applyFill="1" applyBorder="1" applyAlignment="1">
      <alignment horizontal="left" vertical="center"/>
    </xf>
    <xf numFmtId="176" fontId="14" fillId="0" borderId="0" xfId="2" applyNumberFormat="1" applyFont="1" applyBorder="1" applyAlignment="1">
      <alignment vertical="center" shrinkToFit="1"/>
    </xf>
    <xf numFmtId="176" fontId="26" fillId="0" borderId="57" xfId="2" applyNumberFormat="1" applyFont="1" applyFill="1" applyBorder="1" applyAlignment="1">
      <alignment horizontal="center" vertical="center" shrinkToFit="1"/>
    </xf>
    <xf numFmtId="176" fontId="26" fillId="0" borderId="0" xfId="2" applyNumberFormat="1" applyFont="1" applyFill="1" applyBorder="1" applyAlignment="1">
      <alignment horizontal="right" vertical="center" wrapText="1"/>
    </xf>
    <xf numFmtId="176" fontId="18" fillId="0" borderId="0" xfId="2" applyNumberFormat="1" applyFont="1" applyFill="1" applyBorder="1" applyAlignment="1">
      <alignment horizontal="right" vertical="center"/>
    </xf>
    <xf numFmtId="0" fontId="49" fillId="11" borderId="27" xfId="2" applyNumberFormat="1" applyFont="1" applyFill="1" applyBorder="1" applyAlignment="1">
      <alignment horizontal="center" vertical="center"/>
    </xf>
    <xf numFmtId="0" fontId="50" fillId="11" borderId="27" xfId="2" quotePrefix="1" applyNumberFormat="1" applyFont="1" applyFill="1" applyBorder="1" applyAlignment="1">
      <alignment horizontal="center" vertical="center"/>
    </xf>
    <xf numFmtId="0" fontId="50" fillId="11" borderId="27" xfId="2" applyNumberFormat="1" applyFont="1" applyFill="1" applyBorder="1" applyAlignment="1">
      <alignment horizontal="center" vertical="center"/>
    </xf>
    <xf numFmtId="176" fontId="5" fillId="0" borderId="27" xfId="2" applyNumberFormat="1" applyFont="1" applyFill="1" applyBorder="1" applyAlignment="1">
      <alignment horizontal="distributed" vertical="center"/>
    </xf>
    <xf numFmtId="176" fontId="5" fillId="0" borderId="27" xfId="2" applyNumberFormat="1" applyFont="1" applyFill="1" applyBorder="1" applyAlignment="1">
      <alignment horizontal="distributed" vertical="center" shrinkToFit="1"/>
    </xf>
    <xf numFmtId="176" fontId="5" fillId="0" borderId="27" xfId="2" applyNumberFormat="1" applyFont="1" applyFill="1" applyBorder="1" applyAlignment="1">
      <alignment vertical="center" shrinkToFit="1"/>
    </xf>
    <xf numFmtId="177" fontId="5" fillId="0" borderId="27" xfId="1" applyNumberFormat="1" applyFont="1" applyFill="1" applyBorder="1" applyAlignment="1">
      <alignment horizontal="distributed" vertical="center"/>
    </xf>
    <xf numFmtId="183" fontId="40" fillId="0" borderId="53" xfId="2" applyNumberFormat="1" applyFont="1" applyFill="1" applyBorder="1" applyAlignment="1">
      <alignment horizontal="center" vertical="center" shrinkToFit="1"/>
    </xf>
    <xf numFmtId="183" fontId="11" fillId="6" borderId="55" xfId="2" applyNumberFormat="1" applyFont="1" applyFill="1" applyBorder="1" applyAlignment="1">
      <alignment horizontal="center" vertical="center" shrinkToFit="1"/>
    </xf>
    <xf numFmtId="184" fontId="40" fillId="0" borderId="53" xfId="2" applyNumberFormat="1" applyFont="1" applyFill="1" applyBorder="1" applyAlignment="1">
      <alignment horizontal="center" vertical="center" wrapText="1" shrinkToFit="1"/>
    </xf>
    <xf numFmtId="177" fontId="5" fillId="0" borderId="27" xfId="1" applyNumberFormat="1" applyFont="1" applyFill="1" applyBorder="1" applyAlignment="1">
      <alignment horizontal="right" vertical="center"/>
    </xf>
    <xf numFmtId="176" fontId="47" fillId="0" borderId="27" xfId="2" applyNumberFormat="1" applyFont="1" applyFill="1" applyBorder="1" applyAlignment="1">
      <alignment vertical="center"/>
    </xf>
    <xf numFmtId="176" fontId="47" fillId="0" borderId="27" xfId="2" applyNumberFormat="1" applyFont="1" applyFill="1" applyBorder="1" applyAlignment="1">
      <alignment vertical="center" shrinkToFit="1"/>
    </xf>
    <xf numFmtId="0" fontId="18" fillId="12" borderId="27" xfId="2" applyNumberFormat="1" applyFont="1" applyFill="1" applyBorder="1" applyAlignment="1">
      <alignment horizontal="center" vertical="center"/>
    </xf>
    <xf numFmtId="0" fontId="7" fillId="2" borderId="27" xfId="2" quotePrefix="1" applyNumberFormat="1" applyFont="1" applyFill="1" applyBorder="1" applyAlignment="1">
      <alignment horizontal="center" vertical="center"/>
    </xf>
    <xf numFmtId="0" fontId="7" fillId="2" borderId="27" xfId="2" applyNumberFormat="1" applyFont="1" applyFill="1" applyBorder="1" applyAlignment="1">
      <alignment horizontal="center" vertical="center"/>
    </xf>
    <xf numFmtId="0" fontId="17" fillId="12" borderId="27" xfId="2" applyNumberFormat="1" applyFont="1" applyFill="1" applyBorder="1" applyAlignment="1">
      <alignment horizontal="center" vertical="center"/>
    </xf>
    <xf numFmtId="176" fontId="5" fillId="2" borderId="27" xfId="2" applyNumberFormat="1" applyFont="1" applyFill="1" applyBorder="1" applyAlignment="1">
      <alignment horizontal="distributed" vertical="center"/>
    </xf>
    <xf numFmtId="176" fontId="5" fillId="2" borderId="27" xfId="2" applyNumberFormat="1" applyFont="1" applyFill="1" applyBorder="1" applyAlignment="1">
      <alignment vertical="center"/>
    </xf>
    <xf numFmtId="176" fontId="5" fillId="2" borderId="27" xfId="2" applyNumberFormat="1" applyFont="1" applyFill="1" applyBorder="1" applyAlignment="1">
      <alignment horizontal="distributed" vertical="center" shrinkToFit="1"/>
    </xf>
    <xf numFmtId="176" fontId="5" fillId="2" borderId="27" xfId="2" applyNumberFormat="1" applyFont="1" applyFill="1" applyBorder="1" applyAlignment="1">
      <alignment vertical="center" shrinkToFit="1"/>
    </xf>
    <xf numFmtId="177" fontId="5" fillId="2" borderId="27" xfId="1" applyNumberFormat="1" applyFont="1" applyFill="1" applyBorder="1" applyAlignment="1">
      <alignment horizontal="distributed" vertical="center"/>
    </xf>
    <xf numFmtId="9" fontId="5" fillId="2" borderId="27" xfId="1" applyNumberFormat="1" applyFont="1" applyFill="1" applyBorder="1" applyAlignment="1">
      <alignment horizontal="right" vertical="center"/>
    </xf>
    <xf numFmtId="177" fontId="5" fillId="2" borderId="27" xfId="1" applyNumberFormat="1" applyFont="1" applyFill="1" applyBorder="1" applyAlignment="1">
      <alignment horizontal="right" vertical="center"/>
    </xf>
    <xf numFmtId="176" fontId="47" fillId="2" borderId="27" xfId="2" applyNumberFormat="1" applyFont="1" applyFill="1" applyBorder="1" applyAlignment="1">
      <alignment vertical="center"/>
    </xf>
    <xf numFmtId="176" fontId="47" fillId="2" borderId="27" xfId="2" applyNumberFormat="1" applyFont="1" applyFill="1" applyBorder="1" applyAlignment="1">
      <alignment vertical="center" shrinkToFit="1"/>
    </xf>
    <xf numFmtId="9" fontId="47" fillId="2" borderId="27" xfId="1" applyNumberFormat="1" applyFont="1" applyFill="1" applyBorder="1" applyAlignment="1">
      <alignment vertical="center"/>
    </xf>
    <xf numFmtId="9" fontId="47" fillId="2" borderId="27" xfId="1" applyNumberFormat="1" applyFont="1" applyFill="1" applyBorder="1" applyAlignment="1">
      <alignment horizontal="right" vertical="center"/>
    </xf>
    <xf numFmtId="177" fontId="47" fillId="2" borderId="27" xfId="1" applyNumberFormat="1" applyFont="1" applyFill="1" applyBorder="1" applyAlignment="1">
      <alignment horizontal="right" vertical="center"/>
    </xf>
    <xf numFmtId="176" fontId="5" fillId="0" borderId="59" xfId="2" applyNumberFormat="1" applyFont="1" applyBorder="1" applyAlignment="1">
      <alignment vertical="center"/>
    </xf>
    <xf numFmtId="176" fontId="23" fillId="0" borderId="60" xfId="2" applyNumberFormat="1" applyFont="1" applyBorder="1" applyAlignment="1">
      <alignment horizontal="left" vertical="center"/>
    </xf>
    <xf numFmtId="176" fontId="23" fillId="0" borderId="61" xfId="2" applyNumberFormat="1" applyFont="1" applyBorder="1" applyAlignment="1">
      <alignment horizontal="left" vertical="center"/>
    </xf>
    <xf numFmtId="176" fontId="11" fillId="0" borderId="61" xfId="2" applyNumberFormat="1" applyFont="1" applyBorder="1" applyAlignment="1">
      <alignment vertical="center"/>
    </xf>
    <xf numFmtId="176" fontId="39" fillId="0" borderId="61" xfId="2" applyNumberFormat="1" applyFont="1" applyBorder="1" applyAlignment="1">
      <alignment vertical="center"/>
    </xf>
    <xf numFmtId="176" fontId="39" fillId="0" borderId="61" xfId="2" applyNumberFormat="1" applyFont="1" applyBorder="1" applyAlignment="1">
      <alignment horizontal="left" vertical="center"/>
    </xf>
    <xf numFmtId="176" fontId="25" fillId="0" borderId="61" xfId="2" applyNumberFormat="1" applyFont="1" applyBorder="1" applyAlignment="1">
      <alignment vertical="center"/>
    </xf>
    <xf numFmtId="176" fontId="43" fillId="0" borderId="25" xfId="2" applyNumberFormat="1" applyFont="1" applyFill="1" applyBorder="1" applyAlignment="1">
      <alignment vertical="center"/>
    </xf>
    <xf numFmtId="176" fontId="6" fillId="0" borderId="25" xfId="2" applyNumberFormat="1" applyFont="1" applyFill="1" applyBorder="1" applyAlignment="1">
      <alignment vertical="center"/>
    </xf>
    <xf numFmtId="176" fontId="40" fillId="0" borderId="25" xfId="2" applyNumberFormat="1" applyFont="1" applyBorder="1" applyAlignment="1">
      <alignment vertical="center"/>
    </xf>
    <xf numFmtId="176" fontId="26" fillId="0" borderId="1" xfId="2" applyNumberFormat="1" applyFont="1" applyBorder="1" applyAlignment="1">
      <alignment vertical="center"/>
    </xf>
    <xf numFmtId="176" fontId="59" fillId="14" borderId="61" xfId="2" applyNumberFormat="1" applyFont="1" applyFill="1" applyBorder="1" applyAlignment="1">
      <alignment vertical="center"/>
    </xf>
    <xf numFmtId="176" fontId="60" fillId="14" borderId="61" xfId="2" applyNumberFormat="1" applyFont="1" applyFill="1" applyBorder="1" applyAlignment="1">
      <alignment vertical="center"/>
    </xf>
    <xf numFmtId="176" fontId="58" fillId="14" borderId="61" xfId="2" applyNumberFormat="1" applyFont="1" applyFill="1" applyBorder="1" applyAlignment="1">
      <alignment horizontal="left" vertical="center"/>
    </xf>
    <xf numFmtId="176" fontId="58" fillId="14" borderId="62" xfId="2" applyNumberFormat="1" applyFont="1" applyFill="1" applyBorder="1" applyAlignment="1">
      <alignment horizontal="left" vertical="center"/>
    </xf>
    <xf numFmtId="176" fontId="61" fillId="14" borderId="60" xfId="2" applyNumberFormat="1" applyFont="1" applyFill="1" applyBorder="1" applyAlignment="1">
      <alignment horizontal="center" vertical="center"/>
    </xf>
    <xf numFmtId="176" fontId="62" fillId="14" borderId="61" xfId="2" applyNumberFormat="1" applyFont="1" applyFill="1" applyBorder="1" applyAlignment="1">
      <alignment vertical="center"/>
    </xf>
    <xf numFmtId="176" fontId="25" fillId="14" borderId="61" xfId="2" applyNumberFormat="1" applyFont="1" applyFill="1" applyBorder="1" applyAlignment="1">
      <alignment vertical="center"/>
    </xf>
    <xf numFmtId="177" fontId="5" fillId="0" borderId="27" xfId="1" applyNumberFormat="1" applyFont="1" applyFill="1" applyBorder="1" applyAlignment="1">
      <alignment vertical="center"/>
    </xf>
    <xf numFmtId="176" fontId="47" fillId="2" borderId="0" xfId="2" applyNumberFormat="1" applyFont="1" applyFill="1" applyBorder="1" applyAlignment="1">
      <alignment vertical="center"/>
    </xf>
    <xf numFmtId="184" fontId="11" fillId="9" borderId="57" xfId="2" applyNumberFormat="1" applyFont="1" applyFill="1" applyBorder="1" applyAlignment="1">
      <alignment horizontal="center" vertical="center" shrinkToFit="1"/>
    </xf>
    <xf numFmtId="38" fontId="47" fillId="13" borderId="27" xfId="2" applyFont="1" applyFill="1" applyBorder="1" applyAlignment="1">
      <alignment vertical="center"/>
    </xf>
    <xf numFmtId="38" fontId="47" fillId="13" borderId="27" xfId="2" applyFont="1" applyFill="1" applyBorder="1" applyAlignment="1">
      <alignment vertical="center" shrinkToFit="1"/>
    </xf>
    <xf numFmtId="176" fontId="17" fillId="0" borderId="0" xfId="2" applyNumberFormat="1" applyFont="1" applyFill="1" applyBorder="1" applyAlignment="1">
      <alignment vertical="center"/>
    </xf>
    <xf numFmtId="183" fontId="11" fillId="8" borderId="55" xfId="2" applyNumberFormat="1" applyFont="1" applyFill="1" applyBorder="1" applyAlignment="1">
      <alignment horizontal="center" vertical="center" shrinkToFit="1"/>
    </xf>
    <xf numFmtId="176" fontId="47" fillId="0" borderId="0" xfId="2" applyNumberFormat="1" applyFont="1" applyFill="1" applyBorder="1" applyAlignment="1">
      <alignment vertical="center"/>
    </xf>
    <xf numFmtId="38" fontId="5" fillId="9" borderId="27" xfId="2" applyFont="1" applyFill="1" applyBorder="1" applyAlignment="1">
      <alignment vertical="center"/>
    </xf>
    <xf numFmtId="38" fontId="5" fillId="9" borderId="27" xfId="2" applyFont="1" applyFill="1" applyBorder="1" applyAlignment="1">
      <alignment vertical="center" shrinkToFit="1"/>
    </xf>
    <xf numFmtId="176" fontId="64" fillId="0" borderId="0" xfId="2" applyNumberFormat="1" applyFont="1" applyBorder="1" applyAlignment="1">
      <alignment vertical="center"/>
    </xf>
    <xf numFmtId="176" fontId="65" fillId="0" borderId="0" xfId="2" applyNumberFormat="1" applyFont="1" applyBorder="1" applyAlignment="1">
      <alignment vertical="center"/>
    </xf>
    <xf numFmtId="0" fontId="66" fillId="0" borderId="0" xfId="0" applyFont="1" applyBorder="1" applyAlignment="1">
      <alignment vertical="center"/>
    </xf>
    <xf numFmtId="176" fontId="67" fillId="0" borderId="0" xfId="2" applyNumberFormat="1" applyFont="1" applyBorder="1" applyAlignment="1">
      <alignment vertical="center"/>
    </xf>
    <xf numFmtId="0" fontId="65" fillId="0" borderId="0" xfId="0" applyFont="1" applyBorder="1" applyAlignment="1">
      <alignment vertical="center"/>
    </xf>
    <xf numFmtId="176" fontId="65" fillId="0" borderId="0" xfId="2" applyNumberFormat="1" applyFont="1" applyFill="1" applyBorder="1" applyAlignment="1">
      <alignment vertical="center"/>
    </xf>
    <xf numFmtId="176" fontId="68" fillId="0" borderId="0" xfId="2" applyNumberFormat="1" applyFont="1" applyBorder="1" applyAlignment="1">
      <alignment vertical="center"/>
    </xf>
    <xf numFmtId="176" fontId="69" fillId="0" borderId="0" xfId="2" applyNumberFormat="1" applyFont="1" applyBorder="1" applyAlignment="1">
      <alignment vertical="center"/>
    </xf>
    <xf numFmtId="176" fontId="65" fillId="0" borderId="0" xfId="2" quotePrefix="1" applyNumberFormat="1" applyFont="1" applyFill="1" applyBorder="1" applyAlignment="1">
      <alignment horizontal="right" vertical="center"/>
    </xf>
    <xf numFmtId="176" fontId="65" fillId="0" borderId="0" xfId="2" applyNumberFormat="1" applyFont="1" applyFill="1" applyBorder="1" applyAlignment="1">
      <alignment horizontal="left" vertical="center"/>
    </xf>
    <xf numFmtId="0" fontId="70" fillId="0" borderId="0" xfId="0" applyFont="1" applyAlignment="1">
      <alignment wrapText="1"/>
    </xf>
    <xf numFmtId="0" fontId="71" fillId="0" borderId="0" xfId="0" applyFont="1" applyAlignment="1">
      <alignment wrapText="1"/>
    </xf>
    <xf numFmtId="40" fontId="70" fillId="0" borderId="0" xfId="2" applyNumberFormat="1" applyFont="1" applyAlignment="1">
      <alignment horizontal="center" wrapText="1"/>
    </xf>
    <xf numFmtId="14" fontId="70" fillId="0" borderId="0" xfId="0" applyNumberFormat="1" applyFont="1" applyAlignment="1">
      <alignment horizontal="center" wrapText="1"/>
    </xf>
    <xf numFmtId="0" fontId="72" fillId="0" borderId="0" xfId="0" applyFont="1" applyFill="1" applyAlignment="1">
      <alignment wrapText="1"/>
    </xf>
    <xf numFmtId="0" fontId="22" fillId="0" borderId="0" xfId="0" applyFont="1" applyAlignment="1"/>
    <xf numFmtId="0" fontId="71" fillId="0" borderId="0" xfId="0" applyFont="1" applyAlignment="1">
      <alignment horizontal="right" wrapText="1"/>
    </xf>
    <xf numFmtId="0" fontId="73" fillId="0" borderId="0" xfId="0" applyFont="1" applyAlignment="1">
      <alignment vertical="center" wrapText="1"/>
    </xf>
    <xf numFmtId="0" fontId="71" fillId="15" borderId="5" xfId="0" applyFont="1" applyFill="1" applyBorder="1" applyAlignment="1">
      <alignment horizontal="center" wrapText="1"/>
    </xf>
    <xf numFmtId="0" fontId="71" fillId="0" borderId="0" xfId="0" applyFont="1" applyFill="1" applyBorder="1" applyAlignment="1">
      <alignment horizontal="center" wrapText="1"/>
    </xf>
    <xf numFmtId="0" fontId="70" fillId="0" borderId="14" xfId="0" applyFont="1" applyBorder="1" applyAlignment="1">
      <alignment wrapText="1"/>
    </xf>
    <xf numFmtId="0" fontId="70" fillId="0" borderId="14" xfId="0" applyFont="1" applyBorder="1" applyAlignment="1"/>
    <xf numFmtId="0" fontId="70" fillId="0" borderId="26" xfId="0" applyFont="1" applyBorder="1" applyAlignment="1"/>
    <xf numFmtId="17" fontId="70" fillId="0" borderId="63" xfId="0" applyNumberFormat="1" applyFont="1" applyBorder="1" applyAlignment="1"/>
    <xf numFmtId="0" fontId="70" fillId="0" borderId="64" xfId="0" applyFont="1" applyFill="1" applyBorder="1" applyAlignment="1"/>
    <xf numFmtId="0" fontId="70" fillId="16" borderId="62" xfId="0" applyFont="1" applyFill="1" applyBorder="1" applyAlignment="1"/>
    <xf numFmtId="0" fontId="70" fillId="16" borderId="27" xfId="0" applyFont="1" applyFill="1" applyBorder="1" applyAlignment="1"/>
    <xf numFmtId="0" fontId="70" fillId="17" borderId="64" xfId="0" applyFont="1" applyFill="1" applyBorder="1" applyAlignment="1"/>
    <xf numFmtId="0" fontId="70" fillId="16" borderId="60" xfId="0" applyFont="1" applyFill="1" applyBorder="1" applyAlignment="1"/>
    <xf numFmtId="0" fontId="71" fillId="15" borderId="62" xfId="0" applyFont="1" applyFill="1" applyBorder="1" applyAlignment="1"/>
    <xf numFmtId="0" fontId="74" fillId="0" borderId="0" xfId="0" applyFont="1" applyFill="1" applyAlignment="1">
      <alignment wrapText="1"/>
    </xf>
    <xf numFmtId="0" fontId="70" fillId="0" borderId="27" xfId="0" applyFont="1" applyBorder="1" applyAlignment="1"/>
    <xf numFmtId="0" fontId="70" fillId="0" borderId="64" xfId="0" applyFont="1" applyBorder="1" applyAlignment="1"/>
    <xf numFmtId="3" fontId="70" fillId="0" borderId="64" xfId="0" applyNumberFormat="1" applyFont="1" applyFill="1" applyBorder="1" applyAlignment="1">
      <alignment wrapText="1"/>
    </xf>
    <xf numFmtId="3" fontId="70" fillId="0" borderId="62" xfId="0" applyNumberFormat="1" applyFont="1" applyBorder="1" applyAlignment="1">
      <alignment wrapText="1"/>
    </xf>
    <xf numFmtId="3" fontId="70" fillId="18" borderId="27" xfId="0" applyNumberFormat="1" applyFont="1" applyFill="1" applyBorder="1" applyAlignment="1">
      <alignment wrapText="1"/>
    </xf>
    <xf numFmtId="0" fontId="70" fillId="3" borderId="27" xfId="0" applyFont="1" applyFill="1" applyBorder="1" applyAlignment="1"/>
    <xf numFmtId="38" fontId="70" fillId="3" borderId="27" xfId="2" applyFont="1" applyFill="1" applyBorder="1" applyAlignment="1"/>
    <xf numFmtId="38" fontId="70" fillId="3" borderId="64" xfId="2" applyFont="1" applyFill="1" applyBorder="1" applyAlignment="1"/>
    <xf numFmtId="3" fontId="70" fillId="3" borderId="62" xfId="0" applyNumberFormat="1" applyFont="1" applyFill="1" applyBorder="1" applyAlignment="1">
      <alignment wrapText="1"/>
    </xf>
    <xf numFmtId="3" fontId="70" fillId="3" borderId="27" xfId="0" applyNumberFormat="1" applyFont="1" applyFill="1" applyBorder="1" applyAlignment="1">
      <alignment wrapText="1"/>
    </xf>
    <xf numFmtId="3" fontId="70" fillId="3" borderId="60" xfId="0" applyNumberFormat="1" applyFont="1" applyFill="1" applyBorder="1" applyAlignment="1">
      <alignment wrapText="1"/>
    </xf>
    <xf numFmtId="3" fontId="70" fillId="0" borderId="27" xfId="0" applyNumberFormat="1" applyFont="1" applyBorder="1" applyAlignment="1">
      <alignment wrapText="1"/>
    </xf>
    <xf numFmtId="3" fontId="70" fillId="0" borderId="60" xfId="0" applyNumberFormat="1" applyFont="1" applyBorder="1" applyAlignment="1">
      <alignment wrapText="1"/>
    </xf>
    <xf numFmtId="0" fontId="70" fillId="19" borderId="27" xfId="0" applyFont="1" applyFill="1" applyBorder="1" applyAlignment="1"/>
    <xf numFmtId="38" fontId="70" fillId="19" borderId="27" xfId="2" applyFont="1" applyFill="1" applyBorder="1" applyAlignment="1"/>
    <xf numFmtId="3" fontId="70" fillId="19" borderId="27" xfId="0" applyNumberFormat="1" applyFont="1" applyFill="1" applyBorder="1" applyAlignment="1">
      <alignment wrapText="1"/>
    </xf>
    <xf numFmtId="3" fontId="70" fillId="19" borderId="62" xfId="0" applyNumberFormat="1" applyFont="1" applyFill="1" applyBorder="1" applyAlignment="1">
      <alignment wrapText="1"/>
    </xf>
    <xf numFmtId="3" fontId="70" fillId="19" borderId="60" xfId="0" applyNumberFormat="1" applyFont="1" applyFill="1" applyBorder="1" applyAlignment="1">
      <alignment wrapText="1"/>
    </xf>
    <xf numFmtId="38" fontId="70" fillId="0" borderId="27" xfId="2" applyFont="1" applyBorder="1" applyAlignment="1"/>
    <xf numFmtId="38" fontId="70" fillId="0" borderId="64" xfId="2" applyFont="1" applyBorder="1" applyAlignment="1"/>
    <xf numFmtId="3" fontId="75" fillId="18" borderId="27" xfId="0" applyNumberFormat="1" applyFont="1" applyFill="1" applyBorder="1" applyAlignment="1">
      <alignment wrapText="1"/>
    </xf>
    <xf numFmtId="38" fontId="70" fillId="20" borderId="64" xfId="2" applyFont="1" applyFill="1" applyBorder="1" applyAlignment="1"/>
    <xf numFmtId="38" fontId="70" fillId="19" borderId="64" xfId="2" applyFont="1" applyFill="1" applyBorder="1" applyAlignment="1"/>
    <xf numFmtId="38" fontId="70" fillId="7" borderId="64" xfId="2" applyFont="1" applyFill="1" applyBorder="1" applyAlignment="1"/>
    <xf numFmtId="38" fontId="70" fillId="0" borderId="27" xfId="2" applyFont="1" applyFill="1" applyBorder="1" applyAlignment="1"/>
    <xf numFmtId="38" fontId="70" fillId="0" borderId="11" xfId="2" applyFont="1" applyFill="1" applyBorder="1" applyAlignment="1"/>
    <xf numFmtId="3" fontId="70" fillId="0" borderId="62" xfId="0" applyNumberFormat="1" applyFont="1" applyFill="1" applyBorder="1" applyAlignment="1">
      <alignment wrapText="1"/>
    </xf>
    <xf numFmtId="3" fontId="70" fillId="0" borderId="27" xfId="0" applyNumberFormat="1" applyFont="1" applyFill="1" applyBorder="1" applyAlignment="1">
      <alignment wrapText="1"/>
    </xf>
    <xf numFmtId="3" fontId="70" fillId="0" borderId="60" xfId="0" applyNumberFormat="1" applyFont="1" applyFill="1" applyBorder="1" applyAlignment="1">
      <alignment wrapText="1"/>
    </xf>
    <xf numFmtId="38" fontId="70" fillId="3" borderId="27" xfId="0" applyNumberFormat="1" applyFont="1" applyFill="1" applyBorder="1" applyAlignment="1"/>
    <xf numFmtId="9" fontId="70" fillId="0" borderId="64" xfId="1" applyFont="1" applyFill="1" applyBorder="1" applyAlignment="1">
      <alignment wrapText="1"/>
    </xf>
    <xf numFmtId="177" fontId="70" fillId="0" borderId="64" xfId="1" applyNumberFormat="1" applyFont="1" applyFill="1" applyBorder="1" applyAlignment="1">
      <alignment wrapText="1"/>
    </xf>
    <xf numFmtId="38" fontId="70" fillId="19" borderId="27" xfId="0" applyNumberFormat="1" applyFont="1" applyFill="1" applyBorder="1" applyAlignment="1"/>
    <xf numFmtId="0" fontId="71" fillId="19" borderId="27" xfId="0" applyFont="1" applyFill="1" applyBorder="1" applyAlignment="1"/>
    <xf numFmtId="177" fontId="70" fillId="19" borderId="27" xfId="1" applyNumberFormat="1" applyFont="1" applyFill="1" applyBorder="1" applyAlignment="1"/>
    <xf numFmtId="0" fontId="70" fillId="18" borderId="11" xfId="0" applyFont="1" applyFill="1" applyBorder="1" applyAlignment="1">
      <alignment wrapText="1"/>
    </xf>
    <xf numFmtId="0" fontId="70" fillId="18" borderId="27" xfId="0" applyFont="1" applyFill="1" applyBorder="1" applyAlignment="1"/>
    <xf numFmtId="38" fontId="70" fillId="18" borderId="27" xfId="2" applyFont="1" applyFill="1" applyBorder="1" applyAlignment="1"/>
    <xf numFmtId="38" fontId="70" fillId="18" borderId="64" xfId="2" applyFont="1" applyFill="1" applyBorder="1" applyAlignment="1"/>
    <xf numFmtId="3" fontId="70" fillId="18" borderId="64" xfId="0" applyNumberFormat="1" applyFont="1" applyFill="1" applyBorder="1" applyAlignment="1">
      <alignment wrapText="1"/>
    </xf>
    <xf numFmtId="3" fontId="70" fillId="18" borderId="62" xfId="0" applyNumberFormat="1" applyFont="1" applyFill="1" applyBorder="1" applyAlignment="1">
      <alignment wrapText="1"/>
    </xf>
    <xf numFmtId="3" fontId="70" fillId="18" borderId="60" xfId="0" applyNumberFormat="1" applyFont="1" applyFill="1" applyBorder="1" applyAlignment="1">
      <alignment wrapText="1"/>
    </xf>
    <xf numFmtId="0" fontId="72" fillId="18" borderId="0" xfId="0" applyFont="1" applyFill="1" applyAlignment="1">
      <alignment wrapText="1"/>
    </xf>
    <xf numFmtId="0" fontId="70" fillId="18" borderId="0" xfId="0" applyFont="1" applyFill="1" applyAlignment="1">
      <alignment wrapText="1"/>
    </xf>
    <xf numFmtId="0" fontId="70" fillId="0" borderId="11" xfId="0" applyFont="1" applyBorder="1" applyAlignment="1">
      <alignment wrapText="1"/>
    </xf>
    <xf numFmtId="0" fontId="70" fillId="0" borderId="26" xfId="0" applyFont="1" applyBorder="1" applyAlignment="1">
      <alignment wrapText="1"/>
    </xf>
    <xf numFmtId="0" fontId="70" fillId="18" borderId="10" xfId="0" applyFont="1" applyFill="1" applyBorder="1" applyAlignment="1">
      <alignment wrapText="1"/>
    </xf>
    <xf numFmtId="38" fontId="70" fillId="18" borderId="27" xfId="0" applyNumberFormat="1" applyFont="1" applyFill="1" applyBorder="1" applyAlignment="1"/>
    <xf numFmtId="38" fontId="70" fillId="0" borderId="0" xfId="0" applyNumberFormat="1" applyFont="1" applyAlignment="1">
      <alignment wrapText="1"/>
    </xf>
    <xf numFmtId="177" fontId="70" fillId="0" borderId="0" xfId="1" applyNumberFormat="1" applyFont="1" applyAlignment="1">
      <alignment wrapText="1"/>
    </xf>
    <xf numFmtId="9" fontId="70" fillId="0" borderId="5" xfId="1" applyFont="1" applyBorder="1" applyAlignment="1">
      <alignment wrapText="1"/>
    </xf>
    <xf numFmtId="9" fontId="70" fillId="0" borderId="0" xfId="1" applyFont="1" applyBorder="1" applyAlignment="1">
      <alignment wrapText="1"/>
    </xf>
    <xf numFmtId="9" fontId="70" fillId="0" borderId="0" xfId="1" applyFont="1" applyAlignment="1">
      <alignment wrapText="1"/>
    </xf>
    <xf numFmtId="10" fontId="70" fillId="0" borderId="0" xfId="1" applyNumberFormat="1" applyFont="1" applyAlignment="1">
      <alignment wrapText="1"/>
    </xf>
    <xf numFmtId="38" fontId="70" fillId="3" borderId="64" xfId="0" applyNumberFormat="1" applyFont="1" applyFill="1" applyBorder="1" applyAlignment="1"/>
    <xf numFmtId="38" fontId="70" fillId="18" borderId="64" xfId="0" applyNumberFormat="1" applyFont="1" applyFill="1" applyBorder="1" applyAlignment="1"/>
    <xf numFmtId="177" fontId="72" fillId="0" borderId="0" xfId="1" applyNumberFormat="1" applyFont="1" applyFill="1" applyAlignment="1">
      <alignment wrapText="1"/>
    </xf>
    <xf numFmtId="177" fontId="70" fillId="19" borderId="62" xfId="1" applyNumberFormat="1" applyFont="1" applyFill="1" applyBorder="1" applyAlignment="1">
      <alignment wrapText="1"/>
    </xf>
    <xf numFmtId="0" fontId="71" fillId="0" borderId="14" xfId="0" applyFont="1" applyBorder="1" applyAlignment="1">
      <alignment horizontal="center" wrapText="1"/>
    </xf>
    <xf numFmtId="17" fontId="70" fillId="0" borderId="64" xfId="0" applyNumberFormat="1" applyFont="1" applyBorder="1" applyAlignment="1"/>
    <xf numFmtId="177" fontId="70" fillId="19" borderId="64" xfId="1" applyNumberFormat="1" applyFont="1" applyFill="1" applyBorder="1" applyAlignment="1"/>
    <xf numFmtId="38" fontId="70" fillId="0" borderId="64" xfId="2" applyFont="1" applyFill="1" applyBorder="1" applyAlignment="1"/>
    <xf numFmtId="38" fontId="70" fillId="19" borderId="64" xfId="0" applyNumberFormat="1" applyFont="1" applyFill="1" applyBorder="1" applyAlignment="1"/>
    <xf numFmtId="0" fontId="19" fillId="2" borderId="27" xfId="2" applyNumberFormat="1" applyFont="1" applyFill="1" applyBorder="1" applyAlignment="1">
      <alignment horizontal="center" vertical="center"/>
    </xf>
    <xf numFmtId="0" fontId="3" fillId="2" borderId="27" xfId="2" applyNumberFormat="1" applyFont="1" applyFill="1" applyBorder="1" applyAlignment="1">
      <alignment horizontal="center" vertical="center"/>
    </xf>
    <xf numFmtId="0" fontId="50" fillId="11" borderId="27" xfId="2" applyNumberFormat="1" applyFont="1" applyFill="1" applyBorder="1" applyAlignment="1">
      <alignment horizontal="center" vertical="center"/>
    </xf>
    <xf numFmtId="178" fontId="17" fillId="12" borderId="27" xfId="2" applyNumberFormat="1" applyFont="1" applyFill="1" applyBorder="1" applyAlignment="1">
      <alignment horizontal="center" vertical="center"/>
    </xf>
    <xf numFmtId="176" fontId="63" fillId="13" borderId="28" xfId="2" applyNumberFormat="1" applyFont="1" applyFill="1" applyBorder="1" applyAlignment="1">
      <alignment horizontal="center" vertical="center"/>
    </xf>
    <xf numFmtId="176" fontId="63" fillId="13" borderId="29" xfId="2" applyNumberFormat="1" applyFont="1" applyFill="1" applyBorder="1" applyAlignment="1">
      <alignment horizontal="center" vertical="center"/>
    </xf>
    <xf numFmtId="176" fontId="26" fillId="9" borderId="28" xfId="2" applyNumberFormat="1" applyFont="1" applyFill="1" applyBorder="1" applyAlignment="1">
      <alignment horizontal="center" vertical="center"/>
    </xf>
    <xf numFmtId="176" fontId="26" fillId="9" borderId="29" xfId="2" applyNumberFormat="1" applyFont="1" applyFill="1" applyBorder="1" applyAlignment="1">
      <alignment horizontal="center" vertical="center"/>
    </xf>
    <xf numFmtId="178" fontId="50" fillId="11" borderId="27" xfId="2" applyNumberFormat="1" applyFont="1" applyFill="1" applyBorder="1" applyAlignment="1">
      <alignment horizontal="center" vertical="center"/>
    </xf>
    <xf numFmtId="176" fontId="26" fillId="9" borderId="31" xfId="2" applyNumberFormat="1" applyFont="1" applyFill="1" applyBorder="1" applyAlignment="1">
      <alignment horizontal="center" vertical="center" wrapText="1" shrinkToFit="1"/>
    </xf>
    <xf numFmtId="177" fontId="33" fillId="10" borderId="31" xfId="2" applyNumberFormat="1" applyFont="1" applyFill="1" applyBorder="1" applyAlignment="1">
      <alignment horizontal="right" vertical="center"/>
    </xf>
    <xf numFmtId="177" fontId="33" fillId="10" borderId="31" xfId="0" applyNumberFormat="1" applyFont="1" applyFill="1" applyBorder="1" applyAlignment="1">
      <alignment horizontal="right" vertical="center"/>
    </xf>
    <xf numFmtId="177" fontId="35" fillId="9" borderId="31" xfId="2" applyNumberFormat="1" applyFont="1" applyFill="1" applyBorder="1" applyAlignment="1">
      <alignment horizontal="right" vertical="center"/>
    </xf>
    <xf numFmtId="177" fontId="35" fillId="9" borderId="31" xfId="0" applyNumberFormat="1" applyFont="1" applyFill="1" applyBorder="1" applyAlignment="1">
      <alignment horizontal="right" vertical="center"/>
    </xf>
    <xf numFmtId="176" fontId="6" fillId="0" borderId="0" xfId="2" applyNumberFormat="1" applyFont="1" applyBorder="1" applyAlignment="1">
      <alignment horizontal="center" vertical="center"/>
    </xf>
    <xf numFmtId="176" fontId="55" fillId="11" borderId="31" xfId="2" applyNumberFormat="1" applyFont="1" applyFill="1" applyBorder="1" applyAlignment="1">
      <alignment horizontal="left" vertical="center"/>
    </xf>
    <xf numFmtId="176" fontId="56" fillId="11" borderId="31" xfId="0" applyNumberFormat="1" applyFont="1" applyFill="1" applyBorder="1" applyAlignment="1">
      <alignment horizontal="center" vertical="center"/>
    </xf>
    <xf numFmtId="0" fontId="56" fillId="11" borderId="31" xfId="0" applyFont="1" applyFill="1" applyBorder="1" applyAlignment="1">
      <alignment horizontal="center" vertical="center"/>
    </xf>
    <xf numFmtId="9" fontId="33" fillId="8" borderId="31" xfId="1" applyFont="1" applyFill="1" applyBorder="1" applyAlignment="1">
      <alignment horizontal="right" vertical="center"/>
    </xf>
    <xf numFmtId="180" fontId="34" fillId="7" borderId="31" xfId="1" applyNumberFormat="1" applyFont="1" applyFill="1" applyBorder="1" applyAlignment="1">
      <alignment horizontal="right" vertical="center"/>
    </xf>
    <xf numFmtId="180" fontId="34" fillId="7" borderId="31" xfId="0" applyNumberFormat="1" applyFont="1" applyFill="1" applyBorder="1" applyAlignment="1">
      <alignment horizontal="right" vertical="center"/>
    </xf>
    <xf numFmtId="180" fontId="34" fillId="7" borderId="31" xfId="2" applyNumberFormat="1" applyFont="1" applyFill="1" applyBorder="1" applyAlignment="1">
      <alignment horizontal="right" vertical="center"/>
    </xf>
    <xf numFmtId="176" fontId="34" fillId="6" borderId="31" xfId="2" applyNumberFormat="1" applyFont="1" applyFill="1" applyBorder="1" applyAlignment="1">
      <alignment horizontal="right" vertical="center"/>
    </xf>
    <xf numFmtId="176" fontId="31" fillId="8" borderId="31" xfId="2" applyNumberFormat="1" applyFont="1" applyFill="1" applyBorder="1" applyAlignment="1">
      <alignment horizontal="right" vertical="center"/>
    </xf>
    <xf numFmtId="0" fontId="31" fillId="8" borderId="31" xfId="0" applyFont="1" applyFill="1" applyBorder="1" applyAlignment="1">
      <alignment horizontal="right" vertical="center"/>
    </xf>
    <xf numFmtId="176" fontId="31" fillId="5" borderId="33" xfId="2" applyNumberFormat="1" applyFont="1" applyFill="1" applyBorder="1" applyAlignment="1">
      <alignment horizontal="right" vertical="center"/>
    </xf>
    <xf numFmtId="176" fontId="31" fillId="5" borderId="34" xfId="2" applyNumberFormat="1" applyFont="1" applyFill="1" applyBorder="1" applyAlignment="1">
      <alignment horizontal="right" vertical="center"/>
    </xf>
    <xf numFmtId="0" fontId="34" fillId="6" borderId="31" xfId="0" applyFont="1" applyFill="1" applyBorder="1" applyAlignment="1">
      <alignment horizontal="right" vertical="center"/>
    </xf>
    <xf numFmtId="38" fontId="31" fillId="9" borderId="31" xfId="2" applyFont="1" applyFill="1" applyBorder="1" applyAlignment="1">
      <alignment horizontal="right" vertical="center" wrapText="1"/>
    </xf>
    <xf numFmtId="9" fontId="33" fillId="9" borderId="35" xfId="2" applyNumberFormat="1" applyFont="1" applyFill="1" applyBorder="1" applyAlignment="1">
      <alignment horizontal="right" vertical="center" shrinkToFit="1"/>
    </xf>
    <xf numFmtId="0" fontId="26" fillId="9" borderId="3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right" vertical="center"/>
    </xf>
    <xf numFmtId="176" fontId="30" fillId="4" borderId="36" xfId="2" applyNumberFormat="1" applyFont="1" applyFill="1" applyBorder="1" applyAlignment="1">
      <alignment horizontal="center" wrapText="1"/>
    </xf>
    <xf numFmtId="176" fontId="30" fillId="4" borderId="37" xfId="2" applyNumberFormat="1" applyFont="1" applyFill="1" applyBorder="1" applyAlignment="1">
      <alignment horizontal="center" vertical="center" wrapText="1"/>
    </xf>
    <xf numFmtId="176" fontId="39" fillId="0" borderId="2" xfId="2" applyNumberFormat="1" applyFont="1" applyBorder="1" applyAlignment="1">
      <alignment horizontal="left" vertical="center"/>
    </xf>
    <xf numFmtId="176" fontId="24" fillId="0" borderId="2" xfId="2" applyNumberFormat="1" applyFont="1" applyBorder="1" applyAlignment="1">
      <alignment horizontal="left" vertical="center"/>
    </xf>
    <xf numFmtId="0" fontId="57" fillId="11" borderId="31" xfId="0" applyFont="1" applyFill="1" applyBorder="1" applyAlignment="1">
      <alignment horizontal="center" vertical="center"/>
    </xf>
    <xf numFmtId="0" fontId="57" fillId="11" borderId="31" xfId="0" applyFont="1" applyFill="1" applyBorder="1" applyAlignment="1">
      <alignment horizontal="center" vertical="center" shrinkToFit="1"/>
    </xf>
    <xf numFmtId="0" fontId="37" fillId="4" borderId="31" xfId="0" applyFont="1" applyFill="1" applyBorder="1" applyAlignment="1">
      <alignment horizontal="center" vertical="center" shrinkToFit="1"/>
    </xf>
    <xf numFmtId="182" fontId="31" fillId="4" borderId="31" xfId="0" applyNumberFormat="1" applyFont="1" applyFill="1" applyBorder="1" applyAlignment="1">
      <alignment horizontal="right" vertical="center"/>
    </xf>
    <xf numFmtId="38" fontId="31" fillId="9" borderId="38" xfId="2" applyFont="1" applyFill="1" applyBorder="1" applyAlignment="1">
      <alignment horizontal="right" vertical="center" wrapText="1"/>
    </xf>
    <xf numFmtId="0" fontId="26" fillId="9" borderId="38" xfId="0" applyFont="1" applyFill="1" applyBorder="1" applyAlignment="1">
      <alignment horizontal="center" vertical="center" wrapText="1"/>
    </xf>
    <xf numFmtId="38" fontId="31" fillId="9" borderId="39" xfId="2" applyFont="1" applyFill="1" applyBorder="1" applyAlignment="1">
      <alignment horizontal="right" vertical="center" wrapText="1"/>
    </xf>
    <xf numFmtId="0" fontId="26" fillId="4" borderId="31" xfId="0" applyFont="1" applyFill="1" applyBorder="1" applyAlignment="1">
      <alignment horizontal="center" vertical="center"/>
    </xf>
    <xf numFmtId="0" fontId="26" fillId="9" borderId="39" xfId="0" applyFont="1" applyFill="1" applyBorder="1" applyAlignment="1">
      <alignment horizontal="center" vertical="center" wrapText="1"/>
    </xf>
    <xf numFmtId="181" fontId="31" fillId="4" borderId="31" xfId="0" applyNumberFormat="1" applyFont="1" applyFill="1" applyBorder="1" applyAlignment="1">
      <alignment horizontal="right" vertical="center"/>
    </xf>
    <xf numFmtId="176" fontId="30" fillId="4" borderId="38" xfId="2" applyNumberFormat="1" applyFont="1" applyFill="1" applyBorder="1" applyAlignment="1">
      <alignment horizontal="center" vertical="top" wrapText="1"/>
    </xf>
    <xf numFmtId="49" fontId="26" fillId="4" borderId="31" xfId="2" applyNumberFormat="1" applyFont="1" applyFill="1" applyBorder="1" applyAlignment="1">
      <alignment horizontal="center" vertical="center" wrapText="1" shrinkToFit="1"/>
    </xf>
    <xf numFmtId="176" fontId="22" fillId="0" borderId="28" xfId="2" applyNumberFormat="1" applyFont="1" applyBorder="1" applyAlignment="1">
      <alignment horizontal="center" vertical="center" shrinkToFit="1"/>
    </xf>
    <xf numFmtId="176" fontId="22" fillId="0" borderId="30" xfId="2" applyNumberFormat="1" applyFont="1" applyBorder="1" applyAlignment="1">
      <alignment horizontal="center" vertical="center" shrinkToFit="1"/>
    </xf>
    <xf numFmtId="176" fontId="22" fillId="0" borderId="29" xfId="2" applyNumberFormat="1" applyFont="1" applyBorder="1" applyAlignment="1">
      <alignment horizontal="center" vertical="center" shrinkToFit="1"/>
    </xf>
    <xf numFmtId="176" fontId="14" fillId="8" borderId="31" xfId="2" applyNumberFormat="1" applyFont="1" applyFill="1" applyBorder="1" applyAlignment="1">
      <alignment horizontal="center" vertical="center" shrinkToFit="1"/>
    </xf>
    <xf numFmtId="176" fontId="56" fillId="11" borderId="31" xfId="2" applyNumberFormat="1" applyFont="1" applyFill="1" applyBorder="1" applyAlignment="1">
      <alignment horizontal="center" vertical="center"/>
    </xf>
    <xf numFmtId="9" fontId="33" fillId="5" borderId="33" xfId="1" applyFont="1" applyFill="1" applyBorder="1" applyAlignment="1">
      <alignment horizontal="right" vertical="center"/>
    </xf>
    <xf numFmtId="9" fontId="33" fillId="5" borderId="34" xfId="1" applyFont="1" applyFill="1" applyBorder="1" applyAlignment="1">
      <alignment horizontal="right" vertical="center"/>
    </xf>
    <xf numFmtId="183" fontId="48" fillId="8" borderId="36" xfId="2" applyNumberFormat="1" applyFont="1" applyFill="1" applyBorder="1" applyAlignment="1">
      <alignment horizontal="center" vertical="center" shrinkToFit="1"/>
    </xf>
    <xf numFmtId="183" fontId="48" fillId="8" borderId="38" xfId="2" applyNumberFormat="1" applyFont="1" applyFill="1" applyBorder="1" applyAlignment="1">
      <alignment horizontal="center" vertical="center" shrinkToFit="1"/>
    </xf>
    <xf numFmtId="176" fontId="33" fillId="5" borderId="31" xfId="2" applyNumberFormat="1" applyFont="1" applyFill="1" applyBorder="1" applyAlignment="1">
      <alignment horizontal="right" vertical="center"/>
    </xf>
    <xf numFmtId="0" fontId="33" fillId="5" borderId="31" xfId="0" applyFont="1" applyFill="1" applyBorder="1" applyAlignment="1">
      <alignment horizontal="right" vertical="center"/>
    </xf>
    <xf numFmtId="9" fontId="31" fillId="7" borderId="33" xfId="2" applyNumberFormat="1" applyFont="1" applyFill="1" applyBorder="1" applyAlignment="1">
      <alignment horizontal="center" vertical="center"/>
    </xf>
    <xf numFmtId="9" fontId="31" fillId="7" borderId="34" xfId="2" applyNumberFormat="1" applyFont="1" applyFill="1" applyBorder="1" applyAlignment="1">
      <alignment horizontal="center" vertical="center"/>
    </xf>
    <xf numFmtId="9" fontId="31" fillId="8" borderId="40" xfId="2" applyNumberFormat="1" applyFont="1" applyFill="1" applyBorder="1" applyAlignment="1">
      <alignment horizontal="center" vertical="center"/>
    </xf>
    <xf numFmtId="9" fontId="31" fillId="8" borderId="41" xfId="2" applyNumberFormat="1" applyFont="1" applyFill="1" applyBorder="1" applyAlignment="1">
      <alignment horizontal="center" vertical="center"/>
    </xf>
    <xf numFmtId="9" fontId="31" fillId="8" borderId="42" xfId="2" applyNumberFormat="1" applyFont="1" applyFill="1" applyBorder="1" applyAlignment="1">
      <alignment horizontal="center" vertical="center"/>
    </xf>
    <xf numFmtId="9" fontId="31" fillId="8" borderId="43" xfId="2" applyNumberFormat="1" applyFont="1" applyFill="1" applyBorder="1" applyAlignment="1">
      <alignment horizontal="center" vertical="center"/>
    </xf>
    <xf numFmtId="176" fontId="32" fillId="6" borderId="0" xfId="2" applyNumberFormat="1" applyFont="1" applyFill="1" applyBorder="1" applyAlignment="1">
      <alignment horizontal="center" vertical="center"/>
    </xf>
    <xf numFmtId="176" fontId="38" fillId="5" borderId="0" xfId="2" applyNumberFormat="1" applyFont="1" applyFill="1" applyBorder="1" applyAlignment="1">
      <alignment horizontal="center" vertical="center"/>
    </xf>
    <xf numFmtId="176" fontId="26" fillId="5" borderId="31" xfId="2" applyNumberFormat="1" applyFont="1" applyFill="1" applyBorder="1" applyAlignment="1">
      <alignment horizontal="center" vertical="center" shrinkToFit="1"/>
    </xf>
    <xf numFmtId="183" fontId="48" fillId="5" borderId="36" xfId="2" applyNumberFormat="1" applyFont="1" applyFill="1" applyBorder="1" applyAlignment="1">
      <alignment horizontal="center" vertical="center" shrinkToFit="1"/>
    </xf>
    <xf numFmtId="183" fontId="48" fillId="5" borderId="38" xfId="2" applyNumberFormat="1" applyFont="1" applyFill="1" applyBorder="1" applyAlignment="1">
      <alignment horizontal="center" vertical="center" shrinkToFit="1"/>
    </xf>
    <xf numFmtId="9" fontId="31" fillId="6" borderId="33" xfId="2" applyNumberFormat="1" applyFont="1" applyFill="1" applyBorder="1" applyAlignment="1">
      <alignment horizontal="center" vertical="center"/>
    </xf>
    <xf numFmtId="9" fontId="31" fillId="6" borderId="34" xfId="2" applyNumberFormat="1" applyFont="1" applyFill="1" applyBorder="1" applyAlignment="1">
      <alignment horizontal="center" vertical="center"/>
    </xf>
    <xf numFmtId="9" fontId="33" fillId="5" borderId="40" xfId="1" applyFont="1" applyFill="1" applyBorder="1" applyAlignment="1">
      <alignment horizontal="center" vertical="center"/>
    </xf>
    <xf numFmtId="9" fontId="33" fillId="5" borderId="41" xfId="1" applyFont="1" applyFill="1" applyBorder="1" applyAlignment="1">
      <alignment horizontal="center" vertical="center"/>
    </xf>
    <xf numFmtId="9" fontId="33" fillId="5" borderId="42" xfId="1" applyFont="1" applyFill="1" applyBorder="1" applyAlignment="1">
      <alignment horizontal="center" vertical="center"/>
    </xf>
    <xf numFmtId="9" fontId="33" fillId="5" borderId="43" xfId="1" applyFont="1" applyFill="1" applyBorder="1" applyAlignment="1">
      <alignment horizontal="center" vertical="center"/>
    </xf>
    <xf numFmtId="176" fontId="50" fillId="11" borderId="31" xfId="2" applyNumberFormat="1" applyFont="1" applyFill="1" applyBorder="1" applyAlignment="1">
      <alignment horizontal="center" vertical="center"/>
    </xf>
    <xf numFmtId="176" fontId="31" fillId="5" borderId="31" xfId="2" applyNumberFormat="1" applyFont="1" applyFill="1" applyBorder="1" applyAlignment="1">
      <alignment horizontal="right" vertical="center"/>
    </xf>
    <xf numFmtId="0" fontId="31" fillId="5" borderId="31" xfId="0" applyFont="1" applyFill="1" applyBorder="1" applyAlignment="1">
      <alignment horizontal="right" vertical="center"/>
    </xf>
    <xf numFmtId="176" fontId="39" fillId="0" borderId="22" xfId="2" applyNumberFormat="1" applyFont="1" applyBorder="1" applyAlignment="1">
      <alignment horizontal="left" vertical="center"/>
    </xf>
    <xf numFmtId="176" fontId="24" fillId="0" borderId="22" xfId="2" applyNumberFormat="1" applyFont="1" applyBorder="1" applyAlignment="1">
      <alignment horizontal="left" vertical="center"/>
    </xf>
    <xf numFmtId="49" fontId="26" fillId="0" borderId="32" xfId="2" applyNumberFormat="1" applyFont="1" applyFill="1" applyBorder="1" applyAlignment="1">
      <alignment horizontal="center" vertical="center" wrapText="1" shrinkToFit="1"/>
    </xf>
    <xf numFmtId="182" fontId="31" fillId="0" borderId="32" xfId="0" applyNumberFormat="1" applyFont="1" applyFill="1" applyBorder="1" applyAlignment="1">
      <alignment horizontal="right" vertical="center"/>
    </xf>
    <xf numFmtId="176" fontId="30" fillId="0" borderId="44" xfId="2" applyNumberFormat="1" applyFont="1" applyFill="1" applyBorder="1" applyAlignment="1">
      <alignment horizontal="center" vertical="center" wrapText="1"/>
    </xf>
    <xf numFmtId="0" fontId="37" fillId="0" borderId="32" xfId="0" applyFont="1" applyFill="1" applyBorder="1" applyAlignment="1">
      <alignment horizontal="center" vertical="center" shrinkToFit="1"/>
    </xf>
    <xf numFmtId="0" fontId="26" fillId="0" borderId="45" xfId="0" applyFont="1" applyFill="1" applyBorder="1" applyAlignment="1">
      <alignment horizontal="center" vertical="center" wrapText="1"/>
    </xf>
    <xf numFmtId="38" fontId="31" fillId="0" borderId="45" xfId="2" applyFont="1" applyFill="1" applyBorder="1" applyAlignment="1">
      <alignment horizontal="right" vertical="center" wrapText="1"/>
    </xf>
    <xf numFmtId="0" fontId="26" fillId="0" borderId="32" xfId="0" applyFont="1" applyFill="1" applyBorder="1" applyAlignment="1">
      <alignment horizontal="center" vertical="center"/>
    </xf>
    <xf numFmtId="181" fontId="31" fillId="0" borderId="32" xfId="0" applyNumberFormat="1" applyFont="1" applyFill="1" applyBorder="1" applyAlignment="1">
      <alignment horizontal="right" vertical="center"/>
    </xf>
    <xf numFmtId="0" fontId="26" fillId="0" borderId="46" xfId="0" applyFont="1" applyFill="1" applyBorder="1" applyAlignment="1">
      <alignment horizontal="center" vertical="center" wrapText="1"/>
    </xf>
    <xf numFmtId="38" fontId="31" fillId="0" borderId="46" xfId="2" applyFont="1" applyFill="1" applyBorder="1" applyAlignment="1">
      <alignment horizontal="right" vertical="center" wrapText="1"/>
    </xf>
    <xf numFmtId="0" fontId="26" fillId="0" borderId="32" xfId="0" applyFont="1" applyFill="1" applyBorder="1" applyAlignment="1">
      <alignment horizontal="center" vertical="center" wrapText="1"/>
    </xf>
    <xf numFmtId="38" fontId="31" fillId="0" borderId="32" xfId="2" applyFont="1" applyFill="1" applyBorder="1" applyAlignment="1">
      <alignment horizontal="right" vertical="center" wrapText="1"/>
    </xf>
    <xf numFmtId="176" fontId="30" fillId="0" borderId="46" xfId="2" applyNumberFormat="1" applyFont="1" applyFill="1" applyBorder="1" applyAlignment="1">
      <alignment horizontal="center" vertical="top" wrapText="1"/>
    </xf>
    <xf numFmtId="176" fontId="30" fillId="0" borderId="47" xfId="2" applyNumberFormat="1" applyFont="1" applyFill="1" applyBorder="1" applyAlignment="1">
      <alignment horizontal="center" wrapText="1"/>
    </xf>
    <xf numFmtId="0" fontId="57" fillId="11" borderId="32" xfId="0" applyFont="1" applyFill="1" applyBorder="1" applyAlignment="1">
      <alignment horizontal="center" vertical="center"/>
    </xf>
    <xf numFmtId="0" fontId="57" fillId="11" borderId="32" xfId="0" applyFont="1" applyFill="1" applyBorder="1" applyAlignment="1">
      <alignment horizontal="center" vertical="center" shrinkToFit="1"/>
    </xf>
    <xf numFmtId="9" fontId="33" fillId="9" borderId="48" xfId="2" applyNumberFormat="1" applyFont="1" applyFill="1" applyBorder="1" applyAlignment="1">
      <alignment horizontal="right" vertical="center" shrinkToFit="1"/>
    </xf>
    <xf numFmtId="177" fontId="35" fillId="9" borderId="32" xfId="2" applyNumberFormat="1" applyFont="1" applyFill="1" applyBorder="1" applyAlignment="1">
      <alignment horizontal="right" vertical="center"/>
    </xf>
    <xf numFmtId="177" fontId="35" fillId="9" borderId="32" xfId="0" applyNumberFormat="1" applyFont="1" applyFill="1" applyBorder="1" applyAlignment="1">
      <alignment horizontal="right" vertical="center"/>
    </xf>
    <xf numFmtId="177" fontId="33" fillId="0" borderId="32" xfId="2" applyNumberFormat="1" applyFont="1" applyFill="1" applyBorder="1" applyAlignment="1">
      <alignment horizontal="right" vertical="center"/>
    </xf>
    <xf numFmtId="177" fontId="33" fillId="0" borderId="32" xfId="0" applyNumberFormat="1" applyFont="1" applyFill="1" applyBorder="1" applyAlignment="1">
      <alignment horizontal="right" vertical="center"/>
    </xf>
    <xf numFmtId="176" fontId="26" fillId="9" borderId="32" xfId="2" applyNumberFormat="1" applyFont="1" applyFill="1" applyBorder="1" applyAlignment="1">
      <alignment horizontal="center" vertical="center" wrapText="1" shrinkToFit="1"/>
    </xf>
    <xf numFmtId="9" fontId="32" fillId="0" borderId="32" xfId="2" applyNumberFormat="1" applyFont="1" applyFill="1" applyBorder="1" applyAlignment="1">
      <alignment horizontal="center" vertical="center"/>
    </xf>
    <xf numFmtId="183" fontId="48" fillId="8" borderId="32" xfId="2" applyNumberFormat="1" applyFont="1" applyFill="1" applyBorder="1" applyAlignment="1">
      <alignment horizontal="center" vertical="center" shrinkToFit="1"/>
    </xf>
    <xf numFmtId="176" fontId="31" fillId="8" borderId="32" xfId="2" applyNumberFormat="1" applyFont="1" applyFill="1" applyBorder="1" applyAlignment="1">
      <alignment horizontal="right" vertical="center"/>
    </xf>
    <xf numFmtId="0" fontId="31" fillId="8" borderId="32" xfId="0" applyFont="1" applyFill="1" applyBorder="1" applyAlignment="1">
      <alignment horizontal="right" vertical="center"/>
    </xf>
    <xf numFmtId="9" fontId="31" fillId="8" borderId="48" xfId="2" applyNumberFormat="1" applyFont="1" applyFill="1" applyBorder="1" applyAlignment="1">
      <alignment horizontal="center" vertical="center"/>
    </xf>
    <xf numFmtId="9" fontId="33" fillId="8" borderId="32" xfId="1" applyFont="1" applyFill="1" applyBorder="1" applyAlignment="1">
      <alignment horizontal="right" vertical="center"/>
    </xf>
    <xf numFmtId="180" fontId="32" fillId="0" borderId="32" xfId="1" applyNumberFormat="1" applyFont="1" applyFill="1" applyBorder="1" applyAlignment="1">
      <alignment horizontal="right" vertical="center"/>
    </xf>
    <xf numFmtId="180" fontId="32" fillId="0" borderId="32" xfId="0" applyNumberFormat="1" applyFont="1" applyFill="1" applyBorder="1" applyAlignment="1">
      <alignment horizontal="right" vertical="center"/>
    </xf>
    <xf numFmtId="176" fontId="14" fillId="8" borderId="32" xfId="2" applyNumberFormat="1" applyFont="1" applyFill="1" applyBorder="1" applyAlignment="1">
      <alignment horizontal="center" vertical="center" shrinkToFit="1"/>
    </xf>
    <xf numFmtId="180" fontId="32" fillId="0" borderId="32" xfId="2" applyNumberFormat="1" applyFont="1" applyFill="1" applyBorder="1" applyAlignment="1">
      <alignment horizontal="right" vertical="center"/>
    </xf>
    <xf numFmtId="176" fontId="32" fillId="0" borderId="32" xfId="2" applyNumberFormat="1" applyFont="1" applyFill="1" applyBorder="1" applyAlignment="1">
      <alignment horizontal="right" vertical="center"/>
    </xf>
    <xf numFmtId="183" fontId="48" fillId="5" borderId="32" xfId="2" applyNumberFormat="1" applyFont="1" applyFill="1" applyBorder="1" applyAlignment="1">
      <alignment horizontal="center" vertical="center" shrinkToFit="1"/>
    </xf>
    <xf numFmtId="176" fontId="31" fillId="5" borderId="32" xfId="2" applyNumberFormat="1" applyFont="1" applyFill="1" applyBorder="1" applyAlignment="1">
      <alignment horizontal="right" vertical="center"/>
    </xf>
    <xf numFmtId="9" fontId="33" fillId="5" borderId="32" xfId="1" applyFont="1" applyFill="1" applyBorder="1" applyAlignment="1">
      <alignment horizontal="right" vertical="center"/>
    </xf>
    <xf numFmtId="0" fontId="31" fillId="5" borderId="32" xfId="0" applyFont="1" applyFill="1" applyBorder="1" applyAlignment="1">
      <alignment horizontal="right" vertical="center"/>
    </xf>
    <xf numFmtId="9" fontId="33" fillId="5" borderId="48" xfId="1" applyFont="1" applyFill="1" applyBorder="1" applyAlignment="1">
      <alignment horizontal="center" vertical="center"/>
    </xf>
    <xf numFmtId="176" fontId="26" fillId="5" borderId="32" xfId="2" applyNumberFormat="1" applyFont="1" applyFill="1" applyBorder="1" applyAlignment="1">
      <alignment horizontal="center" vertical="center" shrinkToFit="1"/>
    </xf>
    <xf numFmtId="0" fontId="32" fillId="0" borderId="32" xfId="0" applyFont="1" applyFill="1" applyBorder="1" applyAlignment="1">
      <alignment horizontal="right" vertical="center"/>
    </xf>
    <xf numFmtId="176" fontId="55" fillId="11" borderId="32" xfId="2" applyNumberFormat="1" applyFont="1" applyFill="1" applyBorder="1" applyAlignment="1">
      <alignment horizontal="left" vertical="center"/>
    </xf>
    <xf numFmtId="176" fontId="56" fillId="11" borderId="32" xfId="2" applyNumberFormat="1" applyFont="1" applyFill="1" applyBorder="1" applyAlignment="1">
      <alignment horizontal="center" vertical="center"/>
    </xf>
    <xf numFmtId="0" fontId="56" fillId="11" borderId="32" xfId="0" applyFont="1" applyFill="1" applyBorder="1" applyAlignment="1">
      <alignment horizontal="center" vertical="center"/>
    </xf>
    <xf numFmtId="176" fontId="56" fillId="11" borderId="32" xfId="0" applyNumberFormat="1" applyFont="1" applyFill="1" applyBorder="1" applyAlignment="1">
      <alignment horizontal="center" vertical="center"/>
    </xf>
    <xf numFmtId="176" fontId="50" fillId="11" borderId="32" xfId="2" applyNumberFormat="1" applyFont="1" applyFill="1" applyBorder="1" applyAlignment="1">
      <alignment horizontal="center" vertical="center"/>
    </xf>
    <xf numFmtId="177" fontId="34" fillId="9" borderId="58" xfId="1" applyNumberFormat="1" applyFont="1" applyFill="1" applyBorder="1" applyAlignment="1">
      <alignment horizontal="right" vertical="center"/>
    </xf>
    <xf numFmtId="177" fontId="33" fillId="0" borderId="59" xfId="1" applyNumberFormat="1" applyFont="1" applyFill="1" applyBorder="1" applyAlignment="1">
      <alignment horizontal="right" vertical="center"/>
    </xf>
    <xf numFmtId="177" fontId="33" fillId="0" borderId="52" xfId="1" applyNumberFormat="1" applyFont="1" applyFill="1" applyBorder="1" applyAlignment="1">
      <alignment horizontal="right" vertical="center" shrinkToFit="1"/>
    </xf>
    <xf numFmtId="177" fontId="33" fillId="0" borderId="59" xfId="1" applyNumberFormat="1" applyFont="1" applyFill="1" applyBorder="1" applyAlignment="1">
      <alignment horizontal="right" vertical="center" shrinkToFit="1"/>
    </xf>
    <xf numFmtId="176" fontId="26" fillId="9" borderId="52" xfId="2" applyNumberFormat="1" applyFont="1" applyFill="1" applyBorder="1" applyAlignment="1">
      <alignment horizontal="center" vertical="center" wrapText="1" shrinkToFit="1"/>
    </xf>
    <xf numFmtId="176" fontId="26" fillId="9" borderId="56" xfId="2" applyNumberFormat="1" applyFont="1" applyFill="1" applyBorder="1" applyAlignment="1">
      <alignment horizontal="center" vertical="center" wrapText="1" shrinkToFit="1"/>
    </xf>
    <xf numFmtId="176" fontId="14" fillId="8" borderId="52" xfId="2" applyNumberFormat="1" applyFont="1" applyFill="1" applyBorder="1" applyAlignment="1">
      <alignment horizontal="center" vertical="center" shrinkToFit="1"/>
    </xf>
    <xf numFmtId="176" fontId="14" fillId="8" borderId="54" xfId="2" applyNumberFormat="1" applyFont="1" applyFill="1" applyBorder="1" applyAlignment="1">
      <alignment horizontal="center" vertical="center" shrinkToFit="1"/>
    </xf>
    <xf numFmtId="176" fontId="14" fillId="8" borderId="56" xfId="2" applyNumberFormat="1" applyFont="1" applyFill="1" applyBorder="1" applyAlignment="1">
      <alignment horizontal="center" vertical="center" shrinkToFit="1"/>
    </xf>
    <xf numFmtId="176" fontId="33" fillId="0" borderId="52" xfId="2" applyNumberFormat="1" applyFont="1" applyFill="1" applyBorder="1" applyAlignment="1">
      <alignment horizontal="right" vertical="center" shrinkToFit="1"/>
    </xf>
    <xf numFmtId="176" fontId="33" fillId="0" borderId="59" xfId="2" applyNumberFormat="1" applyFont="1" applyFill="1" applyBorder="1" applyAlignment="1">
      <alignment horizontal="right" vertical="center" shrinkToFit="1"/>
    </xf>
    <xf numFmtId="177" fontId="34" fillId="9" borderId="56" xfId="1" applyNumberFormat="1" applyFont="1" applyFill="1" applyBorder="1" applyAlignment="1">
      <alignment horizontal="right" vertical="center" shrinkToFit="1"/>
    </xf>
    <xf numFmtId="177" fontId="34" fillId="9" borderId="58" xfId="1" applyNumberFormat="1" applyFont="1" applyFill="1" applyBorder="1" applyAlignment="1">
      <alignment horizontal="right" vertical="center" shrinkToFit="1"/>
    </xf>
    <xf numFmtId="176" fontId="14" fillId="0" borderId="28" xfId="2" applyNumberFormat="1" applyFont="1" applyBorder="1" applyAlignment="1">
      <alignment horizontal="center" vertical="center" shrinkToFit="1"/>
    </xf>
    <xf numFmtId="176" fontId="14" fillId="0" borderId="30" xfId="2" applyNumberFormat="1" applyFont="1" applyBorder="1" applyAlignment="1">
      <alignment horizontal="center" vertical="center" shrinkToFit="1"/>
    </xf>
    <xf numFmtId="176" fontId="14" fillId="0" borderId="29" xfId="2" applyNumberFormat="1" applyFont="1" applyBorder="1" applyAlignment="1">
      <alignment horizontal="center" vertical="center" shrinkToFit="1"/>
    </xf>
    <xf numFmtId="176" fontId="26" fillId="6" borderId="52" xfId="2" applyNumberFormat="1" applyFont="1" applyFill="1" applyBorder="1" applyAlignment="1">
      <alignment horizontal="center" vertical="center" shrinkToFit="1"/>
    </xf>
    <xf numFmtId="176" fontId="26" fillId="6" borderId="54" xfId="2" applyNumberFormat="1" applyFont="1" applyFill="1" applyBorder="1" applyAlignment="1">
      <alignment horizontal="center" vertical="center" shrinkToFit="1"/>
    </xf>
    <xf numFmtId="176" fontId="26" fillId="6" borderId="56" xfId="2" applyNumberFormat="1" applyFont="1" applyFill="1" applyBorder="1" applyAlignment="1">
      <alignment horizontal="center" vertical="center" shrinkToFit="1"/>
    </xf>
    <xf numFmtId="176" fontId="31" fillId="8" borderId="0" xfId="2" applyNumberFormat="1" applyFont="1" applyFill="1" applyBorder="1" applyAlignment="1">
      <alignment horizontal="right" vertical="center"/>
    </xf>
    <xf numFmtId="0" fontId="31" fillId="8" borderId="0" xfId="0" applyFont="1" applyFill="1" applyBorder="1" applyAlignment="1">
      <alignment horizontal="right" vertical="center"/>
    </xf>
    <xf numFmtId="180" fontId="33" fillId="0" borderId="59" xfId="1" applyNumberFormat="1" applyFont="1" applyFill="1" applyBorder="1" applyAlignment="1">
      <alignment horizontal="right" vertical="center"/>
    </xf>
    <xf numFmtId="180" fontId="33" fillId="0" borderId="59" xfId="0" applyNumberFormat="1" applyFont="1" applyFill="1" applyBorder="1" applyAlignment="1">
      <alignment horizontal="right" vertical="center"/>
    </xf>
    <xf numFmtId="176" fontId="31" fillId="8" borderId="54" xfId="2" applyNumberFormat="1" applyFont="1" applyFill="1" applyBorder="1" applyAlignment="1">
      <alignment horizontal="right" vertical="center"/>
    </xf>
    <xf numFmtId="176" fontId="33" fillId="0" borderId="59" xfId="2" applyNumberFormat="1" applyFont="1" applyFill="1" applyBorder="1" applyAlignment="1">
      <alignment horizontal="right" vertical="center"/>
    </xf>
    <xf numFmtId="0" fontId="33" fillId="0" borderId="59" xfId="0" applyFont="1" applyFill="1" applyBorder="1" applyAlignment="1">
      <alignment horizontal="right" vertical="center"/>
    </xf>
    <xf numFmtId="180" fontId="33" fillId="0" borderId="59" xfId="2" applyNumberFormat="1" applyFont="1" applyFill="1" applyBorder="1" applyAlignment="1">
      <alignment horizontal="right" vertical="center"/>
    </xf>
    <xf numFmtId="176" fontId="5" fillId="0" borderId="58" xfId="2" applyNumberFormat="1" applyFont="1" applyBorder="1" applyAlignment="1">
      <alignment horizontal="right" vertical="center"/>
    </xf>
    <xf numFmtId="176" fontId="11" fillId="12" borderId="32" xfId="2" applyNumberFormat="1" applyFont="1" applyFill="1" applyBorder="1" applyAlignment="1">
      <alignment horizontal="left" vertical="center"/>
    </xf>
    <xf numFmtId="176" fontId="36" fillId="12" borderId="51" xfId="2" applyNumberFormat="1" applyFont="1" applyFill="1" applyBorder="1" applyAlignment="1">
      <alignment horizontal="right" vertical="center"/>
    </xf>
    <xf numFmtId="0" fontId="36" fillId="12" borderId="49" xfId="0" applyFont="1" applyFill="1" applyBorder="1" applyAlignment="1">
      <alignment horizontal="right" vertical="center"/>
    </xf>
    <xf numFmtId="176" fontId="36" fillId="12" borderId="49" xfId="2" applyNumberFormat="1" applyFont="1" applyFill="1" applyBorder="1" applyAlignment="1">
      <alignment horizontal="right" vertical="center"/>
    </xf>
    <xf numFmtId="176" fontId="36" fillId="12" borderId="49" xfId="0" applyNumberFormat="1" applyFont="1" applyFill="1" applyBorder="1" applyAlignment="1">
      <alignment horizontal="right" vertical="center"/>
    </xf>
    <xf numFmtId="176" fontId="36" fillId="12" borderId="50" xfId="0" applyNumberFormat="1" applyFont="1" applyFill="1" applyBorder="1" applyAlignment="1">
      <alignment horizontal="right" vertical="center"/>
    </xf>
    <xf numFmtId="0" fontId="36" fillId="12" borderId="32" xfId="0" applyFont="1" applyFill="1" applyBorder="1" applyAlignment="1">
      <alignment horizontal="right" vertical="center"/>
    </xf>
    <xf numFmtId="176" fontId="31" fillId="6" borderId="0" xfId="2" applyNumberFormat="1" applyFont="1" applyFill="1" applyBorder="1" applyAlignment="1">
      <alignment horizontal="right" vertical="center"/>
    </xf>
    <xf numFmtId="0" fontId="31" fillId="6" borderId="0" xfId="0" applyFont="1" applyFill="1" applyBorder="1" applyAlignment="1">
      <alignment horizontal="right" vertical="center"/>
    </xf>
    <xf numFmtId="176" fontId="31" fillId="6" borderId="54" xfId="2" applyNumberFormat="1" applyFont="1" applyFill="1" applyBorder="1" applyAlignment="1">
      <alignment horizontal="right" vertical="center"/>
    </xf>
    <xf numFmtId="177" fontId="33" fillId="0" borderId="53" xfId="1" applyNumberFormat="1" applyFont="1" applyFill="1" applyBorder="1" applyAlignment="1">
      <alignment horizontal="right" vertical="center"/>
    </xf>
    <xf numFmtId="177" fontId="33" fillId="0" borderId="47" xfId="1" applyNumberFormat="1" applyFont="1" applyFill="1" applyBorder="1" applyAlignment="1">
      <alignment horizontal="right" vertical="center"/>
    </xf>
    <xf numFmtId="177" fontId="34" fillId="9" borderId="57" xfId="1" applyNumberFormat="1" applyFont="1" applyFill="1" applyBorder="1" applyAlignment="1">
      <alignment horizontal="right" vertical="center"/>
    </xf>
    <xf numFmtId="176" fontId="33" fillId="0" borderId="53" xfId="2" applyNumberFormat="1" applyFont="1" applyFill="1" applyBorder="1" applyAlignment="1">
      <alignment horizontal="right" vertical="center"/>
    </xf>
    <xf numFmtId="176" fontId="33" fillId="0" borderId="47" xfId="2" applyNumberFormat="1" applyFont="1" applyFill="1" applyBorder="1" applyAlignment="1">
      <alignment horizontal="right" vertical="center"/>
    </xf>
    <xf numFmtId="176" fontId="31" fillId="6" borderId="55" xfId="2" applyNumberFormat="1" applyFont="1" applyFill="1" applyBorder="1" applyAlignment="1">
      <alignment horizontal="right" vertical="center"/>
    </xf>
    <xf numFmtId="0" fontId="31" fillId="6" borderId="44" xfId="0" applyFont="1" applyFill="1" applyBorder="1" applyAlignment="1">
      <alignment horizontal="right" vertical="center"/>
    </xf>
    <xf numFmtId="180" fontId="33" fillId="0" borderId="53" xfId="1" applyNumberFormat="1" applyFont="1" applyFill="1" applyBorder="1" applyAlignment="1">
      <alignment horizontal="right" vertical="center"/>
    </xf>
    <xf numFmtId="180" fontId="33" fillId="0" borderId="47" xfId="0" applyNumberFormat="1" applyFont="1" applyFill="1" applyBorder="1" applyAlignment="1">
      <alignment horizontal="right" vertical="center"/>
    </xf>
    <xf numFmtId="176" fontId="31" fillId="8" borderId="55" xfId="2" applyNumberFormat="1" applyFont="1" applyFill="1" applyBorder="1" applyAlignment="1">
      <alignment horizontal="right" vertical="center"/>
    </xf>
    <xf numFmtId="0" fontId="31" fillId="8" borderId="44" xfId="0" applyFont="1" applyFill="1" applyBorder="1" applyAlignment="1">
      <alignment horizontal="right" vertical="center"/>
    </xf>
    <xf numFmtId="0" fontId="26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71" fillId="0" borderId="60" xfId="0" applyFont="1" applyFill="1" applyBorder="1" applyAlignment="1">
      <alignment horizontal="center" vertical="center"/>
    </xf>
    <xf numFmtId="0" fontId="71" fillId="0" borderId="62" xfId="0" applyFont="1" applyFill="1" applyBorder="1" applyAlignment="1">
      <alignment horizontal="center" vertical="center"/>
    </xf>
    <xf numFmtId="0" fontId="71" fillId="4" borderId="65" xfId="0" applyFont="1" applyFill="1" applyBorder="1" applyAlignment="1">
      <alignment horizontal="center" vertical="center"/>
    </xf>
    <xf numFmtId="0" fontId="70" fillId="4" borderId="63" xfId="0" applyFont="1" applyFill="1" applyBorder="1" applyAlignment="1">
      <alignment horizontal="center" vertical="center"/>
    </xf>
    <xf numFmtId="0" fontId="71" fillId="0" borderId="60" xfId="0" applyFont="1" applyBorder="1" applyAlignment="1">
      <alignment horizontal="center" vertical="center"/>
    </xf>
    <xf numFmtId="0" fontId="71" fillId="0" borderId="62" xfId="0" applyFont="1" applyBorder="1" applyAlignment="1">
      <alignment horizontal="center" vertical="center"/>
    </xf>
    <xf numFmtId="0" fontId="71" fillId="4" borderId="63" xfId="0" applyFont="1" applyFill="1" applyBorder="1" applyAlignment="1">
      <alignment horizontal="center" vertical="center"/>
    </xf>
    <xf numFmtId="0" fontId="71" fillId="4" borderId="64" xfId="0" applyFont="1" applyFill="1" applyBorder="1" applyAlignment="1">
      <alignment horizontal="center" vertical="center"/>
    </xf>
    <xf numFmtId="0" fontId="76" fillId="0" borderId="25" xfId="0" applyFont="1" applyBorder="1" applyAlignment="1">
      <alignment horizontal="center" vertical="center"/>
    </xf>
    <xf numFmtId="0" fontId="77" fillId="0" borderId="25" xfId="0" applyFont="1" applyBorder="1" applyAlignment="1">
      <alignment horizontal="center" vertical="center" wrapText="1"/>
    </xf>
    <xf numFmtId="0" fontId="76" fillId="21" borderId="66" xfId="0" applyFont="1" applyFill="1" applyBorder="1" applyAlignment="1">
      <alignment horizontal="center" vertical="center" wrapText="1"/>
    </xf>
    <xf numFmtId="0" fontId="77" fillId="21" borderId="25" xfId="0" applyFont="1" applyFill="1" applyBorder="1" applyAlignment="1">
      <alignment horizontal="center" vertical="center" wrapText="1"/>
    </xf>
    <xf numFmtId="0" fontId="77" fillId="21" borderId="1" xfId="0" applyFont="1" applyFill="1" applyBorder="1" applyAlignment="1">
      <alignment horizontal="center" vertical="center" wrapText="1"/>
    </xf>
    <xf numFmtId="0" fontId="71" fillId="22" borderId="65" xfId="0" applyFont="1" applyFill="1" applyBorder="1" applyAlignment="1">
      <alignment horizontal="center" vertical="center"/>
    </xf>
    <xf numFmtId="0" fontId="70" fillId="22" borderId="63" xfId="0" applyFont="1" applyFill="1" applyBorder="1" applyAlignment="1">
      <alignment horizontal="center" vertical="center"/>
    </xf>
    <xf numFmtId="0" fontId="70" fillId="22" borderId="65" xfId="0" applyFont="1" applyFill="1" applyBorder="1" applyAlignment="1">
      <alignment horizontal="center" vertical="center"/>
    </xf>
    <xf numFmtId="0" fontId="71" fillId="22" borderId="64" xfId="0" applyFont="1" applyFill="1" applyBorder="1" applyAlignment="1">
      <alignment horizontal="center" vertical="center"/>
    </xf>
    <xf numFmtId="9" fontId="33" fillId="0" borderId="56" xfId="1" applyNumberFormat="1" applyFont="1" applyFill="1" applyBorder="1" applyAlignment="1">
      <alignment horizontal="right" vertical="center" shrinkToFit="1"/>
    </xf>
    <xf numFmtId="9" fontId="33" fillId="0" borderId="58" xfId="1" applyNumberFormat="1" applyFont="1" applyFill="1" applyBorder="1" applyAlignment="1">
      <alignment horizontal="right" vertical="center" shrinkToFit="1"/>
    </xf>
    <xf numFmtId="9" fontId="33" fillId="0" borderId="58" xfId="1" applyNumberFormat="1" applyFont="1" applyFill="1" applyBorder="1" applyAlignment="1">
      <alignment horizontal="right" vertical="center"/>
    </xf>
    <xf numFmtId="9" fontId="33" fillId="0" borderId="57" xfId="1" applyNumberFormat="1" applyFont="1" applyFill="1" applyBorder="1" applyAlignment="1">
      <alignment horizontal="right" vertical="center"/>
    </xf>
    <xf numFmtId="9" fontId="33" fillId="0" borderId="46" xfId="1" applyNumberFormat="1" applyFont="1" applyFill="1" applyBorder="1" applyAlignment="1">
      <alignment horizontal="right" vertic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売 上 高</a:t>
            </a:r>
          </a:p>
        </c:rich>
      </c:tx>
      <c:layout>
        <c:manualLayout>
          <c:xMode val="edge"/>
          <c:yMode val="edge"/>
          <c:x val="0.37394949623232576"/>
          <c:y val="1.83150312488965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94117647058823"/>
          <c:y val="0.16117273771154458"/>
          <c:w val="0.86729293747878189"/>
          <c:h val="0.764753784015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【データ入力】!$B$25</c:f>
              <c:strCache>
                <c:ptCount val="1"/>
                <c:pt idx="0">
                  <c:v>売上高実績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【データ入力】!$C$25:$N$25</c:f>
              <c:numCache>
                <c:formatCode>#,##0;"△ "#,##0</c:formatCode>
                <c:ptCount val="12"/>
                <c:pt idx="0">
                  <c:v>483.34301642000008</c:v>
                </c:pt>
                <c:pt idx="1">
                  <c:v>506.27909642000003</c:v>
                </c:pt>
                <c:pt idx="2">
                  <c:v>497.0073664200001</c:v>
                </c:pt>
                <c:pt idx="3">
                  <c:v>520.53161841999997</c:v>
                </c:pt>
                <c:pt idx="4">
                  <c:v>514.60367041999996</c:v>
                </c:pt>
                <c:pt idx="5">
                  <c:v>524.02652641999998</c:v>
                </c:pt>
                <c:pt idx="6">
                  <c:v>525.58846542000003</c:v>
                </c:pt>
                <c:pt idx="7">
                  <c:v>529.32177641999999</c:v>
                </c:pt>
                <c:pt idx="8">
                  <c:v>521.30192041999999</c:v>
                </c:pt>
                <c:pt idx="9">
                  <c:v>513.29343979999999</c:v>
                </c:pt>
                <c:pt idx="10">
                  <c:v>512.25795562000008</c:v>
                </c:pt>
                <c:pt idx="11">
                  <c:v>513.60789021999994</c:v>
                </c:pt>
              </c:numCache>
            </c:numRef>
          </c:val>
        </c:ser>
        <c:ser>
          <c:idx val="0"/>
          <c:order val="1"/>
          <c:tx>
            <c:strRef>
              <c:f>データ入力!#REF!</c:f>
              <c:strCache>
                <c:ptCount val="1"/>
                <c:pt idx="0">
                  <c:v>売上高実績/見込み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【データ入力】!$C$33:$N$33</c:f>
              <c:numCache>
                <c:formatCode>#,##0;"△ "#,##0</c:formatCode>
                <c:ptCount val="12"/>
                <c:pt idx="0">
                  <c:v>499.841723828</c:v>
                </c:pt>
                <c:pt idx="1">
                  <c:v>504.94539300000002</c:v>
                </c:pt>
                <c:pt idx="2">
                  <c:v>507.2474312199999</c:v>
                </c:pt>
                <c:pt idx="3">
                  <c:v>555.4894569999999</c:v>
                </c:pt>
                <c:pt idx="4">
                  <c:v>548.441689</c:v>
                </c:pt>
                <c:pt idx="5">
                  <c:v>582.09688975578001</c:v>
                </c:pt>
                <c:pt idx="6">
                  <c:v>619.8456997699999</c:v>
                </c:pt>
                <c:pt idx="7">
                  <c:v>622.89162460999989</c:v>
                </c:pt>
                <c:pt idx="8">
                  <c:v>618.10807098999999</c:v>
                </c:pt>
                <c:pt idx="9">
                  <c:v>595.32479554999998</c:v>
                </c:pt>
                <c:pt idx="10">
                  <c:v>593.13323444999992</c:v>
                </c:pt>
                <c:pt idx="11">
                  <c:v>592.94820278999987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16"/>
        <c:axId val="214595144"/>
        <c:axId val="214599624"/>
      </c:barChart>
      <c:catAx>
        <c:axId val="214595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45996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459962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1.4705782744898822E-2"/>
              <c:y val="3.663035674352364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4595144"/>
        <c:crosses val="autoZero"/>
        <c:crossBetween val="between"/>
      </c:valAx>
      <c:spPr>
        <a:solidFill>
          <a:srgbClr val="FFFFCC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781512605042014"/>
          <c:y val="2.8328611898016998E-2"/>
          <c:w val="0.18277310924369747"/>
          <c:h val="0.10764872521246459"/>
        </c:manualLayout>
      </c:layout>
      <c:overlay val="0"/>
      <c:spPr>
        <a:solidFill>
          <a:srgbClr val="FFFFFF"/>
        </a:solidFill>
        <a:ln w="3175">
          <a:solidFill>
            <a:schemeClr val="tx1"/>
          </a:solidFill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CC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営 業 利 益</a:t>
            </a:r>
          </a:p>
        </c:rich>
      </c:tx>
      <c:layout>
        <c:manualLayout>
          <c:xMode val="edge"/>
          <c:yMode val="edge"/>
          <c:x val="0.34800021977929091"/>
          <c:y val="1.603926221551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638655462184878E-2"/>
          <c:y val="0.23529411764705882"/>
          <c:w val="0.82885897955384225"/>
          <c:h val="0.6841662877246725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【データ入力】!$B$26</c:f>
              <c:strCache>
                <c:ptCount val="1"/>
                <c:pt idx="0">
                  <c:v>営業利益実績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【データ入力】!$C$26:$N$26</c:f>
              <c:numCache>
                <c:formatCode>#,##0;"△ "#,##0</c:formatCode>
                <c:ptCount val="12"/>
                <c:pt idx="0">
                  <c:v>74.732748865326855</c:v>
                </c:pt>
                <c:pt idx="1">
                  <c:v>89.548245999285569</c:v>
                </c:pt>
                <c:pt idx="2">
                  <c:v>75.910723989335096</c:v>
                </c:pt>
                <c:pt idx="3">
                  <c:v>103.82091572291776</c:v>
                </c:pt>
                <c:pt idx="4">
                  <c:v>100.14384102215544</c:v>
                </c:pt>
                <c:pt idx="5">
                  <c:v>100.96433370046431</c:v>
                </c:pt>
                <c:pt idx="6">
                  <c:v>106.66522689124098</c:v>
                </c:pt>
                <c:pt idx="7">
                  <c:v>109.86655344966266</c:v>
                </c:pt>
                <c:pt idx="8">
                  <c:v>101.76874358655293</c:v>
                </c:pt>
                <c:pt idx="9">
                  <c:v>104.10151114086601</c:v>
                </c:pt>
                <c:pt idx="10">
                  <c:v>103.82815984574374</c:v>
                </c:pt>
                <c:pt idx="11">
                  <c:v>103.86250484076595</c:v>
                </c:pt>
              </c:numCache>
            </c:numRef>
          </c:val>
        </c:ser>
        <c:ser>
          <c:idx val="0"/>
          <c:order val="1"/>
          <c:tx>
            <c:strRef>
              <c:f>データ入力!#REF!</c:f>
              <c:strCache>
                <c:ptCount val="1"/>
                <c:pt idx="0">
                  <c:v>営業利益実績/見込み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【データ入力】!$C$34:$N$34</c:f>
              <c:numCache>
                <c:formatCode>#,##0;"△ "#,##0</c:formatCode>
                <c:ptCount val="12"/>
                <c:pt idx="0">
                  <c:v>75.435084779151367</c:v>
                </c:pt>
                <c:pt idx="1">
                  <c:v>78.912892440000022</c:v>
                </c:pt>
                <c:pt idx="2">
                  <c:v>85.485531999999992</c:v>
                </c:pt>
                <c:pt idx="3">
                  <c:v>99.301795999999953</c:v>
                </c:pt>
                <c:pt idx="4">
                  <c:v>101.020878</c:v>
                </c:pt>
                <c:pt idx="5">
                  <c:v>100.85921055599427</c:v>
                </c:pt>
                <c:pt idx="6">
                  <c:v>128.29974789007613</c:v>
                </c:pt>
                <c:pt idx="7">
                  <c:v>126.62420666078938</c:v>
                </c:pt>
                <c:pt idx="8">
                  <c:v>124.93941079181486</c:v>
                </c:pt>
                <c:pt idx="9">
                  <c:v>118.361100170322</c:v>
                </c:pt>
                <c:pt idx="10">
                  <c:v>116.38893277436348</c:v>
                </c:pt>
                <c:pt idx="11">
                  <c:v>121.81901141701645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8"/>
        <c:axId val="215473768"/>
        <c:axId val="215432048"/>
      </c:barChart>
      <c:lineChart>
        <c:grouping val="standard"/>
        <c:varyColors val="0"/>
        <c:ser>
          <c:idx val="2"/>
          <c:order val="2"/>
          <c:tx>
            <c:strRef>
              <c:f>【データ入力】!$B$27</c:f>
              <c:strCache>
                <c:ptCount val="1"/>
                <c:pt idx="0">
                  <c:v>営業利益率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val>
            <c:numRef>
              <c:f>【データ入力】!$C$27:$N$27</c:f>
              <c:numCache>
                <c:formatCode>0%</c:formatCode>
                <c:ptCount val="12"/>
                <c:pt idx="0">
                  <c:v>0.15461638283067269</c:v>
                </c:pt>
                <c:pt idx="1">
                  <c:v>0.17687525839502161</c:v>
                </c:pt>
                <c:pt idx="2">
                  <c:v>0.15273561141785194</c:v>
                </c:pt>
                <c:pt idx="3">
                  <c:v>0.19945169908804281</c:v>
                </c:pt>
                <c:pt idx="4">
                  <c:v>0.19460382188961428</c:v>
                </c:pt>
                <c:pt idx="5">
                  <c:v>0.19267027261048003</c:v>
                </c:pt>
                <c:pt idx="6">
                  <c:v>0.20294438312302826</c:v>
                </c:pt>
                <c:pt idx="7">
                  <c:v>0.20756099284773624</c:v>
                </c:pt>
                <c:pt idx="8">
                  <c:v>0.19522035043446681</c:v>
                </c:pt>
                <c:pt idx="9">
                  <c:v>0.20281091295736839</c:v>
                </c:pt>
                <c:pt idx="10">
                  <c:v>0.20268725689204303</c:v>
                </c:pt>
                <c:pt idx="11">
                  <c:v>0.2022213965526839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439600"/>
        <c:axId val="215439984"/>
      </c:lineChart>
      <c:catAx>
        <c:axId val="215473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4320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543204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1.4705981800584104E-2"/>
              <c:y val="7.7205803041743057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473768"/>
        <c:crosses val="autoZero"/>
        <c:crossBetween val="between"/>
      </c:valAx>
      <c:catAx>
        <c:axId val="215439600"/>
        <c:scaling>
          <c:orientation val="minMax"/>
        </c:scaling>
        <c:delete val="1"/>
        <c:axPos val="b"/>
        <c:majorTickMark val="out"/>
        <c:minorTickMark val="none"/>
        <c:tickLblPos val="nextTo"/>
        <c:crossAx val="215439984"/>
        <c:crosses val="autoZero"/>
        <c:auto val="0"/>
        <c:lblAlgn val="ctr"/>
        <c:lblOffset val="100"/>
        <c:noMultiLvlLbl val="0"/>
      </c:catAx>
      <c:valAx>
        <c:axId val="215439984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439600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579831932773111"/>
          <c:y val="1.4409221902017291E-2"/>
          <c:w val="0.24159663865546219"/>
          <c:h val="0.18731988472622479"/>
        </c:manualLayout>
      </c:layout>
      <c:overlay val="0"/>
      <c:spPr>
        <a:solidFill>
          <a:srgbClr val="FFFFFF"/>
        </a:solidFill>
        <a:ln w="3175">
          <a:solidFill>
            <a:schemeClr val="tx1"/>
          </a:solidFill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12700">
      <a:noFill/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売 上 高</a:t>
            </a:r>
          </a:p>
        </c:rich>
      </c:tx>
      <c:layout>
        <c:manualLayout>
          <c:xMode val="edge"/>
          <c:yMode val="edge"/>
          <c:x val="0.37394959949293211"/>
          <c:y val="1.8315088662697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94117647058823"/>
          <c:y val="0.13222922387957656"/>
          <c:w val="0.86729293747878189"/>
          <c:h val="0.758964868899347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【データ入力】!$B$25</c:f>
              <c:strCache>
                <c:ptCount val="1"/>
                <c:pt idx="0">
                  <c:v>売上高実績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【データ入力】!$C$25:$N$25</c:f>
              <c:numCache>
                <c:formatCode>#,##0;"△ "#,##0</c:formatCode>
                <c:ptCount val="12"/>
                <c:pt idx="0">
                  <c:v>483.34301642000008</c:v>
                </c:pt>
                <c:pt idx="1">
                  <c:v>506.27909642000003</c:v>
                </c:pt>
                <c:pt idx="2">
                  <c:v>497.0073664200001</c:v>
                </c:pt>
                <c:pt idx="3">
                  <c:v>520.53161841999997</c:v>
                </c:pt>
                <c:pt idx="4">
                  <c:v>514.60367041999996</c:v>
                </c:pt>
                <c:pt idx="5">
                  <c:v>524.02652641999998</c:v>
                </c:pt>
                <c:pt idx="6">
                  <c:v>525.58846542000003</c:v>
                </c:pt>
                <c:pt idx="7">
                  <c:v>529.32177641999999</c:v>
                </c:pt>
                <c:pt idx="8">
                  <c:v>521.30192041999999</c:v>
                </c:pt>
                <c:pt idx="9">
                  <c:v>513.29343979999999</c:v>
                </c:pt>
                <c:pt idx="10">
                  <c:v>512.25795562000008</c:v>
                </c:pt>
                <c:pt idx="11">
                  <c:v>513.60789021999994</c:v>
                </c:pt>
              </c:numCache>
            </c:numRef>
          </c:val>
        </c:ser>
        <c:ser>
          <c:idx val="0"/>
          <c:order val="1"/>
          <c:tx>
            <c:strRef>
              <c:f>データ入力!#REF!</c:f>
              <c:strCache>
                <c:ptCount val="1"/>
                <c:pt idx="0">
                  <c:v>売上高実績/見込み</c:v>
                </c:pt>
              </c:strCache>
            </c:strRef>
          </c:tx>
          <c:spPr>
            <a:solidFill>
              <a:srgbClr val="0070C0"/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【データ入力】!$C$33:$N$33</c:f>
              <c:numCache>
                <c:formatCode>#,##0;"△ "#,##0</c:formatCode>
                <c:ptCount val="12"/>
                <c:pt idx="0">
                  <c:v>499.841723828</c:v>
                </c:pt>
                <c:pt idx="1">
                  <c:v>504.94539300000002</c:v>
                </c:pt>
                <c:pt idx="2">
                  <c:v>507.2474312199999</c:v>
                </c:pt>
                <c:pt idx="3">
                  <c:v>555.4894569999999</c:v>
                </c:pt>
                <c:pt idx="4">
                  <c:v>548.441689</c:v>
                </c:pt>
                <c:pt idx="5">
                  <c:v>582.09688975578001</c:v>
                </c:pt>
                <c:pt idx="6">
                  <c:v>619.8456997699999</c:v>
                </c:pt>
                <c:pt idx="7">
                  <c:v>622.89162460999989</c:v>
                </c:pt>
                <c:pt idx="8">
                  <c:v>618.10807098999999</c:v>
                </c:pt>
                <c:pt idx="9">
                  <c:v>595.32479554999998</c:v>
                </c:pt>
                <c:pt idx="10">
                  <c:v>593.13323444999992</c:v>
                </c:pt>
                <c:pt idx="11">
                  <c:v>592.94820278999987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16"/>
        <c:axId val="214919832"/>
        <c:axId val="213116552"/>
      </c:barChart>
      <c:catAx>
        <c:axId val="2149198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31165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311655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1.4705819795216036E-2"/>
              <c:y val="3.6630177325395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4919832"/>
        <c:crosses val="autoZero"/>
        <c:crossBetween val="between"/>
      </c:valAx>
      <c:spPr>
        <a:solidFill>
          <a:srgbClr val="FFFFCC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831932773109249"/>
          <c:y val="3.4782608695652174E-2"/>
          <c:w val="0.16176470588235295"/>
          <c:h val="0.15652173913043479"/>
        </c:manualLayout>
      </c:layout>
      <c:overlay val="0"/>
      <c:spPr>
        <a:solidFill>
          <a:srgbClr val="FFFFFF"/>
        </a:solidFill>
        <a:ln w="3175">
          <a:solidFill>
            <a:schemeClr val="tx1"/>
          </a:solidFill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CC"/>
    </a:solidFill>
    <a:ln w="12700">
      <a:noFill/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営 業 利 益</a:t>
            </a:r>
          </a:p>
        </c:rich>
      </c:tx>
      <c:layout>
        <c:manualLayout>
          <c:xMode val="edge"/>
          <c:yMode val="edge"/>
          <c:x val="0.34800020997375325"/>
          <c:y val="1.60390943349980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638594723642848E-2"/>
          <c:y val="7.5458661417322825E-2"/>
          <c:w val="0.82885897955384225"/>
          <c:h val="0.8133802387604774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【データ入力】!$B$26</c:f>
              <c:strCache>
                <c:ptCount val="1"/>
                <c:pt idx="0">
                  <c:v>営業利益実績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【データ入力】!$C$26:$N$26</c:f>
              <c:numCache>
                <c:formatCode>#,##0;"△ "#,##0</c:formatCode>
                <c:ptCount val="12"/>
                <c:pt idx="0">
                  <c:v>74.732748865326855</c:v>
                </c:pt>
                <c:pt idx="1">
                  <c:v>89.548245999285569</c:v>
                </c:pt>
                <c:pt idx="2">
                  <c:v>75.910723989335096</c:v>
                </c:pt>
                <c:pt idx="3">
                  <c:v>103.82091572291776</c:v>
                </c:pt>
                <c:pt idx="4">
                  <c:v>100.14384102215544</c:v>
                </c:pt>
                <c:pt idx="5">
                  <c:v>100.96433370046431</c:v>
                </c:pt>
                <c:pt idx="6">
                  <c:v>106.66522689124098</c:v>
                </c:pt>
                <c:pt idx="7">
                  <c:v>109.86655344966266</c:v>
                </c:pt>
                <c:pt idx="8">
                  <c:v>101.76874358655293</c:v>
                </c:pt>
                <c:pt idx="9">
                  <c:v>104.10151114086601</c:v>
                </c:pt>
                <c:pt idx="10">
                  <c:v>103.82815984574374</c:v>
                </c:pt>
                <c:pt idx="11">
                  <c:v>103.86250484076595</c:v>
                </c:pt>
              </c:numCache>
            </c:numRef>
          </c:val>
        </c:ser>
        <c:ser>
          <c:idx val="0"/>
          <c:order val="1"/>
          <c:tx>
            <c:strRef>
              <c:f>データ入力!#REF!</c:f>
              <c:strCache>
                <c:ptCount val="1"/>
                <c:pt idx="0">
                  <c:v>営業利益実績/見込み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【データ入力】!$C$34:$N$34</c:f>
              <c:numCache>
                <c:formatCode>#,##0;"△ "#,##0</c:formatCode>
                <c:ptCount val="12"/>
                <c:pt idx="0">
                  <c:v>75.435084779151367</c:v>
                </c:pt>
                <c:pt idx="1">
                  <c:v>78.912892440000022</c:v>
                </c:pt>
                <c:pt idx="2">
                  <c:v>85.485531999999992</c:v>
                </c:pt>
                <c:pt idx="3">
                  <c:v>99.301795999999953</c:v>
                </c:pt>
                <c:pt idx="4">
                  <c:v>101.020878</c:v>
                </c:pt>
                <c:pt idx="5">
                  <c:v>100.85921055599427</c:v>
                </c:pt>
                <c:pt idx="6">
                  <c:v>128.29974789007613</c:v>
                </c:pt>
                <c:pt idx="7">
                  <c:v>126.62420666078938</c:v>
                </c:pt>
                <c:pt idx="8">
                  <c:v>124.93941079181486</c:v>
                </c:pt>
                <c:pt idx="9">
                  <c:v>118.361100170322</c:v>
                </c:pt>
                <c:pt idx="10">
                  <c:v>116.38893277436348</c:v>
                </c:pt>
                <c:pt idx="11">
                  <c:v>121.81901141701645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8"/>
        <c:axId val="213117336"/>
        <c:axId val="213117728"/>
      </c:barChart>
      <c:lineChart>
        <c:grouping val="standard"/>
        <c:varyColors val="0"/>
        <c:ser>
          <c:idx val="2"/>
          <c:order val="2"/>
          <c:tx>
            <c:strRef>
              <c:f>【データ入力】!$B$27</c:f>
              <c:strCache>
                <c:ptCount val="1"/>
                <c:pt idx="0">
                  <c:v>営業利益率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val>
            <c:numRef>
              <c:f>【データ入力】!$C$27:$N$27</c:f>
              <c:numCache>
                <c:formatCode>0%</c:formatCode>
                <c:ptCount val="12"/>
                <c:pt idx="0">
                  <c:v>0.15461638283067269</c:v>
                </c:pt>
                <c:pt idx="1">
                  <c:v>0.17687525839502161</c:v>
                </c:pt>
                <c:pt idx="2">
                  <c:v>0.15273561141785194</c:v>
                </c:pt>
                <c:pt idx="3">
                  <c:v>0.19945169908804281</c:v>
                </c:pt>
                <c:pt idx="4">
                  <c:v>0.19460382188961428</c:v>
                </c:pt>
                <c:pt idx="5">
                  <c:v>0.19267027261048003</c:v>
                </c:pt>
                <c:pt idx="6">
                  <c:v>0.20294438312302826</c:v>
                </c:pt>
                <c:pt idx="7">
                  <c:v>0.20756099284773624</c:v>
                </c:pt>
                <c:pt idx="8">
                  <c:v>0.19522035043446681</c:v>
                </c:pt>
                <c:pt idx="9">
                  <c:v>0.20281091295736839</c:v>
                </c:pt>
                <c:pt idx="10">
                  <c:v>0.20268725689204303</c:v>
                </c:pt>
                <c:pt idx="11">
                  <c:v>0.2022213965526839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18120"/>
        <c:axId val="215006680"/>
      </c:lineChart>
      <c:catAx>
        <c:axId val="213117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31177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311772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1.4705721784776903E-2"/>
              <c:y val="7.7206205255471477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3117336"/>
        <c:crosses val="autoZero"/>
        <c:crossBetween val="between"/>
      </c:valAx>
      <c:catAx>
        <c:axId val="213118120"/>
        <c:scaling>
          <c:orientation val="minMax"/>
        </c:scaling>
        <c:delete val="1"/>
        <c:axPos val="b"/>
        <c:majorTickMark val="out"/>
        <c:minorTickMark val="none"/>
        <c:tickLblPos val="nextTo"/>
        <c:crossAx val="215006680"/>
        <c:crosses val="autoZero"/>
        <c:auto val="0"/>
        <c:lblAlgn val="ctr"/>
        <c:lblOffset val="100"/>
        <c:noMultiLvlLbl val="0"/>
      </c:catAx>
      <c:valAx>
        <c:axId val="215006680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3118120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3147125604792642"/>
          <c:y val="5.8252427184466021E-2"/>
          <c:w val="0.24016611705429333"/>
          <c:h val="0.18446601941747573"/>
        </c:manualLayout>
      </c:layout>
      <c:overlay val="0"/>
      <c:spPr>
        <a:solidFill>
          <a:srgbClr val="FFFFFF"/>
        </a:solidFill>
        <a:ln w="3175">
          <a:solidFill>
            <a:schemeClr val="tx1"/>
          </a:solidFill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12700">
      <a:noFill/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売 上 高</a:t>
            </a:r>
          </a:p>
        </c:rich>
      </c:tx>
      <c:layout>
        <c:manualLayout>
          <c:xMode val="edge"/>
          <c:yMode val="edge"/>
          <c:x val="0.37394949623232576"/>
          <c:y val="1.83150312488965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94117647058823"/>
          <c:y val="0.14228695917259634"/>
          <c:w val="0.8422581669641781"/>
          <c:h val="0.7836395946257426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【データ入力】!$B$25</c:f>
              <c:strCache>
                <c:ptCount val="1"/>
                <c:pt idx="0">
                  <c:v>売上高実績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【データ入力】!$C$25:$N$25</c:f>
              <c:numCache>
                <c:formatCode>#,##0;"△ "#,##0</c:formatCode>
                <c:ptCount val="12"/>
                <c:pt idx="0">
                  <c:v>483.34301642000008</c:v>
                </c:pt>
                <c:pt idx="1">
                  <c:v>506.27909642000003</c:v>
                </c:pt>
                <c:pt idx="2">
                  <c:v>497.0073664200001</c:v>
                </c:pt>
                <c:pt idx="3">
                  <c:v>520.53161841999997</c:v>
                </c:pt>
                <c:pt idx="4">
                  <c:v>514.60367041999996</c:v>
                </c:pt>
                <c:pt idx="5">
                  <c:v>524.02652641999998</c:v>
                </c:pt>
                <c:pt idx="6">
                  <c:v>525.58846542000003</c:v>
                </c:pt>
                <c:pt idx="7">
                  <c:v>529.32177641999999</c:v>
                </c:pt>
                <c:pt idx="8">
                  <c:v>521.30192041999999</c:v>
                </c:pt>
                <c:pt idx="9">
                  <c:v>513.29343979999999</c:v>
                </c:pt>
                <c:pt idx="10">
                  <c:v>512.25795562000008</c:v>
                </c:pt>
                <c:pt idx="11">
                  <c:v>513.60789021999994</c:v>
                </c:pt>
              </c:numCache>
            </c:numRef>
          </c:val>
        </c:ser>
        <c:ser>
          <c:idx val="0"/>
          <c:order val="1"/>
          <c:tx>
            <c:strRef>
              <c:f>データ入力!#REF!</c:f>
              <c:strCache>
                <c:ptCount val="1"/>
                <c:pt idx="0">
                  <c:v>売上高実績/見込み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【データ入力】!$C$33:$N$33</c:f>
              <c:numCache>
                <c:formatCode>#,##0;"△ "#,##0</c:formatCode>
                <c:ptCount val="12"/>
                <c:pt idx="0">
                  <c:v>499.841723828</c:v>
                </c:pt>
                <c:pt idx="1">
                  <c:v>504.94539300000002</c:v>
                </c:pt>
                <c:pt idx="2">
                  <c:v>507.2474312199999</c:v>
                </c:pt>
                <c:pt idx="3">
                  <c:v>555.4894569999999</c:v>
                </c:pt>
                <c:pt idx="4">
                  <c:v>548.441689</c:v>
                </c:pt>
                <c:pt idx="5">
                  <c:v>582.09688975578001</c:v>
                </c:pt>
                <c:pt idx="6">
                  <c:v>619.8456997699999</c:v>
                </c:pt>
                <c:pt idx="7">
                  <c:v>622.89162460999989</c:v>
                </c:pt>
                <c:pt idx="8">
                  <c:v>618.10807098999999</c:v>
                </c:pt>
                <c:pt idx="9">
                  <c:v>595.32479554999998</c:v>
                </c:pt>
                <c:pt idx="10">
                  <c:v>593.13323444999992</c:v>
                </c:pt>
                <c:pt idx="11">
                  <c:v>592.94820278999987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16"/>
        <c:axId val="215007464"/>
        <c:axId val="215007856"/>
      </c:barChart>
      <c:catAx>
        <c:axId val="215007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0078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50078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1.4705782744898822E-2"/>
              <c:y val="3.663035674352364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007464"/>
        <c:crosses val="autoZero"/>
        <c:crossBetween val="between"/>
      </c:valAx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11764705882348"/>
          <c:y val="1.4164305949008499E-2"/>
          <c:w val="0.18277310924369747"/>
          <c:h val="0.10764872521246459"/>
        </c:manualLayout>
      </c:layout>
      <c:overlay val="0"/>
      <c:spPr>
        <a:solidFill>
          <a:srgbClr val="FFFFFF"/>
        </a:solidFill>
        <a:ln w="3175">
          <a:solidFill>
            <a:schemeClr val="tx1"/>
          </a:solidFill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8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営 業 利 益</a:t>
            </a:r>
          </a:p>
        </c:rich>
      </c:tx>
      <c:layout>
        <c:manualLayout>
          <c:xMode val="edge"/>
          <c:yMode val="edge"/>
          <c:x val="0.34800021977929091"/>
          <c:y val="1.603926221551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638655462184878E-2"/>
          <c:y val="0.20071191389260781"/>
          <c:w val="0.82922606857731096"/>
          <c:h val="0.7187483264880074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【データ入力】!$B$26</c:f>
              <c:strCache>
                <c:ptCount val="1"/>
                <c:pt idx="0">
                  <c:v>営業利益実績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【データ入力】!$C$26:$N$26</c:f>
              <c:numCache>
                <c:formatCode>#,##0;"△ "#,##0</c:formatCode>
                <c:ptCount val="12"/>
                <c:pt idx="0">
                  <c:v>74.732748865326855</c:v>
                </c:pt>
                <c:pt idx="1">
                  <c:v>89.548245999285569</c:v>
                </c:pt>
                <c:pt idx="2">
                  <c:v>75.910723989335096</c:v>
                </c:pt>
                <c:pt idx="3">
                  <c:v>103.82091572291776</c:v>
                </c:pt>
                <c:pt idx="4">
                  <c:v>100.14384102215544</c:v>
                </c:pt>
                <c:pt idx="5">
                  <c:v>100.96433370046431</c:v>
                </c:pt>
                <c:pt idx="6">
                  <c:v>106.66522689124098</c:v>
                </c:pt>
                <c:pt idx="7">
                  <c:v>109.86655344966266</c:v>
                </c:pt>
                <c:pt idx="8">
                  <c:v>101.76874358655293</c:v>
                </c:pt>
                <c:pt idx="9">
                  <c:v>104.10151114086601</c:v>
                </c:pt>
                <c:pt idx="10">
                  <c:v>103.82815984574374</c:v>
                </c:pt>
                <c:pt idx="11">
                  <c:v>103.86250484076595</c:v>
                </c:pt>
              </c:numCache>
            </c:numRef>
          </c:val>
        </c:ser>
        <c:ser>
          <c:idx val="0"/>
          <c:order val="1"/>
          <c:tx>
            <c:strRef>
              <c:f>データ入力!#REF!</c:f>
              <c:strCache>
                <c:ptCount val="1"/>
                <c:pt idx="0">
                  <c:v>営業利益実績/見込み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【データ入力】!$C$24:$N$24</c:f>
              <c:strCach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strCache>
            </c:strRef>
          </c:cat>
          <c:val>
            <c:numRef>
              <c:f>【データ入力】!$C$34:$N$34</c:f>
              <c:numCache>
                <c:formatCode>#,##0;"△ "#,##0</c:formatCode>
                <c:ptCount val="12"/>
                <c:pt idx="0">
                  <c:v>75.435084779151367</c:v>
                </c:pt>
                <c:pt idx="1">
                  <c:v>78.912892440000022</c:v>
                </c:pt>
                <c:pt idx="2">
                  <c:v>85.485531999999992</c:v>
                </c:pt>
                <c:pt idx="3">
                  <c:v>99.301795999999953</c:v>
                </c:pt>
                <c:pt idx="4">
                  <c:v>101.020878</c:v>
                </c:pt>
                <c:pt idx="5">
                  <c:v>100.85921055599427</c:v>
                </c:pt>
                <c:pt idx="6">
                  <c:v>128.29974789007613</c:v>
                </c:pt>
                <c:pt idx="7">
                  <c:v>126.62420666078938</c:v>
                </c:pt>
                <c:pt idx="8">
                  <c:v>124.93941079181486</c:v>
                </c:pt>
                <c:pt idx="9">
                  <c:v>118.361100170322</c:v>
                </c:pt>
                <c:pt idx="10">
                  <c:v>116.38893277436348</c:v>
                </c:pt>
                <c:pt idx="11">
                  <c:v>121.81901141701645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8"/>
        <c:axId val="215008640"/>
        <c:axId val="215009032"/>
      </c:barChart>
      <c:lineChart>
        <c:grouping val="standard"/>
        <c:varyColors val="0"/>
        <c:ser>
          <c:idx val="2"/>
          <c:order val="2"/>
          <c:tx>
            <c:strRef>
              <c:f>【データ入力】!$B$27</c:f>
              <c:strCache>
                <c:ptCount val="1"/>
                <c:pt idx="0">
                  <c:v>営業利益率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val>
            <c:numRef>
              <c:f>【データ入力】!$C$27:$N$27</c:f>
              <c:numCache>
                <c:formatCode>0%</c:formatCode>
                <c:ptCount val="12"/>
                <c:pt idx="0">
                  <c:v>0.15461638283067269</c:v>
                </c:pt>
                <c:pt idx="1">
                  <c:v>0.17687525839502161</c:v>
                </c:pt>
                <c:pt idx="2">
                  <c:v>0.15273561141785194</c:v>
                </c:pt>
                <c:pt idx="3">
                  <c:v>0.19945169908804281</c:v>
                </c:pt>
                <c:pt idx="4">
                  <c:v>0.19460382188961428</c:v>
                </c:pt>
                <c:pt idx="5">
                  <c:v>0.19267027261048003</c:v>
                </c:pt>
                <c:pt idx="6">
                  <c:v>0.20294438312302826</c:v>
                </c:pt>
                <c:pt idx="7">
                  <c:v>0.20756099284773624</c:v>
                </c:pt>
                <c:pt idx="8">
                  <c:v>0.19522035043446681</c:v>
                </c:pt>
                <c:pt idx="9">
                  <c:v>0.20281091295736839</c:v>
                </c:pt>
                <c:pt idx="10">
                  <c:v>0.20268725689204303</c:v>
                </c:pt>
                <c:pt idx="11">
                  <c:v>0.2022213965526839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09424"/>
        <c:axId val="215009816"/>
      </c:lineChart>
      <c:catAx>
        <c:axId val="215008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0090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500903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1.4705981800584104E-2"/>
              <c:y val="7.7205803041743057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008640"/>
        <c:crosses val="autoZero"/>
        <c:crossBetween val="between"/>
      </c:valAx>
      <c:catAx>
        <c:axId val="215009424"/>
        <c:scaling>
          <c:orientation val="minMax"/>
        </c:scaling>
        <c:delete val="1"/>
        <c:axPos val="b"/>
        <c:majorTickMark val="out"/>
        <c:minorTickMark val="none"/>
        <c:tickLblPos val="nextTo"/>
        <c:crossAx val="215009816"/>
        <c:crosses val="autoZero"/>
        <c:auto val="0"/>
        <c:lblAlgn val="ctr"/>
        <c:lblOffset val="100"/>
        <c:noMultiLvlLbl val="0"/>
      </c:catAx>
      <c:valAx>
        <c:axId val="215009816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5009424"/>
        <c:crosses val="max"/>
        <c:crossBetween val="between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579831932773111"/>
          <c:y val="1.4409221902017291E-2"/>
          <c:w val="0.24159663865546219"/>
          <c:h val="0.18731988472622479"/>
        </c:manualLayout>
      </c:layout>
      <c:overlay val="0"/>
      <c:spPr>
        <a:solidFill>
          <a:srgbClr val="FFFFFF"/>
        </a:solidFill>
        <a:ln w="3175">
          <a:solidFill>
            <a:schemeClr val="tx1"/>
          </a:solidFill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12700">
      <a:noFill/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売 上 高</a:t>
            </a:r>
          </a:p>
        </c:rich>
      </c:tx>
      <c:layout>
        <c:manualLayout>
          <c:xMode val="edge"/>
          <c:yMode val="edge"/>
          <c:x val="0.13825408400763306"/>
          <c:y val="1.83152472814710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119337284097356E-2"/>
          <c:y val="0.13064428512532722"/>
          <c:w val="0.84781762446245224"/>
          <c:h val="0.760091542514020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【データ入力】!$C$22</c:f>
              <c:strCache>
                <c:ptCount val="1"/>
                <c:pt idx="0">
                  <c:v>予算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【データ入力】!$O$31:$R$32</c:f>
              <c:strCache>
                <c:ptCount val="4"/>
                <c:pt idx="0">
                  <c:v>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</c:strCache>
            </c:strRef>
          </c:cat>
          <c:val>
            <c:numRef>
              <c:f>【データ入力】!$O$25:$R$25</c:f>
              <c:numCache>
                <c:formatCode>#,##0;"△ "#,##0</c:formatCode>
                <c:ptCount val="4"/>
                <c:pt idx="0">
                  <c:v>1486.6294792600002</c:v>
                </c:pt>
                <c:pt idx="1">
                  <c:v>1559.1618152599999</c:v>
                </c:pt>
                <c:pt idx="2">
                  <c:v>1576.21216226</c:v>
                </c:pt>
                <c:pt idx="3">
                  <c:v>1539.15928564</c:v>
                </c:pt>
              </c:numCache>
            </c:numRef>
          </c:val>
        </c:ser>
        <c:ser>
          <c:idx val="0"/>
          <c:order val="1"/>
          <c:tx>
            <c:strRef>
              <c:f>【データ入力】!$C$30</c:f>
              <c:strCache>
                <c:ptCount val="1"/>
                <c:pt idx="0">
                  <c:v>実・見込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cat>
            <c:strRef>
              <c:f>【データ入力】!$O$31:$R$32</c:f>
              <c:strCache>
                <c:ptCount val="4"/>
                <c:pt idx="0">
                  <c:v>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</c:strCache>
            </c:strRef>
          </c:cat>
          <c:val>
            <c:numRef>
              <c:f>【データ入力】!$O$33:$R$33</c:f>
              <c:numCache>
                <c:formatCode>#,##0;"△ "#,##0</c:formatCode>
                <c:ptCount val="4"/>
                <c:pt idx="0">
                  <c:v>1512.034548048</c:v>
                </c:pt>
                <c:pt idx="1">
                  <c:v>1686.0280357557799</c:v>
                </c:pt>
                <c:pt idx="2">
                  <c:v>1860.8453953699998</c:v>
                </c:pt>
                <c:pt idx="3">
                  <c:v>1781.4062327899996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10"/>
        <c:axId val="270491744"/>
        <c:axId val="270492136"/>
      </c:barChart>
      <c:catAx>
        <c:axId val="270491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704921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70492136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8.2646901841672304E-4"/>
              <c:y val="1.371557277891845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0"/>
        <c:majorTickMark val="in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70491744"/>
        <c:crosses val="autoZero"/>
        <c:crossBetween val="between"/>
      </c:valAx>
      <c:spPr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227364352912157"/>
          <c:y val="1.1476024596644844E-2"/>
          <c:w val="0.30545994290018302"/>
          <c:h val="0.10715625014119123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営 業 利 益・率</a:t>
            </a:r>
          </a:p>
        </c:rich>
      </c:tx>
      <c:layout>
        <c:manualLayout>
          <c:xMode val="edge"/>
          <c:yMode val="edge"/>
          <c:x val="0.14373082014429064"/>
          <c:y val="1.6039297195040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948747713907115E-2"/>
          <c:y val="0.1214861436717818"/>
          <c:w val="0.84591591558704682"/>
          <c:h val="0.757020246515386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【データ入力】!$C$22</c:f>
              <c:strCache>
                <c:ptCount val="1"/>
                <c:pt idx="0">
                  <c:v>予算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【データ入力】!$O$31:$R$32</c:f>
              <c:strCache>
                <c:ptCount val="4"/>
                <c:pt idx="0">
                  <c:v>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</c:strCache>
            </c:strRef>
          </c:cat>
          <c:val>
            <c:numRef>
              <c:f>【データ入力】!$O$26:$R$26</c:f>
              <c:numCache>
                <c:formatCode>#,##0;"△ "#,##0</c:formatCode>
                <c:ptCount val="4"/>
                <c:pt idx="0">
                  <c:v>240.19171885394752</c:v>
                </c:pt>
                <c:pt idx="1">
                  <c:v>304.9290904455375</c:v>
                </c:pt>
                <c:pt idx="2">
                  <c:v>318.3005239274566</c:v>
                </c:pt>
                <c:pt idx="3">
                  <c:v>311.79217582737567</c:v>
                </c:pt>
              </c:numCache>
            </c:numRef>
          </c:val>
        </c:ser>
        <c:ser>
          <c:idx val="0"/>
          <c:order val="1"/>
          <c:tx>
            <c:strRef>
              <c:f>【データ入力】!$C$30</c:f>
              <c:strCache>
                <c:ptCount val="1"/>
                <c:pt idx="0">
                  <c:v>実・見込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【データ入力】!$O$31:$R$32</c:f>
              <c:strCache>
                <c:ptCount val="4"/>
                <c:pt idx="0">
                  <c:v>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</c:strCache>
            </c:strRef>
          </c:cat>
          <c:val>
            <c:numRef>
              <c:f>【データ入力】!$O$34:$R$34</c:f>
              <c:numCache>
                <c:formatCode>#,##0;"△ "#,##0</c:formatCode>
                <c:ptCount val="4"/>
                <c:pt idx="0">
                  <c:v>239.83350921915138</c:v>
                </c:pt>
                <c:pt idx="1">
                  <c:v>301.1818845559942</c:v>
                </c:pt>
                <c:pt idx="2">
                  <c:v>379.86336534268037</c:v>
                </c:pt>
                <c:pt idx="3">
                  <c:v>356.56904436170191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10"/>
        <c:axId val="270492920"/>
        <c:axId val="270493312"/>
      </c:barChart>
      <c:lineChart>
        <c:grouping val="standard"/>
        <c:varyColors val="0"/>
        <c:ser>
          <c:idx val="2"/>
          <c:order val="2"/>
          <c:tx>
            <c:strRef>
              <c:f>【データ入力】!$C$30</c:f>
              <c:strCache>
                <c:ptCount val="1"/>
                <c:pt idx="0">
                  <c:v>実・見込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【データ入力】!$O$31:$R$32</c:f>
              <c:strCache>
                <c:ptCount val="4"/>
                <c:pt idx="0">
                  <c:v>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</c:strCache>
            </c:strRef>
          </c:cat>
          <c:val>
            <c:numRef>
              <c:f>【データ入力】!$O$35:$R$35</c:f>
              <c:numCache>
                <c:formatCode>0%</c:formatCode>
                <c:ptCount val="4"/>
                <c:pt idx="0">
                  <c:v>0.158616421515481</c:v>
                </c:pt>
                <c:pt idx="1">
                  <c:v>0.1786339717779285</c:v>
                </c:pt>
                <c:pt idx="2">
                  <c:v>0.2041348337093585</c:v>
                </c:pt>
                <c:pt idx="3">
                  <c:v>0.20016155652675091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493704"/>
        <c:axId val="270494096"/>
      </c:lineChart>
      <c:catAx>
        <c:axId val="270492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704933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7049331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（百万円）</a:t>
                </a:r>
              </a:p>
            </c:rich>
          </c:tx>
          <c:layout>
            <c:manualLayout>
              <c:xMode val="edge"/>
              <c:yMode val="edge"/>
              <c:x val="9.1455376668158114E-3"/>
              <c:y val="8.5517156848536249E-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;&quot;△ &quot;#,##0" sourceLinked="1"/>
        <c:majorTickMark val="in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70492920"/>
        <c:crosses val="autoZero"/>
        <c:crossBetween val="between"/>
      </c:valAx>
      <c:catAx>
        <c:axId val="270493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0494096"/>
        <c:crosses val="autoZero"/>
        <c:auto val="0"/>
        <c:lblAlgn val="ctr"/>
        <c:lblOffset val="100"/>
        <c:noMultiLvlLbl val="0"/>
      </c:catAx>
      <c:valAx>
        <c:axId val="270494096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70493704"/>
        <c:crosses val="max"/>
        <c:crossBetween val="between"/>
      </c:valAx>
      <c:spPr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333783798582897"/>
          <c:y val="2.6298637572392683E-3"/>
          <c:w val="0.49242670813575284"/>
          <c:h val="0.13750850748763105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12700">
      <a:noFill/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>
      <c:oddHeader>&amp;A</c:oddHeader>
      <c:oddFooter>Page &amp;P</c:oddFooter>
    </c:headerFooter>
    <c:pageMargins b="0.98399999999999999" l="0.78700000000000003" r="0.78700000000000003" t="0.98399999999999999" header="0.5" footer="0.5"/>
    <c:pageSetup paperSize="9"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327742</xdr:colOff>
      <xdr:row>1</xdr:row>
      <xdr:rowOff>20483</xdr:rowOff>
    </xdr:from>
    <xdr:to>
      <xdr:col>13</xdr:col>
      <xdr:colOff>528338</xdr:colOff>
      <xdr:row>1</xdr:row>
      <xdr:rowOff>380315</xdr:rowOff>
    </xdr:to>
    <xdr:sp macro="" textlink="">
      <xdr:nvSpPr>
        <xdr:cNvPr id="2" name="フローチャート: 代替処理 1">
          <a:extLst>
            <a:ext uri="{FF2B5EF4-FFF2-40B4-BE49-F238E27FC236}">
              <a16:creationId xmlns="" xmlns:a16="http://schemas.microsoft.com/office/drawing/2014/main" id="{1616798D-8637-40C3-B0D0-55A5C1AA69AD}"/>
            </a:ext>
          </a:extLst>
        </xdr:cNvPr>
        <xdr:cNvSpPr/>
      </xdr:nvSpPr>
      <xdr:spPr>
        <a:xfrm>
          <a:off x="7261532" y="215080"/>
          <a:ext cx="2136322" cy="359832"/>
        </a:xfrm>
        <a:prstGeom prst="flowChartAlternateProcess">
          <a:avLst/>
        </a:prstGeom>
        <a:ln w="127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anchor="ctr" anchorCtr="0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ja-JP" altLang="en-US" sz="1200" b="1">
              <a:solidFill>
                <a:srgbClr val="FF0000"/>
              </a:solidFill>
            </a:rPr>
            <a:t>社外秘 取扱要注意</a:t>
          </a:r>
          <a:endParaRPr lang="en-US" altLang="ja-JP" sz="12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171450</xdr:rowOff>
    </xdr:from>
    <xdr:to>
      <xdr:col>12</xdr:col>
      <xdr:colOff>276225</xdr:colOff>
      <xdr:row>10</xdr:row>
      <xdr:rowOff>66675</xdr:rowOff>
    </xdr:to>
    <xdr:graphicFrame macro="">
      <xdr:nvGraphicFramePr>
        <xdr:cNvPr id="14657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1028" name="AutoShape 4">
          <a:extLst>
            <a:ext uri="{FF2B5EF4-FFF2-40B4-BE49-F238E27FC236}">
              <a16:creationId xmlns="" xmlns:a16="http://schemas.microsoft.com/office/drawing/2014/main" id="{01BAE0D2-2D16-4896-BAD2-91FC526E0D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62865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</a:t>
          </a:r>
        </a:p>
      </xdr:txBody>
    </xdr:sp>
    <xdr:clientData/>
  </xdr:twoCellAnchor>
  <xdr:twoCellAnchor>
    <xdr:from>
      <xdr:col>2</xdr:col>
      <xdr:colOff>38100</xdr:colOff>
      <xdr:row>10</xdr:row>
      <xdr:rowOff>266700</xdr:rowOff>
    </xdr:from>
    <xdr:to>
      <xdr:col>12</xdr:col>
      <xdr:colOff>285750</xdr:colOff>
      <xdr:row>19</xdr:row>
      <xdr:rowOff>142875</xdr:rowOff>
    </xdr:to>
    <xdr:graphicFrame macro="">
      <xdr:nvGraphicFramePr>
        <xdr:cNvPr id="146577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76200</xdr:colOff>
      <xdr:row>40</xdr:row>
      <xdr:rowOff>76200</xdr:rowOff>
    </xdr:from>
    <xdr:to>
      <xdr:col>9</xdr:col>
      <xdr:colOff>180975</xdr:colOff>
      <xdr:row>41</xdr:row>
      <xdr:rowOff>161925</xdr:rowOff>
    </xdr:to>
    <xdr:sp macro="" textlink="">
      <xdr:nvSpPr>
        <xdr:cNvPr id="1465777" name="Text Box 11"/>
        <xdr:cNvSpPr txBox="1">
          <a:spLocks noChangeArrowheads="1"/>
        </xdr:cNvSpPr>
      </xdr:nvSpPr>
      <xdr:spPr bwMode="auto">
        <a:xfrm>
          <a:off x="3514725" y="13392150"/>
          <a:ext cx="104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15</xdr:col>
      <xdr:colOff>346075</xdr:colOff>
      <xdr:row>21</xdr:row>
      <xdr:rowOff>267970</xdr:rowOff>
    </xdr:from>
    <xdr:ext cx="2087174" cy="1838004"/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1ACA29B8-5291-4B89-9B71-3CBD7654B0D0}"/>
            </a:ext>
          </a:extLst>
        </xdr:cNvPr>
        <xdr:cNvSpPr txBox="1"/>
      </xdr:nvSpPr>
      <xdr:spPr>
        <a:xfrm>
          <a:off x="7204075" y="8942070"/>
          <a:ext cx="2087174" cy="1838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/>
            <a:t>・収益改善について</a:t>
          </a:r>
          <a:endParaRPr kumimoji="1" lang="en-US" altLang="ja-JP" sz="1800"/>
        </a:p>
        <a:p>
          <a:endParaRPr kumimoji="1" lang="en-US" altLang="ja-JP" sz="1800"/>
        </a:p>
        <a:p>
          <a:r>
            <a:rPr kumimoji="1" lang="ja-JP" altLang="en-US" sz="1800"/>
            <a:t>・新製品について</a:t>
          </a:r>
          <a:endParaRPr kumimoji="1" lang="en-US" altLang="ja-JP" sz="1800"/>
        </a:p>
        <a:p>
          <a:endParaRPr kumimoji="1" lang="en-US" altLang="ja-JP" sz="1800"/>
        </a:p>
        <a:p>
          <a:r>
            <a:rPr kumimoji="1" lang="ja-JP" altLang="en-US" sz="1800"/>
            <a:t>・行動計画など</a:t>
          </a:r>
          <a:endParaRPr kumimoji="1" lang="en-US" altLang="ja-JP" sz="1800"/>
        </a:p>
        <a:p>
          <a:endParaRPr kumimoji="1" lang="en-US" altLang="ja-JP" sz="18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66675</xdr:rowOff>
    </xdr:from>
    <xdr:to>
      <xdr:col>12</xdr:col>
      <xdr:colOff>257175</xdr:colOff>
      <xdr:row>7</xdr:row>
      <xdr:rowOff>276225</xdr:rowOff>
    </xdr:to>
    <xdr:graphicFrame macro="">
      <xdr:nvGraphicFramePr>
        <xdr:cNvPr id="175743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9A06502C-9E2F-46DD-BEB9-82A970BB68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62865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</a:t>
          </a:r>
        </a:p>
      </xdr:txBody>
    </xdr:sp>
    <xdr:clientData/>
  </xdr:twoCellAnchor>
  <xdr:twoCellAnchor>
    <xdr:from>
      <xdr:col>1</xdr:col>
      <xdr:colOff>85725</xdr:colOff>
      <xdr:row>7</xdr:row>
      <xdr:rowOff>447675</xdr:rowOff>
    </xdr:from>
    <xdr:to>
      <xdr:col>12</xdr:col>
      <xdr:colOff>257175</xdr:colOff>
      <xdr:row>11</xdr:row>
      <xdr:rowOff>428625</xdr:rowOff>
    </xdr:to>
    <xdr:graphicFrame macro="">
      <xdr:nvGraphicFramePr>
        <xdr:cNvPr id="175743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76200</xdr:colOff>
      <xdr:row>36</xdr:row>
      <xdr:rowOff>76200</xdr:rowOff>
    </xdr:from>
    <xdr:to>
      <xdr:col>9</xdr:col>
      <xdr:colOff>180975</xdr:colOff>
      <xdr:row>37</xdr:row>
      <xdr:rowOff>161925</xdr:rowOff>
    </xdr:to>
    <xdr:sp macro="" textlink="">
      <xdr:nvSpPr>
        <xdr:cNvPr id="1757439" name="Text Box 11"/>
        <xdr:cNvSpPr txBox="1">
          <a:spLocks noChangeArrowheads="1"/>
        </xdr:cNvSpPr>
      </xdr:nvSpPr>
      <xdr:spPr bwMode="auto">
        <a:xfrm>
          <a:off x="3514725" y="11744325"/>
          <a:ext cx="104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15</xdr:col>
      <xdr:colOff>323215</xdr:colOff>
      <xdr:row>14</xdr:row>
      <xdr:rowOff>260350</xdr:rowOff>
    </xdr:from>
    <xdr:ext cx="2087174" cy="1838004"/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B31134DC-CBDB-49F8-80ED-69E147B2A42A}"/>
            </a:ext>
          </a:extLst>
        </xdr:cNvPr>
        <xdr:cNvSpPr txBox="1"/>
      </xdr:nvSpPr>
      <xdr:spPr>
        <a:xfrm>
          <a:off x="7149465" y="6372225"/>
          <a:ext cx="2087174" cy="1838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/>
            <a:t>・収益改善について</a:t>
          </a:r>
          <a:endParaRPr kumimoji="1" lang="en-US" altLang="ja-JP" sz="1800"/>
        </a:p>
        <a:p>
          <a:endParaRPr kumimoji="1" lang="en-US" altLang="ja-JP" sz="1800"/>
        </a:p>
        <a:p>
          <a:r>
            <a:rPr kumimoji="1" lang="ja-JP" altLang="en-US" sz="1800"/>
            <a:t>・新製品について</a:t>
          </a:r>
          <a:endParaRPr kumimoji="1" lang="en-US" altLang="ja-JP" sz="1800"/>
        </a:p>
        <a:p>
          <a:endParaRPr kumimoji="1" lang="en-US" altLang="ja-JP" sz="1800"/>
        </a:p>
        <a:p>
          <a:r>
            <a:rPr kumimoji="1" lang="ja-JP" altLang="en-US" sz="1800"/>
            <a:t>・行動計画など</a:t>
          </a:r>
          <a:endParaRPr kumimoji="1" lang="en-US" altLang="ja-JP" sz="1800"/>
        </a:p>
        <a:p>
          <a:endParaRPr kumimoji="1" lang="en-US" altLang="ja-JP" sz="1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171450</xdr:rowOff>
    </xdr:from>
    <xdr:to>
      <xdr:col>12</xdr:col>
      <xdr:colOff>276225</xdr:colOff>
      <xdr:row>10</xdr:row>
      <xdr:rowOff>66675</xdr:rowOff>
    </xdr:to>
    <xdr:graphicFrame macro="">
      <xdr:nvGraphicFramePr>
        <xdr:cNvPr id="177688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5827D189-FF44-4BD0-8082-CC8C754F5D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62865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</a:t>
          </a:r>
        </a:p>
      </xdr:txBody>
    </xdr:sp>
    <xdr:clientData/>
  </xdr:twoCellAnchor>
  <xdr:twoCellAnchor>
    <xdr:from>
      <xdr:col>2</xdr:col>
      <xdr:colOff>38100</xdr:colOff>
      <xdr:row>10</xdr:row>
      <xdr:rowOff>266700</xdr:rowOff>
    </xdr:from>
    <xdr:to>
      <xdr:col>12</xdr:col>
      <xdr:colOff>285750</xdr:colOff>
      <xdr:row>19</xdr:row>
      <xdr:rowOff>142875</xdr:rowOff>
    </xdr:to>
    <xdr:graphicFrame macro="">
      <xdr:nvGraphicFramePr>
        <xdr:cNvPr id="177688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76200</xdr:colOff>
      <xdr:row>40</xdr:row>
      <xdr:rowOff>76200</xdr:rowOff>
    </xdr:from>
    <xdr:to>
      <xdr:col>9</xdr:col>
      <xdr:colOff>180975</xdr:colOff>
      <xdr:row>41</xdr:row>
      <xdr:rowOff>161925</xdr:rowOff>
    </xdr:to>
    <xdr:sp macro="" textlink="">
      <xdr:nvSpPr>
        <xdr:cNvPr id="1776885" name="Text Box 11"/>
        <xdr:cNvSpPr txBox="1">
          <a:spLocks noChangeArrowheads="1"/>
        </xdr:cNvSpPr>
      </xdr:nvSpPr>
      <xdr:spPr bwMode="auto">
        <a:xfrm>
          <a:off x="3514725" y="13392150"/>
          <a:ext cx="104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15</xdr:col>
      <xdr:colOff>346075</xdr:colOff>
      <xdr:row>21</xdr:row>
      <xdr:rowOff>267970</xdr:rowOff>
    </xdr:from>
    <xdr:ext cx="2087174" cy="1838004"/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603F04B0-6BEB-4718-8DEE-4C3F4AB7685B}"/>
            </a:ext>
          </a:extLst>
        </xdr:cNvPr>
        <xdr:cNvSpPr txBox="1"/>
      </xdr:nvSpPr>
      <xdr:spPr>
        <a:xfrm>
          <a:off x="7204075" y="8942070"/>
          <a:ext cx="2087174" cy="1838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/>
            <a:t>・収益改善について</a:t>
          </a:r>
          <a:endParaRPr kumimoji="1" lang="en-US" altLang="ja-JP" sz="1800"/>
        </a:p>
        <a:p>
          <a:endParaRPr kumimoji="1" lang="en-US" altLang="ja-JP" sz="1800"/>
        </a:p>
        <a:p>
          <a:r>
            <a:rPr kumimoji="1" lang="ja-JP" altLang="en-US" sz="1800"/>
            <a:t>・新製品について</a:t>
          </a:r>
          <a:endParaRPr kumimoji="1" lang="en-US" altLang="ja-JP" sz="1800"/>
        </a:p>
        <a:p>
          <a:endParaRPr kumimoji="1" lang="en-US" altLang="ja-JP" sz="1800"/>
        </a:p>
        <a:p>
          <a:r>
            <a:rPr kumimoji="1" lang="ja-JP" altLang="en-US" sz="1800"/>
            <a:t>・行動計画など</a:t>
          </a:r>
          <a:endParaRPr kumimoji="1" lang="en-US" altLang="ja-JP" sz="1800"/>
        </a:p>
        <a:p>
          <a:endParaRPr kumimoji="1" lang="en-US" altLang="ja-JP" sz="18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8272</xdr:colOff>
      <xdr:row>3</xdr:row>
      <xdr:rowOff>22811</xdr:rowOff>
    </xdr:from>
    <xdr:to>
      <xdr:col>12</xdr:col>
      <xdr:colOff>265447</xdr:colOff>
      <xdr:row>7</xdr:row>
      <xdr:rowOff>260936</xdr:rowOff>
    </xdr:to>
    <xdr:graphicFrame macro="">
      <xdr:nvGraphicFramePr>
        <xdr:cNvPr id="1299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7</xdr:row>
      <xdr:rowOff>161925</xdr:rowOff>
    </xdr:from>
    <xdr:to>
      <xdr:col>12</xdr:col>
      <xdr:colOff>323850</xdr:colOff>
      <xdr:row>12</xdr:row>
      <xdr:rowOff>85725</xdr:rowOff>
    </xdr:to>
    <xdr:graphicFrame macro="">
      <xdr:nvGraphicFramePr>
        <xdr:cNvPr id="129975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76200</xdr:colOff>
      <xdr:row>41</xdr:row>
      <xdr:rowOff>76200</xdr:rowOff>
    </xdr:from>
    <xdr:to>
      <xdr:col>9</xdr:col>
      <xdr:colOff>180975</xdr:colOff>
      <xdr:row>42</xdr:row>
      <xdr:rowOff>161925</xdr:rowOff>
    </xdr:to>
    <xdr:sp macro="" textlink="">
      <xdr:nvSpPr>
        <xdr:cNvPr id="129976" name="Text Box 11"/>
        <xdr:cNvSpPr txBox="1">
          <a:spLocks noChangeArrowheads="1"/>
        </xdr:cNvSpPr>
      </xdr:nvSpPr>
      <xdr:spPr bwMode="auto">
        <a:xfrm>
          <a:off x="3514725" y="13230225"/>
          <a:ext cx="104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23</xdr:col>
      <xdr:colOff>324303</xdr:colOff>
      <xdr:row>2</xdr:row>
      <xdr:rowOff>18143</xdr:rowOff>
    </xdr:from>
    <xdr:to>
      <xdr:col>26</xdr:col>
      <xdr:colOff>476250</xdr:colOff>
      <xdr:row>2</xdr:row>
      <xdr:rowOff>377975</xdr:rowOff>
    </xdr:to>
    <xdr:sp macro="" textlink="">
      <xdr:nvSpPr>
        <xdr:cNvPr id="5" name="フローチャート: 代替処理 4">
          <a:extLst>
            <a:ext uri="{FF2B5EF4-FFF2-40B4-BE49-F238E27FC236}">
              <a16:creationId xmlns="" xmlns:a16="http://schemas.microsoft.com/office/drawing/2014/main" id="{1616798D-8637-40C3-B0D0-55A5C1AA69AD}"/>
            </a:ext>
          </a:extLst>
        </xdr:cNvPr>
        <xdr:cNvSpPr/>
      </xdr:nvSpPr>
      <xdr:spPr>
        <a:xfrm>
          <a:off x="11524116" y="859518"/>
          <a:ext cx="1747384" cy="359832"/>
        </a:xfrm>
        <a:prstGeom prst="flowChartAlternateProcess">
          <a:avLst/>
        </a:prstGeom>
        <a:ln w="127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anchor="ctr" anchorCtr="0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ja-JP" altLang="en-US" sz="1200" b="1">
              <a:solidFill>
                <a:srgbClr val="FF0000"/>
              </a:solidFill>
            </a:rPr>
            <a:t>社外秘 取扱要注意</a:t>
          </a:r>
          <a:endParaRPr lang="en-US" altLang="ja-JP" sz="12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5"/>
  <sheetViews>
    <sheetView view="pageBreakPreview" zoomScale="80" zoomScaleNormal="85" zoomScaleSheetLayoutView="80" workbookViewId="0">
      <selection activeCell="C16" sqref="C16"/>
    </sheetView>
  </sheetViews>
  <sheetFormatPr defaultColWidth="10.85546875" defaultRowHeight="15" customHeight="1" x14ac:dyDescent="0.25"/>
  <cols>
    <col min="1" max="1" width="2.85546875" style="13" customWidth="1"/>
    <col min="2" max="2" width="23.7109375" style="13" customWidth="1"/>
    <col min="3" max="14" width="9.7109375" style="13" customWidth="1"/>
    <col min="15" max="20" width="11.42578125" style="13" bestFit="1" customWidth="1"/>
    <col min="21" max="21" width="12.85546875" style="13" customWidth="1"/>
    <col min="22" max="22" width="11.7109375" style="13" customWidth="1"/>
    <col min="23" max="16384" width="10.85546875" style="13"/>
  </cols>
  <sheetData>
    <row r="1" spans="1:22" ht="15" customHeight="1" thickBot="1" x14ac:dyDescent="0.3"/>
    <row r="2" spans="1:22" s="25" customFormat="1" ht="33" customHeight="1" thickBot="1" x14ac:dyDescent="0.3">
      <c r="B2" s="206" t="s">
        <v>6</v>
      </c>
      <c r="C2" s="26"/>
      <c r="D2" s="152" t="s">
        <v>10</v>
      </c>
      <c r="E2" s="311" t="s">
        <v>72</v>
      </c>
      <c r="F2" s="312"/>
      <c r="G2" s="153" t="s">
        <v>9</v>
      </c>
      <c r="H2" s="309" t="s">
        <v>72</v>
      </c>
      <c r="I2" s="310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2" ht="22.5" customHeight="1" x14ac:dyDescent="0.25">
      <c r="B3" s="208" t="s">
        <v>76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2" ht="21.75" customHeight="1" x14ac:dyDescent="0.25">
      <c r="B4" s="27" t="s">
        <v>81</v>
      </c>
      <c r="C4" s="5"/>
      <c r="D4" s="24"/>
      <c r="E4" s="5"/>
      <c r="F4" s="5"/>
      <c r="G4" s="5"/>
      <c r="H4" s="5"/>
      <c r="I4" s="5"/>
      <c r="J4" s="5"/>
      <c r="K4" s="5"/>
      <c r="L4" s="5"/>
      <c r="M4" s="5"/>
      <c r="N4" s="23" t="s">
        <v>64</v>
      </c>
      <c r="O4" s="5"/>
      <c r="P4" s="5"/>
      <c r="Q4" s="5"/>
      <c r="R4" s="5"/>
      <c r="S4" s="5"/>
      <c r="T4" s="5"/>
      <c r="U4" s="23" t="s">
        <v>64</v>
      </c>
    </row>
    <row r="5" spans="1:22" s="14" customFormat="1" ht="17.25" x14ac:dyDescent="0.15">
      <c r="B5" s="307"/>
      <c r="C5" s="307" t="s">
        <v>32</v>
      </c>
      <c r="D5" s="307"/>
      <c r="E5" s="307"/>
      <c r="F5" s="307" t="s">
        <v>33</v>
      </c>
      <c r="G5" s="307"/>
      <c r="H5" s="307"/>
      <c r="I5" s="307" t="s">
        <v>34</v>
      </c>
      <c r="J5" s="307"/>
      <c r="K5" s="307"/>
      <c r="L5" s="307" t="s">
        <v>35</v>
      </c>
      <c r="M5" s="307"/>
      <c r="N5" s="307"/>
      <c r="O5" s="313" t="s">
        <v>11</v>
      </c>
      <c r="P5" s="313" t="s">
        <v>58</v>
      </c>
      <c r="Q5" s="313" t="s">
        <v>59</v>
      </c>
      <c r="R5" s="313" t="s">
        <v>60</v>
      </c>
      <c r="S5" s="313" t="s">
        <v>50</v>
      </c>
      <c r="T5" s="313" t="s">
        <v>51</v>
      </c>
      <c r="U5" s="154" t="s">
        <v>8</v>
      </c>
      <c r="V5" s="15"/>
    </row>
    <row r="6" spans="1:22" s="16" customFormat="1" ht="19.5" customHeight="1" x14ac:dyDescent="0.15">
      <c r="A6" s="15"/>
      <c r="B6" s="307"/>
      <c r="C6" s="155" t="s">
        <v>36</v>
      </c>
      <c r="D6" s="156">
        <v>5</v>
      </c>
      <c r="E6" s="156">
        <v>6</v>
      </c>
      <c r="F6" s="156">
        <v>7</v>
      </c>
      <c r="G6" s="156">
        <v>8</v>
      </c>
      <c r="H6" s="156">
        <v>9</v>
      </c>
      <c r="I6" s="156">
        <v>10</v>
      </c>
      <c r="J6" s="156">
        <v>11</v>
      </c>
      <c r="K6" s="156">
        <v>12</v>
      </c>
      <c r="L6" s="155" t="s">
        <v>37</v>
      </c>
      <c r="M6" s="156">
        <v>2</v>
      </c>
      <c r="N6" s="156">
        <v>3</v>
      </c>
      <c r="O6" s="313"/>
      <c r="P6" s="313"/>
      <c r="Q6" s="313"/>
      <c r="R6" s="313"/>
      <c r="S6" s="313"/>
      <c r="T6" s="313"/>
      <c r="U6" s="156"/>
      <c r="V6" s="15"/>
    </row>
    <row r="7" spans="1:22" s="18" customFormat="1" ht="30.75" customHeight="1" x14ac:dyDescent="0.15">
      <c r="A7" s="15"/>
      <c r="B7" s="157" t="s">
        <v>61</v>
      </c>
      <c r="C7" s="209">
        <f>+実績見込予算!E31</f>
        <v>483343.01642000006</v>
      </c>
      <c r="D7" s="209">
        <f>+実績見込予算!F31</f>
        <v>506279.09642000002</v>
      </c>
      <c r="E7" s="209">
        <f>+実績見込予算!G31</f>
        <v>497007.36642000009</v>
      </c>
      <c r="F7" s="209">
        <f>+実績見込予算!H31</f>
        <v>520531.61842000001</v>
      </c>
      <c r="G7" s="209">
        <f>+実績見込予算!I31</f>
        <v>514603.67041999998</v>
      </c>
      <c r="H7" s="209">
        <f>+実績見込予算!J31</f>
        <v>524026.52642000001</v>
      </c>
      <c r="I7" s="209">
        <f>+実績見込予算!K31</f>
        <v>525588.46542000002</v>
      </c>
      <c r="J7" s="209">
        <f>+実績見込予算!L31</f>
        <v>529321.77642000001</v>
      </c>
      <c r="K7" s="209">
        <f>+実績見込予算!M31</f>
        <v>521301.92041999998</v>
      </c>
      <c r="L7" s="209">
        <f>+実績見込予算!N31</f>
        <v>513293.43979999999</v>
      </c>
      <c r="M7" s="209">
        <f>+実績見込予算!O31</f>
        <v>512257.95562000002</v>
      </c>
      <c r="N7" s="209">
        <f>+実績見込予算!P31</f>
        <v>513607.89022</v>
      </c>
      <c r="O7" s="139">
        <f>SUM(C7:E7)</f>
        <v>1486629.4792600002</v>
      </c>
      <c r="P7" s="139">
        <f>SUM(F7:H7)</f>
        <v>1559161.8152600001</v>
      </c>
      <c r="Q7" s="139">
        <f>SUM(I7:K7)</f>
        <v>1576212.1622600001</v>
      </c>
      <c r="R7" s="139">
        <f>SUM(L7:N7)</f>
        <v>1539159.2856399999</v>
      </c>
      <c r="S7" s="139">
        <f>SUM(O7:P7)</f>
        <v>3045791.29452</v>
      </c>
      <c r="T7" s="139">
        <f>SUM(Q7:R7)</f>
        <v>3115371.4479</v>
      </c>
      <c r="U7" s="139">
        <f>SUM(S7:T7)</f>
        <v>6161162.74242</v>
      </c>
      <c r="V7" s="17"/>
    </row>
    <row r="8" spans="1:22" s="20" customFormat="1" ht="30.75" customHeight="1" x14ac:dyDescent="0.15">
      <c r="A8" s="15"/>
      <c r="B8" s="158" t="s">
        <v>12</v>
      </c>
      <c r="C8" s="210">
        <f>+実績見込予算!E33</f>
        <v>74732.748865326852</v>
      </c>
      <c r="D8" s="210">
        <f>+実績見込予算!F33</f>
        <v>89548.245999285573</v>
      </c>
      <c r="E8" s="210">
        <f>+実績見込予算!G33</f>
        <v>75910.723989335092</v>
      </c>
      <c r="F8" s="210">
        <f>+実績見込予算!H33</f>
        <v>103820.91572291777</v>
      </c>
      <c r="G8" s="210">
        <f>+実績見込予算!I33</f>
        <v>100143.84102215544</v>
      </c>
      <c r="H8" s="210">
        <f>+実績見込予算!J33</f>
        <v>100964.33370046431</v>
      </c>
      <c r="I8" s="210">
        <f>+実績見込予算!K33</f>
        <v>106665.22689124098</v>
      </c>
      <c r="J8" s="210">
        <f>+実績見込予算!L33</f>
        <v>109866.55344966266</v>
      </c>
      <c r="K8" s="210">
        <f>+実績見込予算!M33</f>
        <v>101768.74358655293</v>
      </c>
      <c r="L8" s="210">
        <f>+実績見込予算!N33</f>
        <v>104101.51114086602</v>
      </c>
      <c r="M8" s="210">
        <f>+実績見込予算!O33</f>
        <v>103828.15984574374</v>
      </c>
      <c r="N8" s="210">
        <f>+実績見込予算!P33</f>
        <v>103862.50484076595</v>
      </c>
      <c r="O8" s="159">
        <f>SUM(C8:E8)</f>
        <v>240191.7188539475</v>
      </c>
      <c r="P8" s="159">
        <f>SUM(F8:H8)</f>
        <v>304929.09044553747</v>
      </c>
      <c r="Q8" s="159">
        <f>SUM(I8:K8)</f>
        <v>318300.52392745658</v>
      </c>
      <c r="R8" s="159">
        <f>SUM(L8:N8)</f>
        <v>311792.17582737573</v>
      </c>
      <c r="S8" s="159">
        <f>SUM(O8:P8)</f>
        <v>545120.80929948494</v>
      </c>
      <c r="T8" s="159">
        <f>SUM(Q8:R8)</f>
        <v>630092.69975483231</v>
      </c>
      <c r="U8" s="159">
        <f>SUM(S8:T8)</f>
        <v>1175213.5090543171</v>
      </c>
      <c r="V8" s="19"/>
    </row>
    <row r="9" spans="1:22" s="22" customFormat="1" ht="21.75" customHeight="1" x14ac:dyDescent="0.15">
      <c r="A9" s="15"/>
      <c r="B9" s="160" t="s">
        <v>14</v>
      </c>
      <c r="C9" s="164">
        <f>SUM(C8/C7)</f>
        <v>0.15461638283067269</v>
      </c>
      <c r="D9" s="164">
        <f t="shared" ref="D9:U9" si="0">SUM(D8/D7)</f>
        <v>0.17687525839502163</v>
      </c>
      <c r="E9" s="164">
        <f t="shared" si="0"/>
        <v>0.15273561141785194</v>
      </c>
      <c r="F9" s="164">
        <f t="shared" si="0"/>
        <v>0.19945169908804281</v>
      </c>
      <c r="G9" s="164">
        <f t="shared" si="0"/>
        <v>0.19460382188961425</v>
      </c>
      <c r="H9" s="164">
        <f t="shared" si="0"/>
        <v>0.19267027261048</v>
      </c>
      <c r="I9" s="164">
        <f t="shared" si="0"/>
        <v>0.20294438312302826</v>
      </c>
      <c r="J9" s="164">
        <f t="shared" si="0"/>
        <v>0.20756099284773624</v>
      </c>
      <c r="K9" s="164">
        <f t="shared" si="0"/>
        <v>0.19522035043446681</v>
      </c>
      <c r="L9" s="164">
        <f t="shared" si="0"/>
        <v>0.20281091295736839</v>
      </c>
      <c r="M9" s="164">
        <f t="shared" si="0"/>
        <v>0.20268725689204306</v>
      </c>
      <c r="N9" s="164">
        <f t="shared" si="0"/>
        <v>0.20222139655268387</v>
      </c>
      <c r="O9" s="164">
        <f t="shared" si="0"/>
        <v>0.16156797790227312</v>
      </c>
      <c r="P9" s="164">
        <f>SUM(P8/P7)</f>
        <v>0.19557244633693688</v>
      </c>
      <c r="Q9" s="164">
        <f t="shared" si="0"/>
        <v>0.20194015218806066</v>
      </c>
      <c r="R9" s="164">
        <f t="shared" si="0"/>
        <v>0.20257304018909844</v>
      </c>
      <c r="S9" s="164">
        <f t="shared" si="0"/>
        <v>0.17897510255553903</v>
      </c>
      <c r="T9" s="164">
        <f t="shared" si="0"/>
        <v>0.20225283254090398</v>
      </c>
      <c r="U9" s="164">
        <f t="shared" si="0"/>
        <v>0.19074540929797176</v>
      </c>
      <c r="V9" s="21"/>
    </row>
    <row r="10" spans="1:22" ht="15" customHeight="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2" ht="15" customHeigh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2" ht="18.75" customHeight="1" x14ac:dyDescent="0.25">
      <c r="B12" s="73" t="s">
        <v>89</v>
      </c>
      <c r="C12" s="5"/>
      <c r="D12" s="24"/>
      <c r="E12" s="5"/>
      <c r="F12" s="5"/>
      <c r="G12" s="5"/>
      <c r="H12" s="5"/>
      <c r="I12" s="5"/>
      <c r="J12" s="5"/>
      <c r="K12" s="5"/>
      <c r="L12" s="5"/>
      <c r="M12" s="5"/>
      <c r="N12" s="23" t="s">
        <v>64</v>
      </c>
      <c r="O12" s="5"/>
      <c r="P12" s="5"/>
      <c r="Q12" s="5"/>
      <c r="R12" s="5"/>
      <c r="S12" s="5"/>
      <c r="T12" s="5"/>
      <c r="U12" s="23" t="s">
        <v>64</v>
      </c>
    </row>
    <row r="13" spans="1:22" s="14" customFormat="1" ht="17.25" x14ac:dyDescent="0.15">
      <c r="B13" s="307"/>
      <c r="C13" s="307" t="s">
        <v>38</v>
      </c>
      <c r="D13" s="307"/>
      <c r="E13" s="307"/>
      <c r="F13" s="307" t="s">
        <v>39</v>
      </c>
      <c r="G13" s="307"/>
      <c r="H13" s="307"/>
      <c r="I13" s="307" t="s">
        <v>40</v>
      </c>
      <c r="J13" s="307"/>
      <c r="K13" s="307"/>
      <c r="L13" s="307" t="s">
        <v>35</v>
      </c>
      <c r="M13" s="307"/>
      <c r="N13" s="307"/>
      <c r="O13" s="313" t="s">
        <v>11</v>
      </c>
      <c r="P13" s="313" t="s">
        <v>58</v>
      </c>
      <c r="Q13" s="313" t="s">
        <v>59</v>
      </c>
      <c r="R13" s="313" t="s">
        <v>60</v>
      </c>
      <c r="S13" s="313" t="s">
        <v>50</v>
      </c>
      <c r="T13" s="313" t="s">
        <v>51</v>
      </c>
      <c r="U13" s="154" t="s">
        <v>8</v>
      </c>
      <c r="V13" s="15"/>
    </row>
    <row r="14" spans="1:22" s="16" customFormat="1" ht="19.5" customHeight="1" x14ac:dyDescent="0.15">
      <c r="A14" s="15"/>
      <c r="B14" s="307"/>
      <c r="C14" s="155" t="s">
        <v>36</v>
      </c>
      <c r="D14" s="156">
        <v>5</v>
      </c>
      <c r="E14" s="156">
        <v>6</v>
      </c>
      <c r="F14" s="156">
        <v>7</v>
      </c>
      <c r="G14" s="156">
        <v>8</v>
      </c>
      <c r="H14" s="156">
        <v>9</v>
      </c>
      <c r="I14" s="156">
        <v>10</v>
      </c>
      <c r="J14" s="156">
        <v>11</v>
      </c>
      <c r="K14" s="156">
        <v>12</v>
      </c>
      <c r="L14" s="155" t="s">
        <v>37</v>
      </c>
      <c r="M14" s="156">
        <v>2</v>
      </c>
      <c r="N14" s="156">
        <v>3</v>
      </c>
      <c r="O14" s="313"/>
      <c r="P14" s="313"/>
      <c r="Q14" s="313"/>
      <c r="R14" s="313"/>
      <c r="S14" s="313"/>
      <c r="T14" s="313"/>
      <c r="U14" s="156"/>
      <c r="V14" s="15"/>
    </row>
    <row r="15" spans="1:22" s="18" customFormat="1" ht="30.75" customHeight="1" x14ac:dyDescent="0.15">
      <c r="A15" s="15"/>
      <c r="B15" s="157" t="s">
        <v>62</v>
      </c>
      <c r="C15" s="204">
        <f>+実績見込予算!E32</f>
        <v>499841.72382800002</v>
      </c>
      <c r="D15" s="204">
        <f>+実績見込予算!F32</f>
        <v>504945.39300000004</v>
      </c>
      <c r="E15" s="204">
        <f>+実績見込予算!G32</f>
        <v>507247.43121999991</v>
      </c>
      <c r="F15" s="204">
        <f>+実績見込予算!H32</f>
        <v>555489.45699999994</v>
      </c>
      <c r="G15" s="204">
        <f>+実績見込予算!I32</f>
        <v>548441.68900000001</v>
      </c>
      <c r="H15" s="204">
        <f>+実績見込予算!J32</f>
        <v>582096.88975577999</v>
      </c>
      <c r="I15" s="204">
        <f>+実績見込予算!K32</f>
        <v>619845.69976999995</v>
      </c>
      <c r="J15" s="204">
        <f>+実績見込予算!L32</f>
        <v>622891.62460999994</v>
      </c>
      <c r="K15" s="204">
        <f>+実績見込予算!M32</f>
        <v>618108.07099000004</v>
      </c>
      <c r="L15" s="204">
        <f>+実績見込予算!N32</f>
        <v>595324.79554999992</v>
      </c>
      <c r="M15" s="204">
        <f>+実績見込予算!O32</f>
        <v>593133.23444999987</v>
      </c>
      <c r="N15" s="204">
        <f>+実績見込予算!P32</f>
        <v>592948.20278999989</v>
      </c>
      <c r="O15" s="165">
        <f>SUM(C15:E15)</f>
        <v>1512034.5480479999</v>
      </c>
      <c r="P15" s="165">
        <f>SUM(F15:H15)</f>
        <v>1686028.0357557801</v>
      </c>
      <c r="Q15" s="165">
        <f>SUM(I15:K15)</f>
        <v>1860845.39537</v>
      </c>
      <c r="R15" s="165">
        <f>SUM(L15:N15)</f>
        <v>1781406.2327899998</v>
      </c>
      <c r="S15" s="165">
        <f>SUM(O15:P15)</f>
        <v>3198062.5838037799</v>
      </c>
      <c r="T15" s="165">
        <f>SUM(Q15:R15)</f>
        <v>3642251.6281599998</v>
      </c>
      <c r="U15" s="165">
        <f>SUM(S15:T15)</f>
        <v>6840314.2119637802</v>
      </c>
      <c r="V15" s="17"/>
    </row>
    <row r="16" spans="1:22" s="20" customFormat="1" ht="30.75" customHeight="1" x14ac:dyDescent="0.15">
      <c r="A16" s="15"/>
      <c r="B16" s="158" t="s">
        <v>13</v>
      </c>
      <c r="C16" s="205">
        <f>+実績見込予算!E34</f>
        <v>75435.084779151366</v>
      </c>
      <c r="D16" s="205">
        <f>+実績見込予算!F34</f>
        <v>78912.892440000025</v>
      </c>
      <c r="E16" s="205">
        <f>+実績見込予算!G34</f>
        <v>85485.531999999992</v>
      </c>
      <c r="F16" s="205">
        <f>+実績見込予算!H34</f>
        <v>99301.795999999958</v>
      </c>
      <c r="G16" s="205">
        <f>+実績見込予算!I34</f>
        <v>101020.878</v>
      </c>
      <c r="H16" s="205">
        <f>+実績見込予算!J34</f>
        <v>100859.21055599427</v>
      </c>
      <c r="I16" s="205">
        <f>+実績見込予算!K34</f>
        <v>128299.74789007613</v>
      </c>
      <c r="J16" s="205">
        <f>+実績見込予算!L34</f>
        <v>126624.20666078938</v>
      </c>
      <c r="K16" s="205">
        <f>+実績見込予算!M34</f>
        <v>124939.41079181487</v>
      </c>
      <c r="L16" s="205">
        <f>+実績見込予算!N34</f>
        <v>118361.10017032201</v>
      </c>
      <c r="M16" s="205">
        <f>+実績見込予算!O34</f>
        <v>116388.93277436348</v>
      </c>
      <c r="N16" s="205">
        <f>+実績見込予算!P34</f>
        <v>121819.01141701646</v>
      </c>
      <c r="O16" s="166">
        <f>SUM(C16:E16)</f>
        <v>239833.5092191514</v>
      </c>
      <c r="P16" s="166">
        <f>SUM(F16:H16)</f>
        <v>301181.88455599418</v>
      </c>
      <c r="Q16" s="166">
        <f>SUM(I16:K16)</f>
        <v>379863.36534268036</v>
      </c>
      <c r="R16" s="166">
        <f>SUM(L16:N16)</f>
        <v>356569.04436170193</v>
      </c>
      <c r="S16" s="166">
        <f>SUM(O16:P16)</f>
        <v>541015.39377514552</v>
      </c>
      <c r="T16" s="166">
        <f>SUM(Q16:R16)</f>
        <v>736432.4097043823</v>
      </c>
      <c r="U16" s="166">
        <f>SUM(S16:T16)</f>
        <v>1277447.8034795278</v>
      </c>
      <c r="V16" s="19"/>
    </row>
    <row r="17" spans="1:22" s="22" customFormat="1" ht="30.75" customHeight="1" x14ac:dyDescent="0.15">
      <c r="A17" s="15"/>
      <c r="B17" s="160" t="s">
        <v>15</v>
      </c>
      <c r="C17" s="201">
        <f>SUM(C16/C15)</f>
        <v>0.15091794298690689</v>
      </c>
      <c r="D17" s="201">
        <f>SUM(D16/D15)</f>
        <v>0.1562800523263711</v>
      </c>
      <c r="E17" s="201">
        <f t="shared" ref="E17:U17" si="1">SUM(E16/E15)</f>
        <v>0.1685282699103976</v>
      </c>
      <c r="F17" s="201">
        <f t="shared" si="1"/>
        <v>0.17876450173562874</v>
      </c>
      <c r="G17" s="201">
        <f t="shared" si="1"/>
        <v>0.18419620540553036</v>
      </c>
      <c r="H17" s="201">
        <f t="shared" si="1"/>
        <v>0.17326876733237653</v>
      </c>
      <c r="I17" s="201">
        <f t="shared" si="1"/>
        <v>0.20698659027187422</v>
      </c>
      <c r="J17" s="201">
        <f t="shared" si="1"/>
        <v>0.2032844906849893</v>
      </c>
      <c r="K17" s="201">
        <f t="shared" si="1"/>
        <v>0.2021319841232686</v>
      </c>
      <c r="L17" s="201">
        <f t="shared" si="1"/>
        <v>0.19881768919262349</v>
      </c>
      <c r="M17" s="201">
        <f t="shared" si="1"/>
        <v>0.19622729938963632</v>
      </c>
      <c r="N17" s="201">
        <f t="shared" si="1"/>
        <v>0.20544629504537043</v>
      </c>
      <c r="O17" s="201">
        <f t="shared" si="1"/>
        <v>0.15861642151548103</v>
      </c>
      <c r="P17" s="201">
        <f t="shared" si="1"/>
        <v>0.17863397177792847</v>
      </c>
      <c r="Q17" s="201">
        <f t="shared" si="1"/>
        <v>0.20413483370935848</v>
      </c>
      <c r="R17" s="201">
        <f t="shared" si="1"/>
        <v>0.20016155652675091</v>
      </c>
      <c r="S17" s="201">
        <f t="shared" si="1"/>
        <v>0.16916973311124547</v>
      </c>
      <c r="T17" s="201">
        <f t="shared" si="1"/>
        <v>0.20219152460820361</v>
      </c>
      <c r="U17" s="201">
        <f t="shared" si="1"/>
        <v>0.18675279583579046</v>
      </c>
      <c r="V17" s="21"/>
    </row>
    <row r="19" spans="1:22" ht="15" customHeight="1" x14ac:dyDescent="0.25">
      <c r="B19" s="13" t="s">
        <v>63</v>
      </c>
    </row>
    <row r="20" spans="1:22" ht="22.5" customHeight="1" x14ac:dyDescent="0.25">
      <c r="B20" s="9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2" ht="15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2" ht="15" customHeight="1" x14ac:dyDescent="0.25">
      <c r="B22" s="28" t="str">
        <f>B4</f>
        <v>●2018年度予算</v>
      </c>
      <c r="C22" s="10" t="s">
        <v>80</v>
      </c>
      <c r="D22" s="1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 t="s">
        <v>65</v>
      </c>
    </row>
    <row r="23" spans="1:22" ht="15" customHeight="1" x14ac:dyDescent="0.25">
      <c r="B23" s="306"/>
      <c r="C23" s="305" t="s">
        <v>38</v>
      </c>
      <c r="D23" s="305"/>
      <c r="E23" s="305"/>
      <c r="F23" s="305" t="s">
        <v>39</v>
      </c>
      <c r="G23" s="305"/>
      <c r="H23" s="305"/>
      <c r="I23" s="305" t="s">
        <v>40</v>
      </c>
      <c r="J23" s="305"/>
      <c r="K23" s="305"/>
      <c r="L23" s="305" t="s">
        <v>35</v>
      </c>
      <c r="M23" s="305"/>
      <c r="N23" s="305"/>
      <c r="O23" s="308" t="s">
        <v>11</v>
      </c>
      <c r="P23" s="308" t="s">
        <v>58</v>
      </c>
      <c r="Q23" s="308" t="s">
        <v>59</v>
      </c>
      <c r="R23" s="308" t="s">
        <v>60</v>
      </c>
      <c r="S23" s="308" t="s">
        <v>50</v>
      </c>
      <c r="T23" s="308" t="s">
        <v>51</v>
      </c>
      <c r="U23" s="167" t="s">
        <v>8</v>
      </c>
    </row>
    <row r="24" spans="1:22" ht="15" customHeight="1" x14ac:dyDescent="0.25">
      <c r="B24" s="306"/>
      <c r="C24" s="168" t="s">
        <v>36</v>
      </c>
      <c r="D24" s="169">
        <v>5</v>
      </c>
      <c r="E24" s="169">
        <v>6</v>
      </c>
      <c r="F24" s="169">
        <v>7</v>
      </c>
      <c r="G24" s="169">
        <v>8</v>
      </c>
      <c r="H24" s="169">
        <v>9</v>
      </c>
      <c r="I24" s="169">
        <v>10</v>
      </c>
      <c r="J24" s="169">
        <v>11</v>
      </c>
      <c r="K24" s="169">
        <v>12</v>
      </c>
      <c r="L24" s="168" t="s">
        <v>37</v>
      </c>
      <c r="M24" s="169">
        <v>2</v>
      </c>
      <c r="N24" s="169">
        <v>3</v>
      </c>
      <c r="O24" s="308"/>
      <c r="P24" s="308"/>
      <c r="Q24" s="308"/>
      <c r="R24" s="308"/>
      <c r="S24" s="308"/>
      <c r="T24" s="308"/>
      <c r="U24" s="170"/>
    </row>
    <row r="25" spans="1:22" ht="21" customHeight="1" x14ac:dyDescent="0.25">
      <c r="B25" s="171" t="str">
        <f>B7</f>
        <v>売上高実績</v>
      </c>
      <c r="C25" s="172">
        <f t="shared" ref="C25:E26" si="2">C7/1000</f>
        <v>483.34301642000008</v>
      </c>
      <c r="D25" s="172">
        <f t="shared" si="2"/>
        <v>506.27909642000003</v>
      </c>
      <c r="E25" s="172">
        <f t="shared" si="2"/>
        <v>497.0073664200001</v>
      </c>
      <c r="F25" s="172">
        <f t="shared" ref="F25:N25" si="3">F7/1000</f>
        <v>520.53161841999997</v>
      </c>
      <c r="G25" s="172">
        <f t="shared" si="3"/>
        <v>514.60367041999996</v>
      </c>
      <c r="H25" s="172">
        <f t="shared" si="3"/>
        <v>524.02652641999998</v>
      </c>
      <c r="I25" s="172">
        <f t="shared" si="3"/>
        <v>525.58846542000003</v>
      </c>
      <c r="J25" s="172">
        <f t="shared" si="3"/>
        <v>529.32177641999999</v>
      </c>
      <c r="K25" s="172">
        <f t="shared" si="3"/>
        <v>521.30192041999999</v>
      </c>
      <c r="L25" s="172">
        <f t="shared" si="3"/>
        <v>513.29343979999999</v>
      </c>
      <c r="M25" s="172">
        <f t="shared" si="3"/>
        <v>512.25795562000008</v>
      </c>
      <c r="N25" s="172">
        <f t="shared" si="3"/>
        <v>513.60789021999994</v>
      </c>
      <c r="O25" s="172">
        <f>SUM(C25:E25)</f>
        <v>1486.6294792600002</v>
      </c>
      <c r="P25" s="172">
        <f>SUM(F25:H25)</f>
        <v>1559.1618152599999</v>
      </c>
      <c r="Q25" s="172">
        <f>SUM(I25:K25)</f>
        <v>1576.21216226</v>
      </c>
      <c r="R25" s="172">
        <f>SUM(L25:N25)</f>
        <v>1539.15928564</v>
      </c>
      <c r="S25" s="172">
        <f>SUM(O25:P25)</f>
        <v>3045.7912945200001</v>
      </c>
      <c r="T25" s="172">
        <f>SUM(Q25:R25)</f>
        <v>3115.3714479</v>
      </c>
      <c r="U25" s="172">
        <f>SUM(S25:T25)</f>
        <v>6161.1627424199996</v>
      </c>
    </row>
    <row r="26" spans="1:22" ht="21" customHeight="1" x14ac:dyDescent="0.25">
      <c r="B26" s="173" t="str">
        <f>B8</f>
        <v>営業利益実績</v>
      </c>
      <c r="C26" s="174">
        <f t="shared" si="2"/>
        <v>74.732748865326855</v>
      </c>
      <c r="D26" s="174">
        <f t="shared" si="2"/>
        <v>89.548245999285569</v>
      </c>
      <c r="E26" s="174">
        <f t="shared" si="2"/>
        <v>75.910723989335096</v>
      </c>
      <c r="F26" s="174">
        <f t="shared" ref="F26:N26" si="4">F8/1000</f>
        <v>103.82091572291776</v>
      </c>
      <c r="G26" s="174">
        <f t="shared" si="4"/>
        <v>100.14384102215544</v>
      </c>
      <c r="H26" s="174">
        <f t="shared" si="4"/>
        <v>100.96433370046431</v>
      </c>
      <c r="I26" s="174">
        <f t="shared" si="4"/>
        <v>106.66522689124098</v>
      </c>
      <c r="J26" s="174">
        <f t="shared" si="4"/>
        <v>109.86655344966266</v>
      </c>
      <c r="K26" s="174">
        <f t="shared" si="4"/>
        <v>101.76874358655293</v>
      </c>
      <c r="L26" s="174">
        <f t="shared" si="4"/>
        <v>104.10151114086601</v>
      </c>
      <c r="M26" s="174">
        <f t="shared" si="4"/>
        <v>103.82815984574374</v>
      </c>
      <c r="N26" s="174">
        <f t="shared" si="4"/>
        <v>103.86250484076595</v>
      </c>
      <c r="O26" s="174">
        <f>SUM(C26:E26)</f>
        <v>240.19171885394752</v>
      </c>
      <c r="P26" s="174">
        <f>SUM(F26:H26)</f>
        <v>304.9290904455375</v>
      </c>
      <c r="Q26" s="174">
        <f>SUM(I26:K26)</f>
        <v>318.3005239274566</v>
      </c>
      <c r="R26" s="174">
        <f>SUM(L26:N26)</f>
        <v>311.79217582737567</v>
      </c>
      <c r="S26" s="174">
        <f>SUM(O26:P26)</f>
        <v>545.12080929948502</v>
      </c>
      <c r="T26" s="174">
        <f>SUM(Q26:R26)</f>
        <v>630.09269975483221</v>
      </c>
      <c r="U26" s="174">
        <f>SUM(S26:T26)</f>
        <v>1175.2135090543172</v>
      </c>
    </row>
    <row r="27" spans="1:22" ht="21" customHeight="1" x14ac:dyDescent="0.25">
      <c r="B27" s="175" t="str">
        <f>B9</f>
        <v>営業利益率</v>
      </c>
      <c r="C27" s="176">
        <f>C26/C25</f>
        <v>0.15461638283067269</v>
      </c>
      <c r="D27" s="176">
        <f>D26/D25</f>
        <v>0.17687525839502161</v>
      </c>
      <c r="E27" s="176">
        <f t="shared" ref="E27:N27" si="5">E26/E25</f>
        <v>0.15273561141785194</v>
      </c>
      <c r="F27" s="176">
        <f t="shared" si="5"/>
        <v>0.19945169908804281</v>
      </c>
      <c r="G27" s="176">
        <f t="shared" si="5"/>
        <v>0.19460382188961428</v>
      </c>
      <c r="H27" s="176">
        <f t="shared" si="5"/>
        <v>0.19267027261048003</v>
      </c>
      <c r="I27" s="176">
        <f t="shared" si="5"/>
        <v>0.20294438312302826</v>
      </c>
      <c r="J27" s="176">
        <f t="shared" si="5"/>
        <v>0.20756099284773624</v>
      </c>
      <c r="K27" s="176">
        <f t="shared" si="5"/>
        <v>0.19522035043446681</v>
      </c>
      <c r="L27" s="176">
        <f t="shared" si="5"/>
        <v>0.20281091295736839</v>
      </c>
      <c r="M27" s="176">
        <f t="shared" si="5"/>
        <v>0.20268725689204303</v>
      </c>
      <c r="N27" s="176">
        <f t="shared" si="5"/>
        <v>0.2022213965526839</v>
      </c>
      <c r="O27" s="176">
        <f t="shared" ref="O27:U27" si="6">+O26/O25</f>
        <v>0.16156797790227315</v>
      </c>
      <c r="P27" s="176">
        <f t="shared" si="6"/>
        <v>0.19557244633693693</v>
      </c>
      <c r="Q27" s="176">
        <f t="shared" si="6"/>
        <v>0.20194015218806069</v>
      </c>
      <c r="R27" s="176">
        <f t="shared" si="6"/>
        <v>0.20257304018909839</v>
      </c>
      <c r="S27" s="176">
        <f t="shared" si="6"/>
        <v>0.17897510255553903</v>
      </c>
      <c r="T27" s="176">
        <f t="shared" si="6"/>
        <v>0.20225283254090395</v>
      </c>
      <c r="U27" s="177">
        <f t="shared" si="6"/>
        <v>0.19074540929797179</v>
      </c>
    </row>
    <row r="28" spans="1:22" ht="15" customHeight="1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2" ht="15" customHeight="1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2" ht="15" customHeight="1" x14ac:dyDescent="0.25">
      <c r="B30" s="87" t="str">
        <f>B12</f>
        <v>●2018年度実・見込</v>
      </c>
      <c r="C30" s="202" t="s">
        <v>90</v>
      </c>
      <c r="D30" s="12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 t="s">
        <v>65</v>
      </c>
    </row>
    <row r="31" spans="1:22" ht="15" customHeight="1" x14ac:dyDescent="0.25">
      <c r="B31" s="306"/>
      <c r="C31" s="305" t="s">
        <v>32</v>
      </c>
      <c r="D31" s="305"/>
      <c r="E31" s="305"/>
      <c r="F31" s="305" t="s">
        <v>33</v>
      </c>
      <c r="G31" s="305"/>
      <c r="H31" s="305"/>
      <c r="I31" s="305" t="s">
        <v>34</v>
      </c>
      <c r="J31" s="305"/>
      <c r="K31" s="305"/>
      <c r="L31" s="305" t="s">
        <v>41</v>
      </c>
      <c r="M31" s="305"/>
      <c r="N31" s="305"/>
      <c r="O31" s="308" t="s">
        <v>11</v>
      </c>
      <c r="P31" s="308" t="s">
        <v>58</v>
      </c>
      <c r="Q31" s="308" t="s">
        <v>59</v>
      </c>
      <c r="R31" s="308" t="s">
        <v>60</v>
      </c>
      <c r="S31" s="308" t="s">
        <v>50</v>
      </c>
      <c r="T31" s="308" t="s">
        <v>51</v>
      </c>
      <c r="U31" s="167" t="s">
        <v>8</v>
      </c>
    </row>
    <row r="32" spans="1:22" ht="15" customHeight="1" x14ac:dyDescent="0.25">
      <c r="B32" s="306"/>
      <c r="C32" s="168" t="s">
        <v>42</v>
      </c>
      <c r="D32" s="169">
        <v>5</v>
      </c>
      <c r="E32" s="169">
        <v>6</v>
      </c>
      <c r="F32" s="169">
        <v>7</v>
      </c>
      <c r="G32" s="169">
        <v>8</v>
      </c>
      <c r="H32" s="169">
        <v>9</v>
      </c>
      <c r="I32" s="169">
        <v>10</v>
      </c>
      <c r="J32" s="169">
        <v>11</v>
      </c>
      <c r="K32" s="169">
        <v>12</v>
      </c>
      <c r="L32" s="168" t="s">
        <v>43</v>
      </c>
      <c r="M32" s="169">
        <v>2</v>
      </c>
      <c r="N32" s="169">
        <v>3</v>
      </c>
      <c r="O32" s="308"/>
      <c r="P32" s="308"/>
      <c r="Q32" s="308"/>
      <c r="R32" s="308"/>
      <c r="S32" s="308"/>
      <c r="T32" s="308"/>
      <c r="U32" s="170"/>
    </row>
    <row r="33" spans="2:21" ht="21" customHeight="1" x14ac:dyDescent="0.25">
      <c r="B33" s="171" t="str">
        <f>B15</f>
        <v>売上高予算</v>
      </c>
      <c r="C33" s="178">
        <f>C15/1000</f>
        <v>499.841723828</v>
      </c>
      <c r="D33" s="178">
        <f>D15/1000</f>
        <v>504.94539300000002</v>
      </c>
      <c r="E33" s="178">
        <f t="shared" ref="E33:N33" si="7">E15/1000</f>
        <v>507.2474312199999</v>
      </c>
      <c r="F33" s="178">
        <f t="shared" si="7"/>
        <v>555.4894569999999</v>
      </c>
      <c r="G33" s="178">
        <f t="shared" si="7"/>
        <v>548.441689</v>
      </c>
      <c r="H33" s="178">
        <f t="shared" si="7"/>
        <v>582.09688975578001</v>
      </c>
      <c r="I33" s="178">
        <f t="shared" si="7"/>
        <v>619.8456997699999</v>
      </c>
      <c r="J33" s="178">
        <f t="shared" si="7"/>
        <v>622.89162460999989</v>
      </c>
      <c r="K33" s="178">
        <f t="shared" si="7"/>
        <v>618.10807098999999</v>
      </c>
      <c r="L33" s="178">
        <f t="shared" si="7"/>
        <v>595.32479554999998</v>
      </c>
      <c r="M33" s="178">
        <f t="shared" si="7"/>
        <v>593.13323444999992</v>
      </c>
      <c r="N33" s="178">
        <f t="shared" si="7"/>
        <v>592.94820278999987</v>
      </c>
      <c r="O33" s="178">
        <f>SUM(C33:E33)</f>
        <v>1512.034548048</v>
      </c>
      <c r="P33" s="178">
        <f>SUM(F33:H33)</f>
        <v>1686.0280357557799</v>
      </c>
      <c r="Q33" s="178">
        <f>SUM(I33:K33)</f>
        <v>1860.8453953699998</v>
      </c>
      <c r="R33" s="178">
        <f>SUM(L33:N33)</f>
        <v>1781.4062327899996</v>
      </c>
      <c r="S33" s="178">
        <f>SUM(O33:P33)</f>
        <v>3198.0625838037799</v>
      </c>
      <c r="T33" s="178">
        <f>SUM(Q33:R33)</f>
        <v>3642.2516281599992</v>
      </c>
      <c r="U33" s="178">
        <f>SUM(S33:T33)</f>
        <v>6840.3142119637796</v>
      </c>
    </row>
    <row r="34" spans="2:21" ht="21" customHeight="1" x14ac:dyDescent="0.25">
      <c r="B34" s="171" t="str">
        <f>B16</f>
        <v>営業利益予算</v>
      </c>
      <c r="C34" s="179">
        <f>C16/1000</f>
        <v>75.435084779151367</v>
      </c>
      <c r="D34" s="179">
        <f t="shared" ref="D34:N34" si="8">D16/1000</f>
        <v>78.912892440000022</v>
      </c>
      <c r="E34" s="179">
        <f t="shared" si="8"/>
        <v>85.485531999999992</v>
      </c>
      <c r="F34" s="179">
        <f t="shared" si="8"/>
        <v>99.301795999999953</v>
      </c>
      <c r="G34" s="179">
        <f t="shared" si="8"/>
        <v>101.020878</v>
      </c>
      <c r="H34" s="179">
        <f t="shared" si="8"/>
        <v>100.85921055599427</v>
      </c>
      <c r="I34" s="179">
        <f t="shared" si="8"/>
        <v>128.29974789007613</v>
      </c>
      <c r="J34" s="179">
        <f t="shared" si="8"/>
        <v>126.62420666078938</v>
      </c>
      <c r="K34" s="179">
        <f t="shared" si="8"/>
        <v>124.93941079181486</v>
      </c>
      <c r="L34" s="179">
        <f t="shared" si="8"/>
        <v>118.361100170322</v>
      </c>
      <c r="M34" s="179">
        <f t="shared" si="8"/>
        <v>116.38893277436348</v>
      </c>
      <c r="N34" s="179">
        <f t="shared" si="8"/>
        <v>121.81901141701645</v>
      </c>
      <c r="O34" s="179">
        <f>SUM(C34:E34)</f>
        <v>239.83350921915138</v>
      </c>
      <c r="P34" s="179">
        <f>SUM(F34:H34)</f>
        <v>301.1818845559942</v>
      </c>
      <c r="Q34" s="179">
        <f>SUM(I34:K34)</f>
        <v>379.86336534268037</v>
      </c>
      <c r="R34" s="179">
        <f>SUM(L34:N34)</f>
        <v>356.56904436170191</v>
      </c>
      <c r="S34" s="179">
        <f>SUM(O34:P34)</f>
        <v>541.01539377514564</v>
      </c>
      <c r="T34" s="179">
        <f>SUM(Q34:R34)</f>
        <v>736.43240970438228</v>
      </c>
      <c r="U34" s="179">
        <f>SUM(S34:T34)</f>
        <v>1277.4478034795279</v>
      </c>
    </row>
    <row r="35" spans="2:21" ht="21" customHeight="1" x14ac:dyDescent="0.25">
      <c r="B35" s="171" t="str">
        <f>B17</f>
        <v>営業利益率（予算）</v>
      </c>
      <c r="C35" s="180">
        <f>C34/C33</f>
        <v>0.15091794298690689</v>
      </c>
      <c r="D35" s="181">
        <f t="shared" ref="D35:U35" si="9">D34/D33</f>
        <v>0.1562800523263711</v>
      </c>
      <c r="E35" s="181">
        <f t="shared" si="9"/>
        <v>0.16852826991039763</v>
      </c>
      <c r="F35" s="181">
        <f t="shared" si="9"/>
        <v>0.17876450173562874</v>
      </c>
      <c r="G35" s="181">
        <f t="shared" si="9"/>
        <v>0.18419620540553036</v>
      </c>
      <c r="H35" s="181">
        <f t="shared" si="9"/>
        <v>0.17326876733237651</v>
      </c>
      <c r="I35" s="181">
        <f t="shared" si="9"/>
        <v>0.20698659027187422</v>
      </c>
      <c r="J35" s="181">
        <f t="shared" si="9"/>
        <v>0.2032844906849893</v>
      </c>
      <c r="K35" s="181">
        <f t="shared" si="9"/>
        <v>0.2021319841232686</v>
      </c>
      <c r="L35" s="181">
        <f t="shared" si="9"/>
        <v>0.19881768919262346</v>
      </c>
      <c r="M35" s="181">
        <f t="shared" si="9"/>
        <v>0.19622729938963632</v>
      </c>
      <c r="N35" s="181">
        <f t="shared" si="9"/>
        <v>0.20544629504537043</v>
      </c>
      <c r="O35" s="181">
        <f>O34/O33</f>
        <v>0.158616421515481</v>
      </c>
      <c r="P35" s="181">
        <f t="shared" si="9"/>
        <v>0.1786339717779285</v>
      </c>
      <c r="Q35" s="181">
        <f t="shared" si="9"/>
        <v>0.2041348337093585</v>
      </c>
      <c r="R35" s="181">
        <f t="shared" si="9"/>
        <v>0.20016155652675091</v>
      </c>
      <c r="S35" s="181">
        <f t="shared" si="9"/>
        <v>0.1691697331112455</v>
      </c>
      <c r="T35" s="181">
        <f t="shared" si="9"/>
        <v>0.20219152460820364</v>
      </c>
      <c r="U35" s="182">
        <f t="shared" si="9"/>
        <v>0.18675279583579049</v>
      </c>
    </row>
  </sheetData>
  <mergeCells count="46">
    <mergeCell ref="O31:O32"/>
    <mergeCell ref="S23:S24"/>
    <mergeCell ref="T23:T24"/>
    <mergeCell ref="O13:O14"/>
    <mergeCell ref="P13:P14"/>
    <mergeCell ref="Q13:Q14"/>
    <mergeCell ref="R13:R14"/>
    <mergeCell ref="S13:S14"/>
    <mergeCell ref="P31:P32"/>
    <mergeCell ref="Q31:Q32"/>
    <mergeCell ref="R31:R32"/>
    <mergeCell ref="S31:S32"/>
    <mergeCell ref="T31:T32"/>
    <mergeCell ref="T13:T14"/>
    <mergeCell ref="O23:O24"/>
    <mergeCell ref="P23:P24"/>
    <mergeCell ref="T5:T6"/>
    <mergeCell ref="O5:O6"/>
    <mergeCell ref="P5:P6"/>
    <mergeCell ref="Q5:Q6"/>
    <mergeCell ref="R5:R6"/>
    <mergeCell ref="S5:S6"/>
    <mergeCell ref="Q23:Q24"/>
    <mergeCell ref="R23:R24"/>
    <mergeCell ref="H2:I2"/>
    <mergeCell ref="E2:F2"/>
    <mergeCell ref="F5:H5"/>
    <mergeCell ref="I5:K5"/>
    <mergeCell ref="I23:K23"/>
    <mergeCell ref="C23:E23"/>
    <mergeCell ref="L5:N5"/>
    <mergeCell ref="C5:E5"/>
    <mergeCell ref="F23:H23"/>
    <mergeCell ref="I13:K13"/>
    <mergeCell ref="B5:B6"/>
    <mergeCell ref="L13:N13"/>
    <mergeCell ref="B13:B14"/>
    <mergeCell ref="C13:E13"/>
    <mergeCell ref="F13:H13"/>
    <mergeCell ref="F31:H31"/>
    <mergeCell ref="B23:B24"/>
    <mergeCell ref="C31:E31"/>
    <mergeCell ref="I31:K31"/>
    <mergeCell ref="L31:N31"/>
    <mergeCell ref="B31:B32"/>
    <mergeCell ref="L23:N23"/>
  </mergeCells>
  <phoneticPr fontId="2"/>
  <printOptions horizontalCentered="1"/>
  <pageMargins left="0.86614173228346458" right="0.59055118110236227" top="0.86614173228346458" bottom="0.78740157480314965" header="0.31496062992125984" footer="0.31496062992125984"/>
  <pageSetup paperSize="9" scale="61" orientation="portrait" horizontalDpi="4294967292" verticalDpi="4294967292" r:id="rId1"/>
  <headerFooter alignWithMargins="0">
    <oddHeader>&amp;R&amp;"HG丸ｺﾞｼｯｸM-PRO,ﾒﾃﾞｨｳﾑ"&amp;8Page &amp;P / &amp;N</oddHeader>
    <oddFooter>&amp;R&amp;"HG丸ｺﾞｼｯｸM-PRO,ﾒﾃﾞｨｳﾑ 斜体"&amp;6File Name : &amp;F-&amp;A　&amp;D（&amp;T）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77"/>
  <sheetViews>
    <sheetView view="pageBreakPreview" topLeftCell="C2" zoomScale="75" zoomScaleNormal="75" zoomScaleSheetLayoutView="75" workbookViewId="0">
      <selection activeCell="C2" sqref="C2:M2"/>
    </sheetView>
  </sheetViews>
  <sheetFormatPr defaultColWidth="13" defaultRowHeight="15" customHeight="1" x14ac:dyDescent="0.25"/>
  <cols>
    <col min="1" max="1" width="4.42578125" style="1" customWidth="1"/>
    <col min="2" max="2" width="2.140625" style="1" customWidth="1"/>
    <col min="3" max="12" width="6.42578125" style="1" customWidth="1"/>
    <col min="13" max="13" width="6" style="1" customWidth="1"/>
    <col min="14" max="14" width="13.140625" style="1" customWidth="1"/>
    <col min="15" max="15" width="12.42578125" style="1" customWidth="1"/>
    <col min="16" max="16" width="10.140625" style="1" customWidth="1"/>
    <col min="17" max="24" width="8.7109375" style="1" customWidth="1"/>
    <col min="25" max="26" width="9.140625" style="1" customWidth="1"/>
    <col min="27" max="27" width="6.42578125" style="1" customWidth="1"/>
    <col min="28" max="28" width="13.28515625" style="1" customWidth="1"/>
    <col min="29" max="34" width="5.85546875" style="1" customWidth="1"/>
    <col min="35" max="16384" width="13" style="1"/>
  </cols>
  <sheetData>
    <row r="1" spans="3:37" ht="19.5" customHeight="1" thickBot="1" x14ac:dyDescent="0.3"/>
    <row r="2" spans="3:37" ht="30" customHeight="1" thickBot="1" x14ac:dyDescent="0.3">
      <c r="C2" s="353" t="s">
        <v>49</v>
      </c>
      <c r="D2" s="354"/>
      <c r="E2" s="354"/>
      <c r="F2" s="354"/>
      <c r="G2" s="354"/>
      <c r="H2" s="354"/>
      <c r="I2" s="354"/>
      <c r="J2" s="354"/>
      <c r="K2" s="354"/>
      <c r="L2" s="354"/>
      <c r="M2" s="355"/>
      <c r="P2" s="33" t="s">
        <v>9</v>
      </c>
      <c r="Q2" s="370" t="str">
        <f>【データ入力】!H2</f>
        <v>2018年度</v>
      </c>
      <c r="R2" s="370"/>
      <c r="S2" s="370"/>
      <c r="U2" s="33" t="s">
        <v>10</v>
      </c>
      <c r="V2" s="371" t="str">
        <f>【データ入力】!E2</f>
        <v>2018年度</v>
      </c>
      <c r="W2" s="371"/>
      <c r="X2" s="371"/>
      <c r="Y2" s="32"/>
      <c r="Z2" s="8"/>
      <c r="AA2" s="8"/>
      <c r="AB2" s="8"/>
    </row>
    <row r="3" spans="3:37" ht="30" customHeight="1" x14ac:dyDescent="0.25">
      <c r="C3" s="34" t="s">
        <v>5</v>
      </c>
      <c r="D3" s="30"/>
      <c r="E3" s="30"/>
      <c r="F3" s="30"/>
      <c r="G3" s="30"/>
      <c r="H3" s="30"/>
      <c r="I3" s="30"/>
      <c r="J3" s="6"/>
      <c r="K3" s="30"/>
      <c r="AA3" s="319" t="s">
        <v>52</v>
      </c>
      <c r="AB3" s="319"/>
    </row>
    <row r="4" spans="3:37" ht="30" customHeight="1" x14ac:dyDescent="0.25">
      <c r="N4" s="320"/>
      <c r="O4" s="320"/>
      <c r="P4" s="320"/>
      <c r="Q4" s="357" t="s">
        <v>11</v>
      </c>
      <c r="R4" s="322"/>
      <c r="S4" s="357" t="s">
        <v>18</v>
      </c>
      <c r="T4" s="322"/>
      <c r="U4" s="357" t="s">
        <v>19</v>
      </c>
      <c r="V4" s="322"/>
      <c r="W4" s="321" t="s">
        <v>20</v>
      </c>
      <c r="X4" s="322"/>
      <c r="Y4" s="321" t="s">
        <v>2</v>
      </c>
      <c r="Z4" s="322"/>
      <c r="AA4" s="381" t="s">
        <v>31</v>
      </c>
      <c r="AB4" s="381"/>
    </row>
    <row r="5" spans="3:37" ht="42" customHeight="1" x14ac:dyDescent="0.25">
      <c r="N5" s="372" t="s">
        <v>4</v>
      </c>
      <c r="O5" s="78">
        <v>2015</v>
      </c>
      <c r="P5" s="75" t="s">
        <v>1</v>
      </c>
      <c r="Q5" s="327">
        <f>【データ入力】!O25</f>
        <v>1486.6294792600002</v>
      </c>
      <c r="R5" s="332"/>
      <c r="S5" s="327">
        <f>【データ入力】!P25</f>
        <v>1559.1618152599999</v>
      </c>
      <c r="T5" s="332"/>
      <c r="U5" s="327">
        <f>【データ入力】!Q25</f>
        <v>1576.21216226</v>
      </c>
      <c r="V5" s="332"/>
      <c r="W5" s="327">
        <f>【データ入力】!R25</f>
        <v>1539.15928564</v>
      </c>
      <c r="X5" s="327"/>
      <c r="Y5" s="327">
        <f>【データ入力】!U25</f>
        <v>6161.1627424199996</v>
      </c>
      <c r="Z5" s="327"/>
      <c r="AA5" s="375" t="e">
        <f>【データ入力】!U25/【データ入力】!#REF!</f>
        <v>#REF!</v>
      </c>
      <c r="AB5" s="376"/>
    </row>
    <row r="6" spans="3:37" ht="42" customHeight="1" x14ac:dyDescent="0.25">
      <c r="N6" s="372"/>
      <c r="O6" s="373">
        <v>2016</v>
      </c>
      <c r="P6" s="74" t="s">
        <v>0</v>
      </c>
      <c r="Q6" s="330">
        <f>【データ入力】!O33</f>
        <v>1512.034548048</v>
      </c>
      <c r="R6" s="331"/>
      <c r="S6" s="330">
        <f>【データ入力】!P33</f>
        <v>1686.0280357557799</v>
      </c>
      <c r="T6" s="331"/>
      <c r="U6" s="330">
        <f>【データ入力】!Q33</f>
        <v>1860.8453953699998</v>
      </c>
      <c r="V6" s="331"/>
      <c r="W6" s="330">
        <f>【データ入力】!R33</f>
        <v>1781.4062327899996</v>
      </c>
      <c r="X6" s="331"/>
      <c r="Y6" s="382">
        <f>【データ入力】!U33</f>
        <v>6840.3142119637796</v>
      </c>
      <c r="Z6" s="383"/>
      <c r="AA6" s="377"/>
      <c r="AB6" s="378"/>
    </row>
    <row r="7" spans="3:37" ht="42" customHeight="1" x14ac:dyDescent="0.25">
      <c r="N7" s="372"/>
      <c r="O7" s="374"/>
      <c r="P7" s="76" t="s">
        <v>53</v>
      </c>
      <c r="Q7" s="358">
        <f>Q6/Q5</f>
        <v>1.0170890387567491</v>
      </c>
      <c r="R7" s="359"/>
      <c r="S7" s="362">
        <f>SUM(【データ入力】!F33:H33)</f>
        <v>1686.0280357557799</v>
      </c>
      <c r="T7" s="363"/>
      <c r="U7" s="362">
        <f>SUM(【データ入力】!I33:K33)</f>
        <v>1860.8453953699998</v>
      </c>
      <c r="V7" s="363"/>
      <c r="W7" s="362">
        <f>SUM(【データ入力】!L33:N33)</f>
        <v>1781.4062327899996</v>
      </c>
      <c r="X7" s="362"/>
      <c r="Y7" s="362">
        <f>【データ入力】!U33</f>
        <v>6840.3142119637796</v>
      </c>
      <c r="Z7" s="362"/>
      <c r="AA7" s="379"/>
      <c r="AB7" s="380"/>
    </row>
    <row r="8" spans="3:37" ht="39" customHeight="1" x14ac:dyDescent="0.25">
      <c r="N8" s="356" t="s">
        <v>3</v>
      </c>
      <c r="O8" s="79">
        <v>2015</v>
      </c>
      <c r="P8" s="77" t="s">
        <v>1</v>
      </c>
      <c r="Q8" s="324">
        <f>【データ入力】!O26</f>
        <v>240.19171885394752</v>
      </c>
      <c r="R8" s="325"/>
      <c r="S8" s="326">
        <f>【データ入力】!P26</f>
        <v>304.9290904455375</v>
      </c>
      <c r="T8" s="326"/>
      <c r="U8" s="324">
        <f>【データ入力】!Q26</f>
        <v>318.3005239274566</v>
      </c>
      <c r="V8" s="325"/>
      <c r="W8" s="324">
        <f>【データ入力】!R26</f>
        <v>311.79217582737567</v>
      </c>
      <c r="X8" s="325"/>
      <c r="Y8" s="324">
        <f>【データ入力】!U26</f>
        <v>1175.2135090543172</v>
      </c>
      <c r="Z8" s="325"/>
      <c r="AA8" s="364" t="e">
        <f>【データ入力】!U26/【データ入力】!#REF!</f>
        <v>#REF!</v>
      </c>
      <c r="AB8" s="365"/>
    </row>
    <row r="9" spans="3:37" ht="39" customHeight="1" x14ac:dyDescent="0.25">
      <c r="N9" s="356"/>
      <c r="O9" s="360">
        <v>2016</v>
      </c>
      <c r="P9" s="80" t="s">
        <v>0</v>
      </c>
      <c r="Q9" s="328">
        <f>【データ入力】!O34</f>
        <v>239.83350921915138</v>
      </c>
      <c r="R9" s="329"/>
      <c r="S9" s="328">
        <f>【データ入力】!P34</f>
        <v>301.1818845559942</v>
      </c>
      <c r="T9" s="328"/>
      <c r="U9" s="328">
        <f>【データ入力】!Q34</f>
        <v>379.86336534268037</v>
      </c>
      <c r="V9" s="329"/>
      <c r="W9" s="328">
        <f>【データ入力】!R34</f>
        <v>356.56904436170191</v>
      </c>
      <c r="X9" s="329"/>
      <c r="Y9" s="328">
        <f>【データ入力】!U34</f>
        <v>1277.4478034795279</v>
      </c>
      <c r="Z9" s="329"/>
      <c r="AA9" s="366"/>
      <c r="AB9" s="367"/>
    </row>
    <row r="10" spans="3:37" ht="39" customHeight="1" x14ac:dyDescent="0.25">
      <c r="N10" s="356"/>
      <c r="O10" s="361"/>
      <c r="P10" s="81" t="s">
        <v>53</v>
      </c>
      <c r="Q10" s="323">
        <f>Q9/Q8</f>
        <v>0.99850865118703802</v>
      </c>
      <c r="R10" s="323"/>
      <c r="S10" s="323">
        <f>S9/S8</f>
        <v>0.98771122202847816</v>
      </c>
      <c r="T10" s="323"/>
      <c r="U10" s="323">
        <f>U9/U8</f>
        <v>1.1934110590067846</v>
      </c>
      <c r="V10" s="323"/>
      <c r="W10" s="323">
        <f>W9/W8</f>
        <v>1.1436112641874536</v>
      </c>
      <c r="X10" s="323"/>
      <c r="Y10" s="323">
        <f>Y9/Y8</f>
        <v>1.086992102828598</v>
      </c>
      <c r="Z10" s="323"/>
      <c r="AA10" s="368"/>
      <c r="AB10" s="369"/>
    </row>
    <row r="11" spans="3:37" ht="39" customHeight="1" x14ac:dyDescent="0.25">
      <c r="N11" s="314" t="s">
        <v>21</v>
      </c>
      <c r="O11" s="84">
        <v>2015</v>
      </c>
      <c r="P11" s="85" t="s">
        <v>1</v>
      </c>
      <c r="Q11" s="315">
        <f>Q8/Q5</f>
        <v>0.16156797790227315</v>
      </c>
      <c r="R11" s="316"/>
      <c r="S11" s="315">
        <f>S8/S5</f>
        <v>0.19557244633693693</v>
      </c>
      <c r="T11" s="316"/>
      <c r="U11" s="315">
        <f>U8/U5</f>
        <v>0.20194015218806069</v>
      </c>
      <c r="V11" s="316"/>
      <c r="W11" s="315">
        <f>W8/W5</f>
        <v>0.20257304018909839</v>
      </c>
      <c r="X11" s="316"/>
      <c r="Y11" s="315">
        <f>Y8/Y5</f>
        <v>0.19074540929797179</v>
      </c>
      <c r="Z11" s="316"/>
      <c r="AA11" s="334"/>
      <c r="AB11" s="334"/>
    </row>
    <row r="12" spans="3:37" ht="39" customHeight="1" x14ac:dyDescent="0.25">
      <c r="N12" s="314"/>
      <c r="O12" s="82">
        <v>2016</v>
      </c>
      <c r="P12" s="83" t="s">
        <v>0</v>
      </c>
      <c r="Q12" s="317">
        <f>Q9/Q6</f>
        <v>0.158616421515481</v>
      </c>
      <c r="R12" s="318"/>
      <c r="S12" s="317">
        <f>S9/S6</f>
        <v>0.1786339717779285</v>
      </c>
      <c r="T12" s="318"/>
      <c r="U12" s="317">
        <f>U9/U6</f>
        <v>0.2041348337093585</v>
      </c>
      <c r="V12" s="318"/>
      <c r="W12" s="317">
        <f>W9/W6</f>
        <v>0.20016155652675091</v>
      </c>
      <c r="X12" s="318"/>
      <c r="Y12" s="317">
        <f>Y9/Y6</f>
        <v>0.18675279583579049</v>
      </c>
      <c r="Z12" s="318"/>
      <c r="AA12" s="334"/>
      <c r="AB12" s="334"/>
    </row>
    <row r="13" spans="3:37" ht="12" customHeight="1" x14ac:dyDescent="0.25">
      <c r="O13" s="31"/>
      <c r="AI13" s="3"/>
      <c r="AJ13" s="3"/>
      <c r="AK13" s="3"/>
    </row>
    <row r="14" spans="3:37" ht="30" customHeight="1" x14ac:dyDescent="0.25">
      <c r="N14" s="35" t="s">
        <v>54</v>
      </c>
      <c r="S14" s="72" t="s">
        <v>29</v>
      </c>
      <c r="T14" s="71"/>
      <c r="U14" s="35" t="s">
        <v>22</v>
      </c>
      <c r="Z14" s="58"/>
      <c r="AA14" s="336" t="s">
        <v>29</v>
      </c>
      <c r="AB14" s="336"/>
      <c r="AE14" s="3"/>
      <c r="AI14" s="3"/>
      <c r="AJ14" s="4"/>
      <c r="AK14" s="3"/>
    </row>
    <row r="15" spans="3:37" ht="30" customHeight="1" x14ac:dyDescent="0.15">
      <c r="N15" s="337" t="s">
        <v>44</v>
      </c>
      <c r="O15" s="337"/>
      <c r="P15" s="341" t="s">
        <v>23</v>
      </c>
      <c r="Q15" s="341"/>
      <c r="R15" s="342" t="s">
        <v>24</v>
      </c>
      <c r="S15" s="342"/>
      <c r="U15" s="335" t="s">
        <v>25</v>
      </c>
      <c r="V15" s="335"/>
      <c r="W15" s="335"/>
      <c r="X15" s="335"/>
      <c r="Y15" s="333"/>
      <c r="Z15" s="333"/>
      <c r="AA15" s="333"/>
      <c r="AB15" s="333"/>
      <c r="AE15" s="3"/>
      <c r="AI15" s="3"/>
      <c r="AJ15" s="4"/>
      <c r="AK15" s="3"/>
    </row>
    <row r="16" spans="3:37" ht="30" customHeight="1" x14ac:dyDescent="0.25">
      <c r="N16" s="338" t="s">
        <v>45</v>
      </c>
      <c r="O16" s="338"/>
      <c r="P16" s="343" t="s">
        <v>56</v>
      </c>
      <c r="Q16" s="343"/>
      <c r="R16" s="343" t="s">
        <v>57</v>
      </c>
      <c r="S16" s="343"/>
      <c r="T16" s="62"/>
      <c r="U16" s="335" t="s">
        <v>26</v>
      </c>
      <c r="V16" s="335"/>
      <c r="W16" s="335"/>
      <c r="X16" s="335"/>
      <c r="Y16" s="333"/>
      <c r="Z16" s="333"/>
      <c r="AA16" s="333"/>
      <c r="AB16" s="333"/>
      <c r="AE16" s="3"/>
      <c r="AI16" s="3"/>
      <c r="AJ16" s="4"/>
      <c r="AK16" s="3"/>
    </row>
    <row r="17" spans="2:39" ht="30" customHeight="1" x14ac:dyDescent="0.25">
      <c r="N17" s="351" t="s">
        <v>46</v>
      </c>
      <c r="O17" s="351"/>
      <c r="P17" s="343"/>
      <c r="Q17" s="343"/>
      <c r="R17" s="343"/>
      <c r="S17" s="343"/>
      <c r="U17" s="335" t="s">
        <v>27</v>
      </c>
      <c r="V17" s="335"/>
      <c r="W17" s="335"/>
      <c r="X17" s="335"/>
      <c r="Y17" s="333"/>
      <c r="Z17" s="333"/>
      <c r="AA17" s="333"/>
      <c r="AB17" s="333"/>
      <c r="AE17" s="3"/>
      <c r="AI17" s="3"/>
      <c r="AJ17" s="4"/>
      <c r="AK17" s="3"/>
    </row>
    <row r="18" spans="2:39" ht="30" customHeight="1" x14ac:dyDescent="0.25">
      <c r="N18" s="352" t="s">
        <v>47</v>
      </c>
      <c r="O18" s="352"/>
      <c r="P18" s="344"/>
      <c r="Q18" s="344"/>
      <c r="R18" s="344"/>
      <c r="S18" s="344"/>
      <c r="U18" s="349" t="s">
        <v>28</v>
      </c>
      <c r="V18" s="349"/>
      <c r="W18" s="349"/>
      <c r="X18" s="349"/>
      <c r="Y18" s="347"/>
      <c r="Z18" s="347"/>
      <c r="AA18" s="347"/>
      <c r="AB18" s="347"/>
      <c r="AE18" s="3"/>
      <c r="AI18" s="3"/>
      <c r="AJ18" s="4"/>
      <c r="AK18" s="3"/>
    </row>
    <row r="19" spans="2:39" ht="30" customHeight="1" x14ac:dyDescent="0.25">
      <c r="N19" s="348" t="s">
        <v>48</v>
      </c>
      <c r="O19" s="348"/>
      <c r="P19" s="350"/>
      <c r="Q19" s="350"/>
      <c r="R19" s="350"/>
      <c r="S19" s="350"/>
      <c r="T19" s="63"/>
      <c r="U19" s="346" t="s">
        <v>8</v>
      </c>
      <c r="V19" s="346"/>
      <c r="W19" s="346"/>
      <c r="X19" s="346"/>
      <c r="Y19" s="345">
        <f>SUM(Y15:AB18)</f>
        <v>0</v>
      </c>
      <c r="Z19" s="345"/>
      <c r="AA19" s="345"/>
      <c r="AB19" s="345"/>
      <c r="AC19" s="64"/>
      <c r="AD19" s="64"/>
      <c r="AE19" s="64"/>
      <c r="AF19" s="64"/>
      <c r="AI19" s="3"/>
      <c r="AJ19" s="4"/>
      <c r="AK19" s="3"/>
    </row>
    <row r="20" spans="2:39" ht="30" customHeight="1" thickBot="1" x14ac:dyDescent="0.3">
      <c r="B20" s="2"/>
      <c r="U20" s="55"/>
      <c r="V20" s="55"/>
      <c r="W20" s="56"/>
      <c r="X20" s="56"/>
      <c r="Y20" s="57"/>
      <c r="Z20" s="57"/>
      <c r="AA20" s="57"/>
      <c r="AB20" s="57"/>
      <c r="AI20" s="3"/>
      <c r="AJ20" s="3"/>
      <c r="AK20" s="3"/>
    </row>
    <row r="21" spans="2:39" s="39" customFormat="1" ht="30" customHeight="1" thickTop="1" x14ac:dyDescent="0.25">
      <c r="B21" s="37"/>
      <c r="C21" s="36" t="s">
        <v>16</v>
      </c>
      <c r="D21" s="339" t="str">
        <f>【データ入力】!H2</f>
        <v>2018年度</v>
      </c>
      <c r="E21" s="339"/>
      <c r="F21" s="339"/>
      <c r="G21" s="339"/>
      <c r="H21" s="88" t="s">
        <v>30</v>
      </c>
      <c r="I21" s="36"/>
      <c r="J21" s="36"/>
      <c r="K21" s="36"/>
      <c r="L21" s="36"/>
      <c r="M21" s="36"/>
      <c r="N21" s="36"/>
      <c r="O21" s="69"/>
      <c r="P21" s="86" t="s">
        <v>17</v>
      </c>
      <c r="Q21" s="340" t="str">
        <f>【データ入力】!E2</f>
        <v>2018年度</v>
      </c>
      <c r="R21" s="340"/>
      <c r="S21" s="340"/>
      <c r="T21" s="340"/>
      <c r="U21" s="36" t="s">
        <v>55</v>
      </c>
      <c r="V21" s="36"/>
      <c r="W21" s="36"/>
      <c r="X21" s="36"/>
      <c r="Y21" s="36"/>
      <c r="Z21" s="36"/>
      <c r="AA21" s="36"/>
      <c r="AB21" s="38"/>
    </row>
    <row r="22" spans="2:39" ht="24" customHeight="1" x14ac:dyDescent="0.25"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66"/>
      <c r="P22" s="44"/>
      <c r="Q22" s="41"/>
      <c r="R22" s="41"/>
      <c r="S22" s="44"/>
      <c r="T22" s="41"/>
      <c r="U22" s="41"/>
      <c r="V22" s="41"/>
      <c r="W22" s="41"/>
      <c r="X22" s="41"/>
      <c r="Y22" s="41"/>
      <c r="Z22" s="41"/>
      <c r="AA22" s="41"/>
      <c r="AB22" s="52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2:39" ht="24" customHeight="1" x14ac:dyDescent="0.25">
      <c r="B23" s="42"/>
      <c r="C23" s="43"/>
      <c r="D23" s="44"/>
      <c r="E23" s="45"/>
      <c r="F23" s="43"/>
      <c r="G23" s="45"/>
      <c r="H23" s="45"/>
      <c r="I23" s="45"/>
      <c r="J23" s="41"/>
      <c r="K23" s="44"/>
      <c r="L23" s="44"/>
      <c r="M23" s="41"/>
      <c r="N23" s="41"/>
      <c r="O23" s="67"/>
      <c r="P23" s="41"/>
      <c r="Q23" s="41"/>
      <c r="R23" s="41"/>
      <c r="S23" s="44"/>
      <c r="T23" s="41"/>
      <c r="U23" s="41"/>
      <c r="V23" s="41"/>
      <c r="W23" s="41"/>
      <c r="X23" s="41"/>
      <c r="Y23" s="41"/>
      <c r="Z23" s="41"/>
      <c r="AA23" s="41"/>
      <c r="AB23" s="52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2:39" ht="24" customHeight="1" x14ac:dyDescent="0.25">
      <c r="B24" s="40"/>
      <c r="C24" s="41"/>
      <c r="D24" s="44"/>
      <c r="E24" s="45"/>
      <c r="F24" s="43"/>
      <c r="G24" s="45"/>
      <c r="H24" s="45"/>
      <c r="I24" s="45"/>
      <c r="J24" s="46"/>
      <c r="K24" s="44"/>
      <c r="L24" s="44"/>
      <c r="M24" s="41"/>
      <c r="N24" s="41"/>
      <c r="O24" s="67"/>
      <c r="P24" s="44"/>
      <c r="Q24" s="41"/>
      <c r="R24" s="41"/>
      <c r="S24" s="44"/>
      <c r="T24" s="53"/>
      <c r="U24" s="41"/>
      <c r="V24" s="41"/>
      <c r="W24" s="41"/>
      <c r="X24" s="41"/>
      <c r="Y24" s="41"/>
      <c r="Z24" s="41"/>
      <c r="AA24" s="41"/>
      <c r="AB24" s="52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2:39" ht="24" customHeight="1" x14ac:dyDescent="0.25">
      <c r="B25" s="40"/>
      <c r="C25" s="41"/>
      <c r="D25" s="44"/>
      <c r="E25" s="45"/>
      <c r="F25" s="43"/>
      <c r="G25" s="45"/>
      <c r="H25" s="45"/>
      <c r="I25" s="45"/>
      <c r="J25" s="41"/>
      <c r="K25" s="44"/>
      <c r="L25" s="44"/>
      <c r="M25" s="41"/>
      <c r="N25" s="41"/>
      <c r="O25" s="67"/>
      <c r="P25" s="44"/>
      <c r="Q25" s="41"/>
      <c r="R25" s="41"/>
      <c r="S25" s="44"/>
      <c r="T25" s="41"/>
      <c r="U25" s="41"/>
      <c r="V25" s="41"/>
      <c r="W25" s="41"/>
      <c r="X25" s="41"/>
      <c r="Y25" s="41"/>
      <c r="Z25" s="41"/>
      <c r="AA25" s="41"/>
      <c r="AB25" s="52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2:39" ht="24" customHeight="1" x14ac:dyDescent="0.25">
      <c r="B26" s="40"/>
      <c r="C26" s="41"/>
      <c r="D26" s="44"/>
      <c r="E26" s="45"/>
      <c r="F26" s="45"/>
      <c r="G26" s="45"/>
      <c r="H26" s="45"/>
      <c r="I26" s="45"/>
      <c r="J26" s="41"/>
      <c r="K26" s="44"/>
      <c r="L26" s="44"/>
      <c r="M26" s="41"/>
      <c r="N26" s="41"/>
      <c r="O26" s="67"/>
      <c r="P26" s="65"/>
      <c r="Q26" s="41"/>
      <c r="R26" s="41"/>
      <c r="S26" s="44"/>
      <c r="T26" s="41"/>
      <c r="U26" s="41"/>
      <c r="V26" s="41"/>
      <c r="W26" s="41"/>
      <c r="X26" s="41"/>
      <c r="Y26" s="41"/>
      <c r="Z26" s="41"/>
      <c r="AA26" s="41"/>
      <c r="AB26" s="52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2:39" ht="24" customHeight="1" x14ac:dyDescent="0.25">
      <c r="B27" s="40"/>
      <c r="C27" s="41"/>
      <c r="D27" s="44"/>
      <c r="E27" s="45"/>
      <c r="F27" s="45"/>
      <c r="G27" s="45"/>
      <c r="H27" s="45"/>
      <c r="I27" s="45"/>
      <c r="J27" s="41"/>
      <c r="K27" s="44"/>
      <c r="L27" s="44"/>
      <c r="M27" s="41"/>
      <c r="N27" s="41"/>
      <c r="O27" s="67"/>
      <c r="P27" s="65"/>
      <c r="Q27" s="54"/>
      <c r="R27" s="54"/>
      <c r="S27" s="44"/>
      <c r="T27" s="54"/>
      <c r="U27" s="54"/>
      <c r="V27" s="54"/>
      <c r="W27" s="54"/>
      <c r="X27" s="54"/>
      <c r="Y27" s="54"/>
      <c r="Z27" s="54"/>
      <c r="AA27" s="54"/>
      <c r="AB27" s="52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2:39" ht="24" customHeight="1" x14ac:dyDescent="0.25">
      <c r="B28" s="40"/>
      <c r="C28" s="46"/>
      <c r="D28" s="46"/>
      <c r="E28" s="46"/>
      <c r="F28" s="46"/>
      <c r="G28" s="46"/>
      <c r="H28" s="46"/>
      <c r="I28" s="46"/>
      <c r="J28" s="46"/>
      <c r="K28" s="41"/>
      <c r="L28" s="47"/>
      <c r="M28" s="41"/>
      <c r="N28" s="41"/>
      <c r="O28" s="67"/>
      <c r="P28" s="65"/>
      <c r="Q28" s="54"/>
      <c r="R28" s="44"/>
      <c r="S28" s="44"/>
      <c r="T28" s="54"/>
      <c r="U28" s="54"/>
      <c r="V28" s="54"/>
      <c r="W28" s="54"/>
      <c r="X28" s="54"/>
      <c r="Y28" s="54"/>
      <c r="Z28" s="54"/>
      <c r="AA28" s="54"/>
      <c r="AB28" s="52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24" customHeight="1" x14ac:dyDescent="0.25">
      <c r="B29" s="40"/>
      <c r="C29" s="46"/>
      <c r="D29" s="46"/>
      <c r="E29" s="46"/>
      <c r="F29" s="46"/>
      <c r="G29" s="46"/>
      <c r="H29" s="46"/>
      <c r="I29" s="46"/>
      <c r="J29" s="46"/>
      <c r="K29" s="41"/>
      <c r="L29" s="47"/>
      <c r="M29" s="41"/>
      <c r="N29" s="41"/>
      <c r="O29" s="67"/>
      <c r="P29" s="44"/>
      <c r="Q29" s="54"/>
      <c r="R29" s="44"/>
      <c r="S29" s="44"/>
      <c r="T29" s="54"/>
      <c r="U29" s="54"/>
      <c r="V29" s="54"/>
      <c r="W29" s="54"/>
      <c r="X29" s="54"/>
      <c r="Y29" s="54"/>
      <c r="Z29" s="54"/>
      <c r="AA29" s="54"/>
      <c r="AB29" s="52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24" customHeight="1" thickBot="1" x14ac:dyDescent="0.3">
      <c r="B30" s="48"/>
      <c r="C30" s="50"/>
      <c r="D30" s="49"/>
      <c r="E30" s="49"/>
      <c r="F30" s="49"/>
      <c r="G30" s="49"/>
      <c r="H30" s="49"/>
      <c r="I30" s="49"/>
      <c r="J30" s="49"/>
      <c r="K30" s="50"/>
      <c r="L30" s="51"/>
      <c r="M30" s="50"/>
      <c r="N30" s="50"/>
      <c r="O30" s="68"/>
      <c r="P30" s="49"/>
      <c r="Q30" s="59"/>
      <c r="R30" s="60"/>
      <c r="S30" s="60"/>
      <c r="T30" s="59"/>
      <c r="U30" s="59"/>
      <c r="V30" s="59"/>
      <c r="W30" s="59"/>
      <c r="X30" s="59"/>
      <c r="Y30" s="59"/>
      <c r="Z30" s="59"/>
      <c r="AA30" s="59"/>
      <c r="AB30" s="61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Top="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4" spans="2:2" ht="15" customHeight="1" x14ac:dyDescent="0.25">
      <c r="B34" s="6"/>
    </row>
    <row r="35" spans="2:2" ht="15" customHeight="1" x14ac:dyDescent="0.25">
      <c r="B35" s="6"/>
    </row>
    <row r="68" spans="15:15" s="7" customFormat="1" ht="15" customHeight="1" x14ac:dyDescent="0.25">
      <c r="O68" s="70"/>
    </row>
    <row r="69" spans="15:15" s="7" customFormat="1" ht="15" customHeight="1" x14ac:dyDescent="0.25">
      <c r="O69" s="70"/>
    </row>
    <row r="70" spans="15:15" s="7" customFormat="1" ht="15" customHeight="1" x14ac:dyDescent="0.25">
      <c r="O70" s="70"/>
    </row>
    <row r="77" spans="15:15" s="7" customFormat="1" ht="15" customHeight="1" x14ac:dyDescent="0.25">
      <c r="O77" s="70"/>
    </row>
  </sheetData>
  <mergeCells count="87">
    <mergeCell ref="AA8:AB8"/>
    <mergeCell ref="AA9:AB10"/>
    <mergeCell ref="Q2:S2"/>
    <mergeCell ref="V2:X2"/>
    <mergeCell ref="N5:N7"/>
    <mergeCell ref="O6:O7"/>
    <mergeCell ref="AA5:AB5"/>
    <mergeCell ref="AA6:AB7"/>
    <mergeCell ref="AA4:AB4"/>
    <mergeCell ref="W7:X7"/>
    <mergeCell ref="W6:X6"/>
    <mergeCell ref="W5:X5"/>
    <mergeCell ref="Y6:Z6"/>
    <mergeCell ref="W4:X4"/>
    <mergeCell ref="Y7:Z7"/>
    <mergeCell ref="W8:X8"/>
    <mergeCell ref="C2:M2"/>
    <mergeCell ref="N8:N10"/>
    <mergeCell ref="S6:T6"/>
    <mergeCell ref="U6:V6"/>
    <mergeCell ref="S4:T4"/>
    <mergeCell ref="Q7:R7"/>
    <mergeCell ref="O9:O10"/>
    <mergeCell ref="Q4:R4"/>
    <mergeCell ref="U9:V9"/>
    <mergeCell ref="S7:T7"/>
    <mergeCell ref="U4:V4"/>
    <mergeCell ref="U7:V7"/>
    <mergeCell ref="Q10:R10"/>
    <mergeCell ref="Q5:R5"/>
    <mergeCell ref="S5:T5"/>
    <mergeCell ref="Y19:AB19"/>
    <mergeCell ref="Y16:AB16"/>
    <mergeCell ref="U19:X19"/>
    <mergeCell ref="Y18:AB18"/>
    <mergeCell ref="N19:O19"/>
    <mergeCell ref="U16:X16"/>
    <mergeCell ref="U17:X17"/>
    <mergeCell ref="U18:X18"/>
    <mergeCell ref="P19:Q19"/>
    <mergeCell ref="R19:S19"/>
    <mergeCell ref="P16:Q17"/>
    <mergeCell ref="N17:O17"/>
    <mergeCell ref="N18:O18"/>
    <mergeCell ref="P18:Q18"/>
    <mergeCell ref="N15:O15"/>
    <mergeCell ref="N16:O16"/>
    <mergeCell ref="D21:G21"/>
    <mergeCell ref="Q21:T21"/>
    <mergeCell ref="P15:Q15"/>
    <mergeCell ref="R15:S15"/>
    <mergeCell ref="R16:S17"/>
    <mergeCell ref="R18:S18"/>
    <mergeCell ref="Y12:Z12"/>
    <mergeCell ref="W10:X10"/>
    <mergeCell ref="Y10:Z10"/>
    <mergeCell ref="Y9:Z9"/>
    <mergeCell ref="Y17:AB17"/>
    <mergeCell ref="W9:X9"/>
    <mergeCell ref="W12:X12"/>
    <mergeCell ref="AA11:AB12"/>
    <mergeCell ref="U15:X15"/>
    <mergeCell ref="Y15:AB15"/>
    <mergeCell ref="AA14:AB14"/>
    <mergeCell ref="Y5:Z5"/>
    <mergeCell ref="Q9:R9"/>
    <mergeCell ref="S9:T9"/>
    <mergeCell ref="Y8:Z8"/>
    <mergeCell ref="Q6:R6"/>
    <mergeCell ref="U8:V8"/>
    <mergeCell ref="U5:V5"/>
    <mergeCell ref="N11:N12"/>
    <mergeCell ref="Q11:R11"/>
    <mergeCell ref="Q12:R12"/>
    <mergeCell ref="AA3:AB3"/>
    <mergeCell ref="N4:P4"/>
    <mergeCell ref="W11:X11"/>
    <mergeCell ref="Y11:Z11"/>
    <mergeCell ref="Y4:Z4"/>
    <mergeCell ref="U12:V12"/>
    <mergeCell ref="U10:V10"/>
    <mergeCell ref="S11:T11"/>
    <mergeCell ref="Q8:R8"/>
    <mergeCell ref="S8:T8"/>
    <mergeCell ref="S12:T12"/>
    <mergeCell ref="S10:T10"/>
    <mergeCell ref="U11:V11"/>
  </mergeCells>
  <phoneticPr fontId="2"/>
  <printOptions horizontalCentered="1" verticalCentered="1"/>
  <pageMargins left="0.19685039370078741" right="0.19685039370078741" top="0.39370078740157483" bottom="0.19685039370078741" header="0" footer="0"/>
  <pageSetup paperSize="9" scale="65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73"/>
  <sheetViews>
    <sheetView view="pageBreakPreview" zoomScale="60" zoomScaleNormal="75" workbookViewId="0">
      <selection activeCell="L20" sqref="L20"/>
    </sheetView>
  </sheetViews>
  <sheetFormatPr defaultColWidth="13" defaultRowHeight="15" customHeight="1" x14ac:dyDescent="0.25"/>
  <cols>
    <col min="1" max="1" width="4.42578125" style="1" customWidth="1"/>
    <col min="2" max="2" width="2.140625" style="1" customWidth="1"/>
    <col min="3" max="12" width="6.42578125" style="1" customWidth="1"/>
    <col min="13" max="13" width="6" style="1" customWidth="1"/>
    <col min="14" max="14" width="13.140625" style="1" customWidth="1"/>
    <col min="15" max="15" width="12.42578125" style="1" customWidth="1"/>
    <col min="16" max="16" width="10.140625" style="1" customWidth="1"/>
    <col min="17" max="24" width="8.7109375" style="1" customWidth="1"/>
    <col min="25" max="26" width="9.140625" style="1" customWidth="1"/>
    <col min="27" max="27" width="6.42578125" style="1" customWidth="1"/>
    <col min="28" max="28" width="13.28515625" style="1" customWidth="1"/>
    <col min="29" max="34" width="5.85546875" style="1" customWidth="1"/>
    <col min="35" max="16384" width="13" style="1"/>
  </cols>
  <sheetData>
    <row r="1" spans="2:39" ht="19.5" customHeight="1" thickBot="1" x14ac:dyDescent="0.3"/>
    <row r="2" spans="2:39" ht="30" customHeight="1" thickBot="1" x14ac:dyDescent="0.3">
      <c r="C2" s="353" t="s">
        <v>49</v>
      </c>
      <c r="D2" s="354"/>
      <c r="E2" s="354"/>
      <c r="F2" s="354"/>
      <c r="G2" s="354"/>
      <c r="H2" s="354"/>
      <c r="I2" s="354"/>
      <c r="J2" s="354"/>
      <c r="K2" s="354"/>
      <c r="L2" s="354"/>
      <c r="M2" s="355"/>
      <c r="P2" s="33" t="s">
        <v>9</v>
      </c>
      <c r="Q2" s="370" t="str">
        <f>【データ入力】!H2</f>
        <v>2018年度</v>
      </c>
      <c r="R2" s="370"/>
      <c r="S2" s="370"/>
      <c r="U2" s="33" t="s">
        <v>10</v>
      </c>
      <c r="V2" s="371" t="str">
        <f>【データ入力】!E2</f>
        <v>2018年度</v>
      </c>
      <c r="W2" s="371"/>
      <c r="X2" s="371"/>
      <c r="Y2" s="32"/>
      <c r="Z2" s="8"/>
      <c r="AA2" s="8"/>
      <c r="AB2" s="8"/>
    </row>
    <row r="3" spans="2:39" ht="30" customHeight="1" x14ac:dyDescent="0.25">
      <c r="C3" s="34" t="s">
        <v>5</v>
      </c>
      <c r="D3" s="30"/>
      <c r="E3" s="30"/>
      <c r="F3" s="30"/>
      <c r="G3" s="30"/>
      <c r="H3" s="30"/>
      <c r="I3" s="30"/>
      <c r="J3" s="6"/>
      <c r="K3" s="30"/>
      <c r="AA3" s="319" t="s">
        <v>52</v>
      </c>
      <c r="AB3" s="319"/>
    </row>
    <row r="4" spans="2:39" ht="30" customHeight="1" x14ac:dyDescent="0.25">
      <c r="N4" s="320"/>
      <c r="O4" s="320"/>
      <c r="P4" s="320"/>
      <c r="Q4" s="357" t="s">
        <v>11</v>
      </c>
      <c r="R4" s="322"/>
      <c r="S4" s="357" t="s">
        <v>18</v>
      </c>
      <c r="T4" s="322"/>
      <c r="U4" s="357" t="s">
        <v>19</v>
      </c>
      <c r="V4" s="322"/>
      <c r="W4" s="321" t="s">
        <v>20</v>
      </c>
      <c r="X4" s="322"/>
      <c r="Y4" s="321" t="s">
        <v>2</v>
      </c>
      <c r="Z4" s="322"/>
      <c r="AA4" s="381" t="s">
        <v>31</v>
      </c>
      <c r="AB4" s="381"/>
    </row>
    <row r="5" spans="2:39" ht="42" customHeight="1" x14ac:dyDescent="0.25">
      <c r="N5" s="372" t="s">
        <v>4</v>
      </c>
      <c r="O5" s="78">
        <v>2015</v>
      </c>
      <c r="P5" s="75" t="s">
        <v>1</v>
      </c>
      <c r="Q5" s="327">
        <f>【データ入力】!O25</f>
        <v>1486.6294792600002</v>
      </c>
      <c r="R5" s="332"/>
      <c r="S5" s="327">
        <f>【データ入力】!P25</f>
        <v>1559.1618152599999</v>
      </c>
      <c r="T5" s="332"/>
      <c r="U5" s="327">
        <f>【データ入力】!Q25</f>
        <v>1576.21216226</v>
      </c>
      <c r="V5" s="332"/>
      <c r="W5" s="327">
        <f>【データ入力】!R25</f>
        <v>1539.15928564</v>
      </c>
      <c r="X5" s="327"/>
      <c r="Y5" s="327">
        <f>【データ入力】!U25</f>
        <v>6161.1627424199996</v>
      </c>
      <c r="Z5" s="327"/>
      <c r="AA5" s="375" t="e">
        <f>【データ入力】!U25/【データ入力】!#REF!</f>
        <v>#REF!</v>
      </c>
      <c r="AB5" s="376"/>
    </row>
    <row r="6" spans="2:39" ht="42" customHeight="1" x14ac:dyDescent="0.25">
      <c r="N6" s="372"/>
      <c r="O6" s="373">
        <v>2016</v>
      </c>
      <c r="P6" s="74" t="s">
        <v>0</v>
      </c>
      <c r="Q6" s="330">
        <f>【データ入力】!O33</f>
        <v>1512.034548048</v>
      </c>
      <c r="R6" s="331"/>
      <c r="S6" s="330">
        <f>【データ入力】!P33</f>
        <v>1686.0280357557799</v>
      </c>
      <c r="T6" s="331"/>
      <c r="U6" s="330">
        <f>【データ入力】!Q33</f>
        <v>1860.8453953699998</v>
      </c>
      <c r="V6" s="331"/>
      <c r="W6" s="330">
        <f>【データ入力】!R33</f>
        <v>1781.4062327899996</v>
      </c>
      <c r="X6" s="331"/>
      <c r="Y6" s="382">
        <f>【データ入力】!U33</f>
        <v>6840.3142119637796</v>
      </c>
      <c r="Z6" s="383"/>
      <c r="AA6" s="377"/>
      <c r="AB6" s="378"/>
    </row>
    <row r="7" spans="2:39" ht="42" customHeight="1" x14ac:dyDescent="0.25">
      <c r="N7" s="372"/>
      <c r="O7" s="374"/>
      <c r="P7" s="76" t="s">
        <v>53</v>
      </c>
      <c r="Q7" s="358">
        <f>Q6/Q5</f>
        <v>1.0170890387567491</v>
      </c>
      <c r="R7" s="359"/>
      <c r="S7" s="362">
        <f>SUM(【データ入力】!F33:H33)</f>
        <v>1686.0280357557799</v>
      </c>
      <c r="T7" s="363"/>
      <c r="U7" s="362">
        <f>SUM(【データ入力】!I33:K33)</f>
        <v>1860.8453953699998</v>
      </c>
      <c r="V7" s="363"/>
      <c r="W7" s="362">
        <f>SUM(【データ入力】!L33:N33)</f>
        <v>1781.4062327899996</v>
      </c>
      <c r="X7" s="362"/>
      <c r="Y7" s="362">
        <f>【データ入力】!U33</f>
        <v>6840.3142119637796</v>
      </c>
      <c r="Z7" s="362"/>
      <c r="AA7" s="379"/>
      <c r="AB7" s="380"/>
    </row>
    <row r="8" spans="2:39" ht="39" customHeight="1" x14ac:dyDescent="0.25">
      <c r="N8" s="356" t="s">
        <v>3</v>
      </c>
      <c r="O8" s="79">
        <v>2015</v>
      </c>
      <c r="P8" s="77" t="s">
        <v>1</v>
      </c>
      <c r="Q8" s="324">
        <f>【データ入力】!O26</f>
        <v>240.19171885394752</v>
      </c>
      <c r="R8" s="325"/>
      <c r="S8" s="326">
        <f>【データ入力】!P26</f>
        <v>304.9290904455375</v>
      </c>
      <c r="T8" s="326"/>
      <c r="U8" s="324">
        <f>【データ入力】!Q26</f>
        <v>318.3005239274566</v>
      </c>
      <c r="V8" s="325"/>
      <c r="W8" s="324">
        <f>【データ入力】!R26</f>
        <v>311.79217582737567</v>
      </c>
      <c r="X8" s="325"/>
      <c r="Y8" s="324">
        <f>【データ入力】!U26</f>
        <v>1175.2135090543172</v>
      </c>
      <c r="Z8" s="325"/>
      <c r="AA8" s="364" t="e">
        <f>【データ入力】!U26/【データ入力】!#REF!</f>
        <v>#REF!</v>
      </c>
      <c r="AB8" s="365"/>
    </row>
    <row r="9" spans="2:39" ht="39" customHeight="1" x14ac:dyDescent="0.25">
      <c r="N9" s="356"/>
      <c r="O9" s="360">
        <v>2016</v>
      </c>
      <c r="P9" s="80" t="s">
        <v>0</v>
      </c>
      <c r="Q9" s="328">
        <f>【データ入力】!O34</f>
        <v>239.83350921915138</v>
      </c>
      <c r="R9" s="329"/>
      <c r="S9" s="328">
        <f>【データ入力】!P34</f>
        <v>301.1818845559942</v>
      </c>
      <c r="T9" s="328"/>
      <c r="U9" s="328">
        <f>【データ入力】!Q34</f>
        <v>379.86336534268037</v>
      </c>
      <c r="V9" s="329"/>
      <c r="W9" s="328">
        <f>【データ入力】!R34</f>
        <v>356.56904436170191</v>
      </c>
      <c r="X9" s="329"/>
      <c r="Y9" s="328">
        <f>【データ入力】!U34</f>
        <v>1277.4478034795279</v>
      </c>
      <c r="Z9" s="329"/>
      <c r="AA9" s="366"/>
      <c r="AB9" s="367"/>
    </row>
    <row r="10" spans="2:39" ht="39" customHeight="1" x14ac:dyDescent="0.25">
      <c r="N10" s="356"/>
      <c r="O10" s="361"/>
      <c r="P10" s="81" t="s">
        <v>53</v>
      </c>
      <c r="Q10" s="323">
        <f>Q9/Q8</f>
        <v>0.99850865118703802</v>
      </c>
      <c r="R10" s="323"/>
      <c r="S10" s="323">
        <f>S9/S8</f>
        <v>0.98771122202847816</v>
      </c>
      <c r="T10" s="323"/>
      <c r="U10" s="323">
        <f>U9/U8</f>
        <v>1.1934110590067846</v>
      </c>
      <c r="V10" s="323"/>
      <c r="W10" s="323">
        <f>W9/W8</f>
        <v>1.1436112641874536</v>
      </c>
      <c r="X10" s="323"/>
      <c r="Y10" s="323">
        <f>Y9/Y8</f>
        <v>1.086992102828598</v>
      </c>
      <c r="Z10" s="323"/>
      <c r="AA10" s="368"/>
      <c r="AB10" s="369"/>
    </row>
    <row r="11" spans="2:39" ht="39" customHeight="1" x14ac:dyDescent="0.25">
      <c r="N11" s="314" t="s">
        <v>21</v>
      </c>
      <c r="O11" s="84">
        <v>2015</v>
      </c>
      <c r="P11" s="85" t="s">
        <v>1</v>
      </c>
      <c r="Q11" s="315">
        <f>Q8/Q5</f>
        <v>0.16156797790227315</v>
      </c>
      <c r="R11" s="316"/>
      <c r="S11" s="315">
        <f>S8/S5</f>
        <v>0.19557244633693693</v>
      </c>
      <c r="T11" s="316"/>
      <c r="U11" s="315">
        <f>U8/U5</f>
        <v>0.20194015218806069</v>
      </c>
      <c r="V11" s="316"/>
      <c r="W11" s="315">
        <f>W8/W5</f>
        <v>0.20257304018909839</v>
      </c>
      <c r="X11" s="316"/>
      <c r="Y11" s="315">
        <f>Y8/Y5</f>
        <v>0.19074540929797179</v>
      </c>
      <c r="Z11" s="316"/>
      <c r="AA11" s="334"/>
      <c r="AB11" s="334"/>
    </row>
    <row r="12" spans="2:39" ht="39" customHeight="1" x14ac:dyDescent="0.25">
      <c r="N12" s="314"/>
      <c r="O12" s="82">
        <v>2016</v>
      </c>
      <c r="P12" s="83" t="s">
        <v>0</v>
      </c>
      <c r="Q12" s="317">
        <f>Q9/Q6</f>
        <v>0.158616421515481</v>
      </c>
      <c r="R12" s="318"/>
      <c r="S12" s="317">
        <f>S9/S6</f>
        <v>0.1786339717779285</v>
      </c>
      <c r="T12" s="318"/>
      <c r="U12" s="317">
        <f>U9/U6</f>
        <v>0.2041348337093585</v>
      </c>
      <c r="V12" s="318"/>
      <c r="W12" s="317">
        <f>W9/W6</f>
        <v>0.20016155652675091</v>
      </c>
      <c r="X12" s="318"/>
      <c r="Y12" s="317">
        <f>Y9/Y6</f>
        <v>0.18675279583579049</v>
      </c>
      <c r="Z12" s="318"/>
      <c r="AA12" s="334"/>
      <c r="AB12" s="334"/>
    </row>
    <row r="13" spans="2:39" ht="20.25" customHeight="1" thickBot="1" x14ac:dyDescent="0.3">
      <c r="O13" s="31"/>
      <c r="AI13" s="3"/>
      <c r="AJ13" s="3"/>
      <c r="AK13" s="3"/>
    </row>
    <row r="14" spans="2:39" s="39" customFormat="1" ht="30" customHeight="1" thickBot="1" x14ac:dyDescent="0.3">
      <c r="B14" s="101"/>
      <c r="C14" s="102" t="s">
        <v>16</v>
      </c>
      <c r="D14" s="384" t="str">
        <f>【データ入力】!H2</f>
        <v>2018年度</v>
      </c>
      <c r="E14" s="384"/>
      <c r="F14" s="384"/>
      <c r="G14" s="384"/>
      <c r="H14" s="103" t="s">
        <v>30</v>
      </c>
      <c r="I14" s="102"/>
      <c r="J14" s="102"/>
      <c r="K14" s="102"/>
      <c r="L14" s="102"/>
      <c r="M14" s="102"/>
      <c r="N14" s="102"/>
      <c r="O14" s="104"/>
      <c r="P14" s="105" t="s">
        <v>16</v>
      </c>
      <c r="Q14" s="385" t="str">
        <f>【データ入力】!E2</f>
        <v>2018年度</v>
      </c>
      <c r="R14" s="385"/>
      <c r="S14" s="385"/>
      <c r="T14" s="385"/>
      <c r="U14" s="102" t="s">
        <v>55</v>
      </c>
      <c r="V14" s="102"/>
      <c r="W14" s="102"/>
      <c r="X14" s="102"/>
      <c r="Y14" s="102"/>
      <c r="Z14" s="102"/>
      <c r="AA14" s="102"/>
      <c r="AB14" s="106"/>
    </row>
    <row r="15" spans="2:39" ht="24" customHeight="1" thickTop="1" x14ac:dyDescent="0.25">
      <c r="B15" s="89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67"/>
      <c r="P15" s="44"/>
      <c r="Q15" s="41"/>
      <c r="R15" s="41"/>
      <c r="S15" s="44"/>
      <c r="T15" s="41"/>
      <c r="U15" s="41"/>
      <c r="V15" s="41"/>
      <c r="W15" s="41"/>
      <c r="X15" s="41"/>
      <c r="Y15" s="41"/>
      <c r="Z15" s="41"/>
      <c r="AA15" s="41"/>
      <c r="AB15" s="90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2:39" ht="24" customHeight="1" x14ac:dyDescent="0.25">
      <c r="B16" s="91"/>
      <c r="C16" s="43"/>
      <c r="D16" s="44"/>
      <c r="E16" s="45"/>
      <c r="F16" s="43"/>
      <c r="G16" s="45"/>
      <c r="H16" s="45"/>
      <c r="I16" s="45"/>
      <c r="J16" s="41"/>
      <c r="K16" s="44"/>
      <c r="L16" s="44"/>
      <c r="M16" s="41"/>
      <c r="N16" s="41"/>
      <c r="O16" s="67"/>
      <c r="P16" s="41"/>
      <c r="Q16" s="41"/>
      <c r="R16" s="41"/>
      <c r="S16" s="44"/>
      <c r="T16" s="41"/>
      <c r="U16" s="41"/>
      <c r="V16" s="41"/>
      <c r="W16" s="41"/>
      <c r="X16" s="41"/>
      <c r="Y16" s="41"/>
      <c r="Z16" s="41"/>
      <c r="AA16" s="41"/>
      <c r="AB16" s="90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2:39" ht="24" customHeight="1" x14ac:dyDescent="0.25">
      <c r="B17" s="89"/>
      <c r="C17" s="41"/>
      <c r="D17" s="44"/>
      <c r="E17" s="45"/>
      <c r="F17" s="43"/>
      <c r="G17" s="45"/>
      <c r="H17" s="45"/>
      <c r="I17" s="45"/>
      <c r="J17" s="46"/>
      <c r="K17" s="44"/>
      <c r="L17" s="44"/>
      <c r="M17" s="41"/>
      <c r="N17" s="41"/>
      <c r="O17" s="67"/>
      <c r="P17" s="44"/>
      <c r="Q17" s="41"/>
      <c r="R17" s="41"/>
      <c r="S17" s="44"/>
      <c r="T17" s="53"/>
      <c r="U17" s="41"/>
      <c r="V17" s="41"/>
      <c r="W17" s="41"/>
      <c r="X17" s="41"/>
      <c r="Y17" s="41"/>
      <c r="Z17" s="41"/>
      <c r="AA17" s="41"/>
      <c r="AB17" s="90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2:39" ht="24" customHeight="1" x14ac:dyDescent="0.25">
      <c r="B18" s="89"/>
      <c r="C18" s="41"/>
      <c r="D18" s="44"/>
      <c r="E18" s="45"/>
      <c r="F18" s="43"/>
      <c r="G18" s="45"/>
      <c r="H18" s="45"/>
      <c r="I18" s="45"/>
      <c r="J18" s="41"/>
      <c r="K18" s="44"/>
      <c r="L18" s="44"/>
      <c r="M18" s="41"/>
      <c r="N18" s="41"/>
      <c r="O18" s="67"/>
      <c r="P18" s="44"/>
      <c r="Q18" s="41"/>
      <c r="R18" s="41"/>
      <c r="S18" s="44"/>
      <c r="T18" s="41"/>
      <c r="U18" s="41"/>
      <c r="V18" s="41"/>
      <c r="W18" s="41"/>
      <c r="X18" s="41"/>
      <c r="Y18" s="41"/>
      <c r="Z18" s="41"/>
      <c r="AA18" s="41"/>
      <c r="AB18" s="90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2:39" ht="24" customHeight="1" x14ac:dyDescent="0.25">
      <c r="B19" s="89"/>
      <c r="C19" s="41"/>
      <c r="D19" s="44"/>
      <c r="E19" s="45"/>
      <c r="F19" s="45"/>
      <c r="G19" s="45"/>
      <c r="H19" s="45"/>
      <c r="I19" s="45"/>
      <c r="J19" s="41"/>
      <c r="K19" s="44"/>
      <c r="L19" s="44"/>
      <c r="M19" s="41"/>
      <c r="N19" s="41"/>
      <c r="O19" s="67"/>
      <c r="P19" s="46"/>
      <c r="Q19" s="41"/>
      <c r="R19" s="41"/>
      <c r="S19" s="44"/>
      <c r="T19" s="41"/>
      <c r="U19" s="41"/>
      <c r="V19" s="41"/>
      <c r="W19" s="41"/>
      <c r="X19" s="41"/>
      <c r="Y19" s="41"/>
      <c r="Z19" s="41"/>
      <c r="AA19" s="41"/>
      <c r="AB19" s="90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2:39" ht="24" customHeight="1" x14ac:dyDescent="0.25">
      <c r="B20" s="89"/>
      <c r="C20" s="41"/>
      <c r="D20" s="44"/>
      <c r="E20" s="45"/>
      <c r="F20" s="45"/>
      <c r="G20" s="45"/>
      <c r="H20" s="45"/>
      <c r="I20" s="45"/>
      <c r="J20" s="41"/>
      <c r="K20" s="44"/>
      <c r="L20" s="44"/>
      <c r="M20" s="41"/>
      <c r="N20" s="41"/>
      <c r="O20" s="67"/>
      <c r="P20" s="46"/>
      <c r="Q20" s="92"/>
      <c r="R20" s="92"/>
      <c r="S20" s="44"/>
      <c r="T20" s="92"/>
      <c r="U20" s="92"/>
      <c r="V20" s="92"/>
      <c r="W20" s="92"/>
      <c r="X20" s="92"/>
      <c r="Y20" s="92"/>
      <c r="Z20" s="92"/>
      <c r="AA20" s="92"/>
      <c r="AB20" s="90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2:39" ht="24" customHeight="1" x14ac:dyDescent="0.25">
      <c r="B21" s="89"/>
      <c r="C21" s="41"/>
      <c r="D21" s="44"/>
      <c r="E21" s="45"/>
      <c r="F21" s="45"/>
      <c r="G21" s="45"/>
      <c r="H21" s="45"/>
      <c r="I21" s="45"/>
      <c r="J21" s="41"/>
      <c r="K21" s="44"/>
      <c r="L21" s="44"/>
      <c r="M21" s="41"/>
      <c r="N21" s="41"/>
      <c r="O21" s="67"/>
      <c r="P21" s="46"/>
      <c r="Q21" s="92"/>
      <c r="R21" s="92"/>
      <c r="S21" s="44"/>
      <c r="T21" s="92"/>
      <c r="U21" s="92"/>
      <c r="V21" s="92"/>
      <c r="W21" s="92"/>
      <c r="X21" s="92"/>
      <c r="Y21" s="92"/>
      <c r="Z21" s="92"/>
      <c r="AA21" s="92"/>
      <c r="AB21" s="90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2:39" ht="24" customHeight="1" x14ac:dyDescent="0.25">
      <c r="B22" s="89"/>
      <c r="C22" s="41"/>
      <c r="D22" s="44"/>
      <c r="E22" s="45"/>
      <c r="F22" s="45"/>
      <c r="G22" s="45"/>
      <c r="H22" s="45"/>
      <c r="I22" s="45"/>
      <c r="J22" s="41"/>
      <c r="K22" s="44"/>
      <c r="L22" s="44"/>
      <c r="M22" s="41"/>
      <c r="N22" s="41"/>
      <c r="O22" s="67"/>
      <c r="P22" s="46"/>
      <c r="Q22" s="92"/>
      <c r="R22" s="92"/>
      <c r="S22" s="44"/>
      <c r="T22" s="92"/>
      <c r="U22" s="92"/>
      <c r="V22" s="92"/>
      <c r="W22" s="92"/>
      <c r="X22" s="92"/>
      <c r="Y22" s="92"/>
      <c r="Z22" s="92"/>
      <c r="AA22" s="92"/>
      <c r="AB22" s="90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2:39" ht="24" customHeight="1" x14ac:dyDescent="0.25">
      <c r="B23" s="89"/>
      <c r="C23" s="41"/>
      <c r="D23" s="44"/>
      <c r="E23" s="45"/>
      <c r="F23" s="45"/>
      <c r="G23" s="45"/>
      <c r="H23" s="45"/>
      <c r="I23" s="45"/>
      <c r="J23" s="41"/>
      <c r="K23" s="44"/>
      <c r="L23" s="44"/>
      <c r="M23" s="41"/>
      <c r="N23" s="41"/>
      <c r="O23" s="67"/>
      <c r="P23" s="46"/>
      <c r="Q23" s="92"/>
      <c r="R23" s="92"/>
      <c r="S23" s="44"/>
      <c r="T23" s="92"/>
      <c r="U23" s="92"/>
      <c r="V23" s="92"/>
      <c r="W23" s="92"/>
      <c r="X23" s="92"/>
      <c r="Y23" s="92"/>
      <c r="Z23" s="92"/>
      <c r="AA23" s="92"/>
      <c r="AB23" s="90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2:39" ht="24" customHeight="1" x14ac:dyDescent="0.25">
      <c r="B24" s="89"/>
      <c r="C24" s="46"/>
      <c r="D24" s="46"/>
      <c r="E24" s="46"/>
      <c r="F24" s="46"/>
      <c r="G24" s="46"/>
      <c r="H24" s="46"/>
      <c r="I24" s="46"/>
      <c r="J24" s="46"/>
      <c r="K24" s="41"/>
      <c r="L24" s="47"/>
      <c r="M24" s="41"/>
      <c r="N24" s="41"/>
      <c r="O24" s="67"/>
      <c r="P24" s="46"/>
      <c r="Q24" s="92"/>
      <c r="R24" s="44"/>
      <c r="S24" s="44"/>
      <c r="T24" s="92"/>
      <c r="U24" s="92"/>
      <c r="V24" s="92"/>
      <c r="W24" s="92"/>
      <c r="X24" s="92"/>
      <c r="Y24" s="92"/>
      <c r="Z24" s="92"/>
      <c r="AA24" s="92"/>
      <c r="AB24" s="90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2:39" ht="24" customHeight="1" x14ac:dyDescent="0.25">
      <c r="B25" s="89"/>
      <c r="C25" s="46"/>
      <c r="D25" s="46"/>
      <c r="E25" s="46"/>
      <c r="F25" s="46"/>
      <c r="G25" s="46"/>
      <c r="H25" s="46"/>
      <c r="I25" s="46"/>
      <c r="J25" s="46"/>
      <c r="K25" s="41"/>
      <c r="L25" s="47"/>
      <c r="M25" s="41"/>
      <c r="N25" s="41"/>
      <c r="O25" s="67"/>
      <c r="P25" s="44"/>
      <c r="Q25" s="92"/>
      <c r="R25" s="44"/>
      <c r="S25" s="44"/>
      <c r="T25" s="92"/>
      <c r="U25" s="92"/>
      <c r="V25" s="92"/>
      <c r="W25" s="92"/>
      <c r="X25" s="92"/>
      <c r="Y25" s="92"/>
      <c r="Z25" s="92"/>
      <c r="AA25" s="92"/>
      <c r="AB25" s="90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2:39" ht="24" customHeight="1" thickBot="1" x14ac:dyDescent="0.3">
      <c r="B26" s="93"/>
      <c r="C26" s="94"/>
      <c r="D26" s="95"/>
      <c r="E26" s="95"/>
      <c r="F26" s="95"/>
      <c r="G26" s="95"/>
      <c r="H26" s="95"/>
      <c r="I26" s="95"/>
      <c r="J26" s="95"/>
      <c r="K26" s="94"/>
      <c r="L26" s="96"/>
      <c r="M26" s="94"/>
      <c r="N26" s="94"/>
      <c r="O26" s="97"/>
      <c r="P26" s="95"/>
      <c r="Q26" s="98"/>
      <c r="R26" s="99"/>
      <c r="S26" s="99"/>
      <c r="T26" s="98"/>
      <c r="U26" s="98"/>
      <c r="V26" s="98"/>
      <c r="W26" s="98"/>
      <c r="X26" s="98"/>
      <c r="Y26" s="98"/>
      <c r="Z26" s="98"/>
      <c r="AA26" s="98"/>
      <c r="AB26" s="100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2:39" ht="15" customHeight="1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30" spans="2:39" ht="15" customHeight="1" x14ac:dyDescent="0.25">
      <c r="B30" s="6"/>
    </row>
    <row r="31" spans="2:39" ht="15" customHeight="1" x14ac:dyDescent="0.25">
      <c r="B31" s="6"/>
    </row>
    <row r="64" spans="15:15" s="7" customFormat="1" ht="15" customHeight="1" x14ac:dyDescent="0.25">
      <c r="O64" s="70"/>
    </row>
    <row r="65" spans="15:15" s="7" customFormat="1" ht="15" customHeight="1" x14ac:dyDescent="0.25">
      <c r="O65" s="70"/>
    </row>
    <row r="66" spans="15:15" s="7" customFormat="1" ht="15" customHeight="1" x14ac:dyDescent="0.25">
      <c r="O66" s="70"/>
    </row>
    <row r="73" spans="15:15" s="7" customFormat="1" ht="15" customHeight="1" x14ac:dyDescent="0.25">
      <c r="O73" s="70"/>
    </row>
  </sheetData>
  <mergeCells count="63">
    <mergeCell ref="D14:G14"/>
    <mergeCell ref="Q14:T14"/>
    <mergeCell ref="AA11:AB12"/>
    <mergeCell ref="Q12:R12"/>
    <mergeCell ref="S12:T12"/>
    <mergeCell ref="U12:V12"/>
    <mergeCell ref="W12:X12"/>
    <mergeCell ref="Y12:Z12"/>
    <mergeCell ref="N11:N12"/>
    <mergeCell ref="Q11:R11"/>
    <mergeCell ref="S11:T11"/>
    <mergeCell ref="U11:V11"/>
    <mergeCell ref="W11:X11"/>
    <mergeCell ref="Y11:Z11"/>
    <mergeCell ref="AA8:AB8"/>
    <mergeCell ref="S9:T9"/>
    <mergeCell ref="U9:V9"/>
    <mergeCell ref="W9:X9"/>
    <mergeCell ref="AA9:AB10"/>
    <mergeCell ref="U8:V8"/>
    <mergeCell ref="W8:X8"/>
    <mergeCell ref="Y8:Z8"/>
    <mergeCell ref="U10:V10"/>
    <mergeCell ref="W10:X10"/>
    <mergeCell ref="Y10:Z10"/>
    <mergeCell ref="Y9:Z9"/>
    <mergeCell ref="Q10:R10"/>
    <mergeCell ref="S10:T10"/>
    <mergeCell ref="N8:N10"/>
    <mergeCell ref="Q8:R8"/>
    <mergeCell ref="S8:T8"/>
    <mergeCell ref="O9:O10"/>
    <mergeCell ref="Q9:R9"/>
    <mergeCell ref="Y5:Z5"/>
    <mergeCell ref="AA5:AB5"/>
    <mergeCell ref="O6:O7"/>
    <mergeCell ref="Q6:R6"/>
    <mergeCell ref="AA6:AB7"/>
    <mergeCell ref="Q7:R7"/>
    <mergeCell ref="S7:T7"/>
    <mergeCell ref="U7:V7"/>
    <mergeCell ref="W7:X7"/>
    <mergeCell ref="Y7:Z7"/>
    <mergeCell ref="S6:T6"/>
    <mergeCell ref="U6:V6"/>
    <mergeCell ref="W6:X6"/>
    <mergeCell ref="Y6:Z6"/>
    <mergeCell ref="N5:N7"/>
    <mergeCell ref="Q5:R5"/>
    <mergeCell ref="S5:T5"/>
    <mergeCell ref="U5:V5"/>
    <mergeCell ref="W5:X5"/>
    <mergeCell ref="C2:M2"/>
    <mergeCell ref="Q2:S2"/>
    <mergeCell ref="V2:X2"/>
    <mergeCell ref="AA3:AB3"/>
    <mergeCell ref="N4:P4"/>
    <mergeCell ref="Q4:R4"/>
    <mergeCell ref="S4:T4"/>
    <mergeCell ref="U4:V4"/>
    <mergeCell ref="W4:X4"/>
    <mergeCell ref="Y4:Z4"/>
    <mergeCell ref="AA4:AB4"/>
  </mergeCells>
  <phoneticPr fontId="2"/>
  <printOptions horizontalCentered="1" verticalCentered="1"/>
  <pageMargins left="0" right="0" top="0.39370078740157483" bottom="0" header="0" footer="0"/>
  <pageSetup paperSize="9" scale="68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77"/>
  <sheetViews>
    <sheetView view="pageBreakPreview" zoomScale="75" zoomScaleNormal="75" zoomScaleSheetLayoutView="75" workbookViewId="0">
      <selection activeCell="C2" sqref="C2:M2"/>
    </sheetView>
  </sheetViews>
  <sheetFormatPr defaultColWidth="13" defaultRowHeight="15" customHeight="1" x14ac:dyDescent="0.25"/>
  <cols>
    <col min="1" max="1" width="4.42578125" style="1" customWidth="1"/>
    <col min="2" max="2" width="2.140625" style="1" customWidth="1"/>
    <col min="3" max="12" width="6.42578125" style="1" customWidth="1"/>
    <col min="13" max="13" width="6" style="1" customWidth="1"/>
    <col min="14" max="14" width="13.140625" style="1" customWidth="1"/>
    <col min="15" max="15" width="12.42578125" style="1" customWidth="1"/>
    <col min="16" max="16" width="10.140625" style="1" customWidth="1"/>
    <col min="17" max="24" width="8.7109375" style="1" customWidth="1"/>
    <col min="25" max="26" width="9.140625" style="1" customWidth="1"/>
    <col min="27" max="27" width="6.42578125" style="1" customWidth="1"/>
    <col min="28" max="28" width="13.28515625" style="1" customWidth="1"/>
    <col min="29" max="34" width="5.85546875" style="1" customWidth="1"/>
    <col min="35" max="16384" width="13" style="1"/>
  </cols>
  <sheetData>
    <row r="1" spans="3:37" ht="19.5" customHeight="1" thickBot="1" x14ac:dyDescent="0.3"/>
    <row r="2" spans="3:37" ht="30" customHeight="1" thickBot="1" x14ac:dyDescent="0.3">
      <c r="C2" s="353" t="s">
        <v>49</v>
      </c>
      <c r="D2" s="354"/>
      <c r="E2" s="354"/>
      <c r="F2" s="354"/>
      <c r="G2" s="354"/>
      <c r="H2" s="354"/>
      <c r="I2" s="354"/>
      <c r="J2" s="354"/>
      <c r="K2" s="354"/>
      <c r="L2" s="354"/>
      <c r="M2" s="355"/>
      <c r="P2" s="33" t="s">
        <v>9</v>
      </c>
      <c r="Q2" s="370" t="str">
        <f>【データ入力】!H2</f>
        <v>2018年度</v>
      </c>
      <c r="R2" s="370"/>
      <c r="S2" s="370"/>
      <c r="U2" s="33" t="s">
        <v>10</v>
      </c>
      <c r="V2" s="371" t="str">
        <f>【データ入力】!E2</f>
        <v>2018年度</v>
      </c>
      <c r="W2" s="371"/>
      <c r="X2" s="371"/>
      <c r="Y2" s="32"/>
      <c r="Z2" s="8"/>
      <c r="AA2" s="8"/>
      <c r="AB2" s="8"/>
    </row>
    <row r="3" spans="3:37" ht="30" customHeight="1" x14ac:dyDescent="0.25">
      <c r="C3" s="34" t="s">
        <v>5</v>
      </c>
      <c r="D3" s="30"/>
      <c r="E3" s="30"/>
      <c r="F3" s="30"/>
      <c r="G3" s="30"/>
      <c r="H3" s="30"/>
      <c r="I3" s="30"/>
      <c r="J3" s="6"/>
      <c r="K3" s="30"/>
      <c r="AA3" s="319" t="s">
        <v>52</v>
      </c>
      <c r="AB3" s="319"/>
    </row>
    <row r="4" spans="3:37" ht="30" customHeight="1" x14ac:dyDescent="0.25">
      <c r="N4" s="426"/>
      <c r="O4" s="426"/>
      <c r="P4" s="426"/>
      <c r="Q4" s="427" t="s">
        <v>11</v>
      </c>
      <c r="R4" s="428"/>
      <c r="S4" s="427" t="s">
        <v>18</v>
      </c>
      <c r="T4" s="428"/>
      <c r="U4" s="427" t="s">
        <v>19</v>
      </c>
      <c r="V4" s="428"/>
      <c r="W4" s="429" t="s">
        <v>20</v>
      </c>
      <c r="X4" s="428"/>
      <c r="Y4" s="429" t="s">
        <v>2</v>
      </c>
      <c r="Z4" s="428"/>
      <c r="AA4" s="430" t="s">
        <v>31</v>
      </c>
      <c r="AB4" s="430"/>
    </row>
    <row r="5" spans="3:37" ht="42" customHeight="1" x14ac:dyDescent="0.25">
      <c r="N5" s="424" t="s">
        <v>4</v>
      </c>
      <c r="O5" s="107">
        <v>2015</v>
      </c>
      <c r="P5" s="108" t="s">
        <v>1</v>
      </c>
      <c r="Q5" s="418">
        <f>【データ入力】!O25</f>
        <v>1486.6294792600002</v>
      </c>
      <c r="R5" s="425"/>
      <c r="S5" s="418">
        <f>【データ入力】!P25</f>
        <v>1559.1618152599999</v>
      </c>
      <c r="T5" s="425"/>
      <c r="U5" s="418">
        <f>【データ入力】!Q25</f>
        <v>1576.21216226</v>
      </c>
      <c r="V5" s="425"/>
      <c r="W5" s="418">
        <f>【データ入力】!R25</f>
        <v>1539.15928564</v>
      </c>
      <c r="X5" s="418"/>
      <c r="Y5" s="418">
        <f>【データ入力】!U25</f>
        <v>6161.1627424199996</v>
      </c>
      <c r="Z5" s="418"/>
      <c r="AA5" s="408" t="e">
        <f>【データ入力】!U25/【データ入力】!#REF!</f>
        <v>#REF!</v>
      </c>
      <c r="AB5" s="408"/>
    </row>
    <row r="6" spans="3:37" ht="42" customHeight="1" x14ac:dyDescent="0.25">
      <c r="N6" s="424"/>
      <c r="O6" s="419">
        <v>2016</v>
      </c>
      <c r="P6" s="109" t="s">
        <v>0</v>
      </c>
      <c r="Q6" s="420">
        <f>【データ入力】!O33</f>
        <v>1512.034548048</v>
      </c>
      <c r="R6" s="420"/>
      <c r="S6" s="420">
        <f>【データ入力】!P33</f>
        <v>1686.0280357557799</v>
      </c>
      <c r="T6" s="420"/>
      <c r="U6" s="420">
        <f>【データ入力】!Q33</f>
        <v>1860.8453953699998</v>
      </c>
      <c r="V6" s="420"/>
      <c r="W6" s="420">
        <f>【データ入力】!R33</f>
        <v>1781.4062327899996</v>
      </c>
      <c r="X6" s="420"/>
      <c r="Y6" s="420">
        <f>【データ入力】!U33</f>
        <v>6840.3142119637796</v>
      </c>
      <c r="Z6" s="422"/>
      <c r="AA6" s="423"/>
      <c r="AB6" s="423"/>
    </row>
    <row r="7" spans="3:37" ht="42" customHeight="1" x14ac:dyDescent="0.25">
      <c r="N7" s="424"/>
      <c r="O7" s="419"/>
      <c r="P7" s="110" t="s">
        <v>53</v>
      </c>
      <c r="Q7" s="421">
        <f>Q6/Q5</f>
        <v>1.0170890387567491</v>
      </c>
      <c r="R7" s="421"/>
      <c r="S7" s="421">
        <f>S6/S5</f>
        <v>1.0813682192919947</v>
      </c>
      <c r="T7" s="421"/>
      <c r="U7" s="421">
        <f>U6/U5</f>
        <v>1.1805805334618709</v>
      </c>
      <c r="V7" s="421"/>
      <c r="W7" s="421">
        <f>W6/W5</f>
        <v>1.1573891340617619</v>
      </c>
      <c r="X7" s="421"/>
      <c r="Y7" s="421">
        <f>Y6/Y5</f>
        <v>1.11023105506819</v>
      </c>
      <c r="Z7" s="421"/>
      <c r="AA7" s="423"/>
      <c r="AB7" s="423"/>
    </row>
    <row r="8" spans="3:37" ht="39" customHeight="1" x14ac:dyDescent="0.25">
      <c r="N8" s="416" t="s">
        <v>3</v>
      </c>
      <c r="O8" s="107">
        <v>2015</v>
      </c>
      <c r="P8" s="108" t="s">
        <v>1</v>
      </c>
      <c r="Q8" s="414">
        <f>【データ入力】!O26</f>
        <v>240.19171885394752</v>
      </c>
      <c r="R8" s="415"/>
      <c r="S8" s="417">
        <f>【データ入力】!P26</f>
        <v>304.9290904455375</v>
      </c>
      <c r="T8" s="417"/>
      <c r="U8" s="414">
        <f>【データ入力】!Q26</f>
        <v>318.3005239274566</v>
      </c>
      <c r="V8" s="415"/>
      <c r="W8" s="414">
        <f>【データ入力】!R26</f>
        <v>311.79217582737567</v>
      </c>
      <c r="X8" s="415"/>
      <c r="Y8" s="414">
        <f>【データ入力】!U26</f>
        <v>1175.2135090543172</v>
      </c>
      <c r="Z8" s="415"/>
      <c r="AA8" s="408" t="e">
        <f>【データ入力】!U26/【データ入力】!#REF!</f>
        <v>#REF!</v>
      </c>
      <c r="AB8" s="408"/>
    </row>
    <row r="9" spans="3:37" ht="39" customHeight="1" x14ac:dyDescent="0.25">
      <c r="N9" s="416"/>
      <c r="O9" s="409">
        <v>2016</v>
      </c>
      <c r="P9" s="111" t="s">
        <v>0</v>
      </c>
      <c r="Q9" s="410">
        <f>【データ入力】!O34</f>
        <v>239.83350921915138</v>
      </c>
      <c r="R9" s="411"/>
      <c r="S9" s="410">
        <f>【データ入力】!P34</f>
        <v>301.1818845559942</v>
      </c>
      <c r="T9" s="410"/>
      <c r="U9" s="410">
        <f>【データ入力】!Q34</f>
        <v>379.86336534268037</v>
      </c>
      <c r="V9" s="411"/>
      <c r="W9" s="410">
        <f>【データ入力】!R34</f>
        <v>356.56904436170191</v>
      </c>
      <c r="X9" s="411"/>
      <c r="Y9" s="410">
        <f>【データ入力】!U34</f>
        <v>1277.4478034795279</v>
      </c>
      <c r="Z9" s="411"/>
      <c r="AA9" s="412"/>
      <c r="AB9" s="412"/>
    </row>
    <row r="10" spans="3:37" ht="39" customHeight="1" x14ac:dyDescent="0.25">
      <c r="N10" s="416"/>
      <c r="O10" s="409"/>
      <c r="P10" s="112" t="s">
        <v>53</v>
      </c>
      <c r="Q10" s="413">
        <f>Q9/Q8</f>
        <v>0.99850865118703802</v>
      </c>
      <c r="R10" s="413"/>
      <c r="S10" s="413">
        <f>S9/S8</f>
        <v>0.98771122202847816</v>
      </c>
      <c r="T10" s="413"/>
      <c r="U10" s="413">
        <f>U9/U8</f>
        <v>1.1934110590067846</v>
      </c>
      <c r="V10" s="413"/>
      <c r="W10" s="413">
        <f>W9/W8</f>
        <v>1.1436112641874536</v>
      </c>
      <c r="X10" s="413"/>
      <c r="Y10" s="413">
        <f>Y9/Y8</f>
        <v>1.086992102828598</v>
      </c>
      <c r="Z10" s="413"/>
      <c r="AA10" s="412"/>
      <c r="AB10" s="412"/>
    </row>
    <row r="11" spans="3:37" ht="39" customHeight="1" x14ac:dyDescent="0.25">
      <c r="N11" s="407" t="s">
        <v>21</v>
      </c>
      <c r="O11" s="107">
        <v>2015</v>
      </c>
      <c r="P11" s="108" t="s">
        <v>1</v>
      </c>
      <c r="Q11" s="405">
        <f>Q8/Q5</f>
        <v>0.16156797790227315</v>
      </c>
      <c r="R11" s="406"/>
      <c r="S11" s="405">
        <f>S8/S5</f>
        <v>0.19557244633693693</v>
      </c>
      <c r="T11" s="406"/>
      <c r="U11" s="405">
        <f>U8/U5</f>
        <v>0.20194015218806069</v>
      </c>
      <c r="V11" s="406"/>
      <c r="W11" s="405">
        <f>W8/W5</f>
        <v>0.20257304018909839</v>
      </c>
      <c r="X11" s="406"/>
      <c r="Y11" s="405">
        <f>Y8/Y5</f>
        <v>0.19074540929797179</v>
      </c>
      <c r="Z11" s="406"/>
      <c r="AA11" s="402"/>
      <c r="AB11" s="402"/>
    </row>
    <row r="12" spans="3:37" ht="39" customHeight="1" x14ac:dyDescent="0.25">
      <c r="N12" s="407"/>
      <c r="O12" s="113">
        <v>2016</v>
      </c>
      <c r="P12" s="114" t="s">
        <v>0</v>
      </c>
      <c r="Q12" s="403">
        <f>Q9/Q6</f>
        <v>0.158616421515481</v>
      </c>
      <c r="R12" s="404"/>
      <c r="S12" s="403">
        <f>S9/S6</f>
        <v>0.1786339717779285</v>
      </c>
      <c r="T12" s="404"/>
      <c r="U12" s="403">
        <f>U9/U6</f>
        <v>0.2041348337093585</v>
      </c>
      <c r="V12" s="404"/>
      <c r="W12" s="403">
        <f>W9/W6</f>
        <v>0.20016155652675091</v>
      </c>
      <c r="X12" s="404"/>
      <c r="Y12" s="403">
        <f>Y9/Y6</f>
        <v>0.18675279583579049</v>
      </c>
      <c r="Z12" s="404"/>
      <c r="AA12" s="402"/>
      <c r="AB12" s="402"/>
    </row>
    <row r="13" spans="3:37" ht="12" customHeight="1" x14ac:dyDescent="0.25">
      <c r="O13" s="31"/>
      <c r="AI13" s="3"/>
      <c r="AJ13" s="3"/>
      <c r="AK13" s="3"/>
    </row>
    <row r="14" spans="3:37" ht="30" customHeight="1" x14ac:dyDescent="0.25">
      <c r="N14" s="35" t="s">
        <v>54</v>
      </c>
      <c r="R14" s="319" t="s">
        <v>52</v>
      </c>
      <c r="S14" s="319"/>
      <c r="T14" s="71"/>
      <c r="U14" s="35" t="s">
        <v>22</v>
      </c>
      <c r="Z14" s="58"/>
      <c r="AA14" s="319" t="s">
        <v>52</v>
      </c>
      <c r="AB14" s="319"/>
      <c r="AE14" s="3"/>
      <c r="AI14" s="3"/>
      <c r="AJ14" s="4"/>
      <c r="AK14" s="3"/>
    </row>
    <row r="15" spans="3:37" ht="30" customHeight="1" x14ac:dyDescent="0.15">
      <c r="N15" s="399" t="s">
        <v>44</v>
      </c>
      <c r="O15" s="399"/>
      <c r="P15" s="400" t="s">
        <v>23</v>
      </c>
      <c r="Q15" s="400"/>
      <c r="R15" s="401" t="s">
        <v>24</v>
      </c>
      <c r="S15" s="401"/>
      <c r="U15" s="396" t="s">
        <v>25</v>
      </c>
      <c r="V15" s="396"/>
      <c r="W15" s="396"/>
      <c r="X15" s="396"/>
      <c r="Y15" s="397"/>
      <c r="Z15" s="397"/>
      <c r="AA15" s="397"/>
      <c r="AB15" s="397"/>
      <c r="AE15" s="3"/>
      <c r="AI15" s="3"/>
      <c r="AJ15" s="4"/>
      <c r="AK15" s="3"/>
    </row>
    <row r="16" spans="3:37" ht="30" customHeight="1" x14ac:dyDescent="0.25">
      <c r="N16" s="388" t="s">
        <v>45</v>
      </c>
      <c r="O16" s="388"/>
      <c r="P16" s="389" t="s">
        <v>56</v>
      </c>
      <c r="Q16" s="389"/>
      <c r="R16" s="389" t="s">
        <v>57</v>
      </c>
      <c r="S16" s="389"/>
      <c r="T16" s="62"/>
      <c r="U16" s="396" t="s">
        <v>26</v>
      </c>
      <c r="V16" s="396"/>
      <c r="W16" s="396"/>
      <c r="X16" s="396"/>
      <c r="Y16" s="397"/>
      <c r="Z16" s="397"/>
      <c r="AA16" s="397"/>
      <c r="AB16" s="397"/>
      <c r="AE16" s="3"/>
      <c r="AI16" s="3"/>
      <c r="AJ16" s="4"/>
      <c r="AK16" s="3"/>
    </row>
    <row r="17" spans="2:39" ht="30" customHeight="1" x14ac:dyDescent="0.25">
      <c r="N17" s="398" t="s">
        <v>46</v>
      </c>
      <c r="O17" s="398"/>
      <c r="P17" s="389"/>
      <c r="Q17" s="389"/>
      <c r="R17" s="389"/>
      <c r="S17" s="389"/>
      <c r="U17" s="396" t="s">
        <v>27</v>
      </c>
      <c r="V17" s="396"/>
      <c r="W17" s="396"/>
      <c r="X17" s="396"/>
      <c r="Y17" s="397"/>
      <c r="Z17" s="397"/>
      <c r="AA17" s="397"/>
      <c r="AB17" s="397"/>
      <c r="AE17" s="3"/>
      <c r="AI17" s="3"/>
      <c r="AJ17" s="4"/>
      <c r="AK17" s="3"/>
    </row>
    <row r="18" spans="2:39" ht="30" customHeight="1" x14ac:dyDescent="0.25">
      <c r="N18" s="386" t="s">
        <v>47</v>
      </c>
      <c r="O18" s="386"/>
      <c r="P18" s="387"/>
      <c r="Q18" s="387"/>
      <c r="R18" s="387"/>
      <c r="S18" s="387"/>
      <c r="U18" s="390" t="s">
        <v>28</v>
      </c>
      <c r="V18" s="390"/>
      <c r="W18" s="390"/>
      <c r="X18" s="390"/>
      <c r="Y18" s="391"/>
      <c r="Z18" s="391"/>
      <c r="AA18" s="391"/>
      <c r="AB18" s="391"/>
      <c r="AE18" s="3"/>
      <c r="AI18" s="3"/>
      <c r="AJ18" s="4"/>
      <c r="AK18" s="3"/>
    </row>
    <row r="19" spans="2:39" ht="30" customHeight="1" x14ac:dyDescent="0.25">
      <c r="N19" s="392" t="s">
        <v>48</v>
      </c>
      <c r="O19" s="392"/>
      <c r="P19" s="393"/>
      <c r="Q19" s="393"/>
      <c r="R19" s="393"/>
      <c r="S19" s="393"/>
      <c r="T19" s="63"/>
      <c r="U19" s="394" t="s">
        <v>8</v>
      </c>
      <c r="V19" s="394"/>
      <c r="W19" s="394"/>
      <c r="X19" s="394"/>
      <c r="Y19" s="395">
        <f>SUM(Y15:AB18)</f>
        <v>0</v>
      </c>
      <c r="Z19" s="395"/>
      <c r="AA19" s="395"/>
      <c r="AB19" s="395"/>
      <c r="AC19" s="64"/>
      <c r="AD19" s="64"/>
      <c r="AE19" s="64"/>
      <c r="AF19" s="64"/>
      <c r="AI19" s="3"/>
      <c r="AJ19" s="4"/>
      <c r="AK19" s="3"/>
    </row>
    <row r="20" spans="2:39" ht="30" customHeight="1" thickBot="1" x14ac:dyDescent="0.3">
      <c r="B20" s="2"/>
      <c r="U20" s="55"/>
      <c r="V20" s="55"/>
      <c r="W20" s="56"/>
      <c r="X20" s="56"/>
      <c r="Y20" s="57"/>
      <c r="Z20" s="57"/>
      <c r="AA20" s="57"/>
      <c r="AB20" s="57"/>
      <c r="AI20" s="3"/>
      <c r="AJ20" s="3"/>
      <c r="AK20" s="3"/>
    </row>
    <row r="21" spans="2:39" s="39" customFormat="1" ht="30" customHeight="1" thickTop="1" x14ac:dyDescent="0.25">
      <c r="B21" s="37"/>
      <c r="C21" s="36" t="s">
        <v>16</v>
      </c>
      <c r="D21" s="339" t="str">
        <f>【データ入力】!H2</f>
        <v>2018年度</v>
      </c>
      <c r="E21" s="339"/>
      <c r="F21" s="339"/>
      <c r="G21" s="339"/>
      <c r="H21" s="88" t="s">
        <v>30</v>
      </c>
      <c r="I21" s="36"/>
      <c r="J21" s="36"/>
      <c r="K21" s="36"/>
      <c r="L21" s="36"/>
      <c r="M21" s="36"/>
      <c r="N21" s="36"/>
      <c r="O21" s="69"/>
      <c r="P21" s="86" t="s">
        <v>16</v>
      </c>
      <c r="Q21" s="340" t="str">
        <f>【データ入力】!E2</f>
        <v>2018年度</v>
      </c>
      <c r="R21" s="340"/>
      <c r="S21" s="340"/>
      <c r="T21" s="340"/>
      <c r="U21" s="36" t="s">
        <v>55</v>
      </c>
      <c r="V21" s="36"/>
      <c r="W21" s="36"/>
      <c r="X21" s="36"/>
      <c r="Y21" s="36"/>
      <c r="Z21" s="36"/>
      <c r="AA21" s="36"/>
      <c r="AB21" s="38"/>
    </row>
    <row r="22" spans="2:39" ht="24" customHeight="1" x14ac:dyDescent="0.25"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66"/>
      <c r="P22" s="44"/>
      <c r="Q22" s="41"/>
      <c r="R22" s="41"/>
      <c r="S22" s="44"/>
      <c r="T22" s="41"/>
      <c r="U22" s="41"/>
      <c r="V22" s="41"/>
      <c r="W22" s="41"/>
      <c r="X22" s="41"/>
      <c r="Y22" s="41"/>
      <c r="Z22" s="41"/>
      <c r="AA22" s="41"/>
      <c r="AB22" s="52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2:39" ht="24" customHeight="1" x14ac:dyDescent="0.25">
      <c r="B23" s="42"/>
      <c r="C23" s="43"/>
      <c r="D23" s="44"/>
      <c r="E23" s="45"/>
      <c r="F23" s="43"/>
      <c r="G23" s="45"/>
      <c r="H23" s="45"/>
      <c r="I23" s="45"/>
      <c r="J23" s="41"/>
      <c r="K23" s="44"/>
      <c r="L23" s="44"/>
      <c r="M23" s="41"/>
      <c r="N23" s="41"/>
      <c r="O23" s="67"/>
      <c r="P23" s="41"/>
      <c r="Q23" s="41"/>
      <c r="R23" s="41"/>
      <c r="S23" s="44"/>
      <c r="T23" s="41"/>
      <c r="U23" s="41"/>
      <c r="V23" s="41"/>
      <c r="W23" s="41"/>
      <c r="X23" s="41"/>
      <c r="Y23" s="41"/>
      <c r="Z23" s="41"/>
      <c r="AA23" s="41"/>
      <c r="AB23" s="52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2:39" ht="24" customHeight="1" x14ac:dyDescent="0.25">
      <c r="B24" s="40"/>
      <c r="C24" s="41"/>
      <c r="D24" s="44"/>
      <c r="E24" s="45"/>
      <c r="F24" s="43"/>
      <c r="G24" s="45"/>
      <c r="H24" s="45"/>
      <c r="I24" s="45"/>
      <c r="J24" s="46"/>
      <c r="K24" s="44"/>
      <c r="L24" s="44"/>
      <c r="M24" s="41"/>
      <c r="N24" s="41"/>
      <c r="O24" s="67"/>
      <c r="P24" s="44"/>
      <c r="Q24" s="41"/>
      <c r="R24" s="41"/>
      <c r="S24" s="44"/>
      <c r="T24" s="53"/>
      <c r="U24" s="41"/>
      <c r="V24" s="41"/>
      <c r="W24" s="41"/>
      <c r="X24" s="41"/>
      <c r="Y24" s="41"/>
      <c r="Z24" s="41"/>
      <c r="AA24" s="41"/>
      <c r="AB24" s="52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2:39" ht="24" customHeight="1" x14ac:dyDescent="0.25">
      <c r="B25" s="40"/>
      <c r="C25" s="41"/>
      <c r="D25" s="44"/>
      <c r="E25" s="45"/>
      <c r="F25" s="43"/>
      <c r="G25" s="45"/>
      <c r="H25" s="45"/>
      <c r="I25" s="45"/>
      <c r="J25" s="41"/>
      <c r="K25" s="44"/>
      <c r="L25" s="44"/>
      <c r="M25" s="41"/>
      <c r="N25" s="41"/>
      <c r="O25" s="67"/>
      <c r="P25" s="44"/>
      <c r="Q25" s="41"/>
      <c r="R25" s="41"/>
      <c r="S25" s="44"/>
      <c r="T25" s="41"/>
      <c r="U25" s="41"/>
      <c r="V25" s="41"/>
      <c r="W25" s="41"/>
      <c r="X25" s="41"/>
      <c r="Y25" s="41"/>
      <c r="Z25" s="41"/>
      <c r="AA25" s="41"/>
      <c r="AB25" s="52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2:39" ht="24" customHeight="1" x14ac:dyDescent="0.25">
      <c r="B26" s="40"/>
      <c r="C26" s="41"/>
      <c r="D26" s="44"/>
      <c r="E26" s="45"/>
      <c r="F26" s="45"/>
      <c r="G26" s="45"/>
      <c r="H26" s="45"/>
      <c r="I26" s="45"/>
      <c r="J26" s="41"/>
      <c r="K26" s="44"/>
      <c r="L26" s="44"/>
      <c r="M26" s="41"/>
      <c r="N26" s="41"/>
      <c r="O26" s="67"/>
      <c r="P26" s="65"/>
      <c r="Q26" s="41"/>
      <c r="R26" s="41"/>
      <c r="S26" s="44"/>
      <c r="T26" s="41"/>
      <c r="U26" s="41"/>
      <c r="V26" s="41"/>
      <c r="W26" s="41"/>
      <c r="X26" s="41"/>
      <c r="Y26" s="41"/>
      <c r="Z26" s="41"/>
      <c r="AA26" s="41"/>
      <c r="AB26" s="52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2:39" ht="24" customHeight="1" x14ac:dyDescent="0.25">
      <c r="B27" s="40"/>
      <c r="C27" s="41"/>
      <c r="D27" s="44"/>
      <c r="E27" s="45"/>
      <c r="F27" s="45"/>
      <c r="G27" s="45"/>
      <c r="H27" s="45"/>
      <c r="I27" s="45"/>
      <c r="J27" s="41"/>
      <c r="K27" s="44"/>
      <c r="L27" s="44"/>
      <c r="M27" s="41"/>
      <c r="N27" s="41"/>
      <c r="O27" s="67"/>
      <c r="P27" s="65"/>
      <c r="Q27" s="54"/>
      <c r="R27" s="54"/>
      <c r="S27" s="44"/>
      <c r="T27" s="54"/>
      <c r="U27" s="54"/>
      <c r="V27" s="54"/>
      <c r="W27" s="54"/>
      <c r="X27" s="54"/>
      <c r="Y27" s="54"/>
      <c r="Z27" s="54"/>
      <c r="AA27" s="54"/>
      <c r="AB27" s="52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2:39" ht="24" customHeight="1" x14ac:dyDescent="0.25">
      <c r="B28" s="40"/>
      <c r="C28" s="46"/>
      <c r="D28" s="46"/>
      <c r="E28" s="46"/>
      <c r="F28" s="46"/>
      <c r="G28" s="46"/>
      <c r="H28" s="46"/>
      <c r="I28" s="46"/>
      <c r="J28" s="46"/>
      <c r="K28" s="41"/>
      <c r="L28" s="47"/>
      <c r="M28" s="41"/>
      <c r="N28" s="41"/>
      <c r="O28" s="67"/>
      <c r="P28" s="65"/>
      <c r="Q28" s="54"/>
      <c r="R28" s="44"/>
      <c r="S28" s="44"/>
      <c r="T28" s="54"/>
      <c r="U28" s="54"/>
      <c r="V28" s="54"/>
      <c r="W28" s="54"/>
      <c r="X28" s="54"/>
      <c r="Y28" s="54"/>
      <c r="Z28" s="54"/>
      <c r="AA28" s="54"/>
      <c r="AB28" s="52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24" customHeight="1" x14ac:dyDescent="0.25">
      <c r="B29" s="40"/>
      <c r="C29" s="46"/>
      <c r="D29" s="46"/>
      <c r="E29" s="46"/>
      <c r="F29" s="46"/>
      <c r="G29" s="46"/>
      <c r="H29" s="46"/>
      <c r="I29" s="46"/>
      <c r="J29" s="46"/>
      <c r="K29" s="41"/>
      <c r="L29" s="47"/>
      <c r="M29" s="41"/>
      <c r="N29" s="41"/>
      <c r="O29" s="67"/>
      <c r="P29" s="44"/>
      <c r="Q29" s="54"/>
      <c r="R29" s="44"/>
      <c r="S29" s="44"/>
      <c r="T29" s="54"/>
      <c r="U29" s="54"/>
      <c r="V29" s="54"/>
      <c r="W29" s="54"/>
      <c r="X29" s="54"/>
      <c r="Y29" s="54"/>
      <c r="Z29" s="54"/>
      <c r="AA29" s="54"/>
      <c r="AB29" s="52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24" customHeight="1" thickBot="1" x14ac:dyDescent="0.3">
      <c r="B30" s="48"/>
      <c r="C30" s="50"/>
      <c r="D30" s="49"/>
      <c r="E30" s="49"/>
      <c r="F30" s="49"/>
      <c r="G30" s="49"/>
      <c r="H30" s="49"/>
      <c r="I30" s="49"/>
      <c r="J30" s="49"/>
      <c r="K30" s="50"/>
      <c r="L30" s="51"/>
      <c r="M30" s="50"/>
      <c r="N30" s="50"/>
      <c r="O30" s="68"/>
      <c r="P30" s="49"/>
      <c r="Q30" s="59"/>
      <c r="R30" s="60"/>
      <c r="S30" s="60"/>
      <c r="T30" s="59"/>
      <c r="U30" s="59"/>
      <c r="V30" s="59"/>
      <c r="W30" s="59"/>
      <c r="X30" s="59"/>
      <c r="Y30" s="59"/>
      <c r="Z30" s="59"/>
      <c r="AA30" s="59"/>
      <c r="AB30" s="61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Top="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4" spans="2:2" ht="15" customHeight="1" x14ac:dyDescent="0.25">
      <c r="B34" s="6"/>
    </row>
    <row r="35" spans="2:2" ht="15" customHeight="1" x14ac:dyDescent="0.25">
      <c r="B35" s="6"/>
    </row>
    <row r="68" spans="15:15" s="7" customFormat="1" ht="15" customHeight="1" x14ac:dyDescent="0.25">
      <c r="O68" s="70"/>
    </row>
    <row r="69" spans="15:15" s="7" customFormat="1" ht="15" customHeight="1" x14ac:dyDescent="0.25">
      <c r="O69" s="70"/>
    </row>
    <row r="70" spans="15:15" s="7" customFormat="1" ht="15" customHeight="1" x14ac:dyDescent="0.25">
      <c r="O70" s="70"/>
    </row>
    <row r="77" spans="15:15" s="7" customFormat="1" ht="15" customHeight="1" x14ac:dyDescent="0.25">
      <c r="O77" s="70"/>
    </row>
  </sheetData>
  <mergeCells count="88">
    <mergeCell ref="C2:M2"/>
    <mergeCell ref="Q2:S2"/>
    <mergeCell ref="V2:X2"/>
    <mergeCell ref="AA3:AB3"/>
    <mergeCell ref="N4:P4"/>
    <mergeCell ref="Q4:R4"/>
    <mergeCell ref="S4:T4"/>
    <mergeCell ref="U4:V4"/>
    <mergeCell ref="W4:X4"/>
    <mergeCell ref="Y4:Z4"/>
    <mergeCell ref="AA4:AB4"/>
    <mergeCell ref="N5:N7"/>
    <mergeCell ref="Q5:R5"/>
    <mergeCell ref="S5:T5"/>
    <mergeCell ref="U5:V5"/>
    <mergeCell ref="W5:X5"/>
    <mergeCell ref="Y5:Z5"/>
    <mergeCell ref="AA5:AB5"/>
    <mergeCell ref="O6:O7"/>
    <mergeCell ref="Q6:R6"/>
    <mergeCell ref="Q7:R7"/>
    <mergeCell ref="S7:T7"/>
    <mergeCell ref="U7:V7"/>
    <mergeCell ref="W7:X7"/>
    <mergeCell ref="Y7:Z7"/>
    <mergeCell ref="S6:T6"/>
    <mergeCell ref="U6:V6"/>
    <mergeCell ref="W6:X6"/>
    <mergeCell ref="Y6:Z6"/>
    <mergeCell ref="AA6:AB7"/>
    <mergeCell ref="N8:N10"/>
    <mergeCell ref="Q8:R8"/>
    <mergeCell ref="S8:T8"/>
    <mergeCell ref="U8:V8"/>
    <mergeCell ref="W8:X8"/>
    <mergeCell ref="U10:V10"/>
    <mergeCell ref="W10:X10"/>
    <mergeCell ref="AA8:AB8"/>
    <mergeCell ref="O9:O10"/>
    <mergeCell ref="Q9:R9"/>
    <mergeCell ref="S9:T9"/>
    <mergeCell ref="U9:V9"/>
    <mergeCell ref="W9:X9"/>
    <mergeCell ref="Y9:Z9"/>
    <mergeCell ref="AA9:AB10"/>
    <mergeCell ref="Q10:R10"/>
    <mergeCell ref="S10:T10"/>
    <mergeCell ref="Y8:Z8"/>
    <mergeCell ref="Y10:Z10"/>
    <mergeCell ref="N11:N12"/>
    <mergeCell ref="Q11:R11"/>
    <mergeCell ref="S11:T11"/>
    <mergeCell ref="U11:V11"/>
    <mergeCell ref="W11:X11"/>
    <mergeCell ref="AA11:AB12"/>
    <mergeCell ref="Q12:R12"/>
    <mergeCell ref="S12:T12"/>
    <mergeCell ref="U12:V12"/>
    <mergeCell ref="W12:X12"/>
    <mergeCell ref="Y12:Z12"/>
    <mergeCell ref="Y11:Z11"/>
    <mergeCell ref="AA14:AB14"/>
    <mergeCell ref="N15:O15"/>
    <mergeCell ref="P15:Q15"/>
    <mergeCell ref="R15:S15"/>
    <mergeCell ref="U15:X15"/>
    <mergeCell ref="Y15:AB15"/>
    <mergeCell ref="U16:X16"/>
    <mergeCell ref="Y16:AB16"/>
    <mergeCell ref="N17:O17"/>
    <mergeCell ref="U17:X17"/>
    <mergeCell ref="Y17:AB17"/>
    <mergeCell ref="U18:X18"/>
    <mergeCell ref="Y18:AB18"/>
    <mergeCell ref="N19:O19"/>
    <mergeCell ref="P19:Q19"/>
    <mergeCell ref="R19:S19"/>
    <mergeCell ref="U19:X19"/>
    <mergeCell ref="Y19:AB19"/>
    <mergeCell ref="D21:G21"/>
    <mergeCell ref="Q21:T21"/>
    <mergeCell ref="R14:S14"/>
    <mergeCell ref="N18:O18"/>
    <mergeCell ref="P18:Q18"/>
    <mergeCell ref="R18:S18"/>
    <mergeCell ref="N16:O16"/>
    <mergeCell ref="P16:Q17"/>
    <mergeCell ref="R16:S17"/>
  </mergeCells>
  <phoneticPr fontId="2"/>
  <printOptions horizontalCentered="1" verticalCentered="1"/>
  <pageMargins left="0.19685039370078741" right="0.19685039370078741" top="0.39370078740157483" bottom="0.19685039370078741" header="0" footer="0"/>
  <pageSetup paperSize="9" scale="65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N78"/>
  <sheetViews>
    <sheetView tabSelected="1" zoomScale="70" zoomScaleNormal="70" zoomScaleSheetLayoutView="70" workbookViewId="0"/>
  </sheetViews>
  <sheetFormatPr defaultColWidth="13" defaultRowHeight="15" customHeight="1" x14ac:dyDescent="0.25"/>
  <cols>
    <col min="1" max="1" width="4.42578125" style="1" customWidth="1"/>
    <col min="2" max="2" width="2.140625" style="1" customWidth="1"/>
    <col min="3" max="12" width="6.42578125" style="1" customWidth="1"/>
    <col min="13" max="13" width="6" style="1" customWidth="1"/>
    <col min="14" max="14" width="12.85546875" style="1" customWidth="1"/>
    <col min="15" max="15" width="14.5703125" style="1" customWidth="1"/>
    <col min="16" max="29" width="8" style="1" customWidth="1"/>
    <col min="30" max="37" width="6.5703125" style="1" customWidth="1"/>
    <col min="38" max="16384" width="13" style="1"/>
  </cols>
  <sheetData>
    <row r="1" spans="2:40" ht="36" customHeight="1" thickBot="1" x14ac:dyDescent="0.3">
      <c r="O1" s="138" t="s">
        <v>83</v>
      </c>
    </row>
    <row r="2" spans="2:40" ht="30" customHeight="1" thickBot="1" x14ac:dyDescent="0.3">
      <c r="B2" s="137"/>
      <c r="C2" s="444" t="s">
        <v>91</v>
      </c>
      <c r="D2" s="445"/>
      <c r="E2" s="445"/>
      <c r="F2" s="445"/>
      <c r="G2" s="445"/>
      <c r="H2" s="445"/>
      <c r="I2" s="445"/>
      <c r="J2" s="445"/>
      <c r="K2" s="445"/>
      <c r="L2" s="445"/>
      <c r="M2" s="446"/>
      <c r="N2" s="136"/>
      <c r="O2" s="444" t="s">
        <v>92</v>
      </c>
      <c r="P2" s="445"/>
      <c r="Q2" s="445"/>
      <c r="R2" s="445"/>
      <c r="S2" s="445"/>
      <c r="T2" s="445"/>
      <c r="U2" s="445"/>
      <c r="V2" s="445"/>
      <c r="W2" s="446"/>
      <c r="X2" s="150"/>
      <c r="Y2" s="150"/>
      <c r="AC2" s="29" t="s">
        <v>93</v>
      </c>
    </row>
    <row r="3" spans="2:40" ht="30" customHeight="1" x14ac:dyDescent="0.25">
      <c r="C3" s="34" t="s">
        <v>88</v>
      </c>
      <c r="D3" s="30"/>
      <c r="E3" s="30"/>
      <c r="F3" s="30"/>
      <c r="G3" s="30"/>
      <c r="H3" s="30"/>
      <c r="I3" s="30"/>
      <c r="J3" s="6"/>
      <c r="K3" s="30"/>
      <c r="AB3" s="458" t="s">
        <v>66</v>
      </c>
      <c r="AC3" s="458"/>
    </row>
    <row r="4" spans="2:40" ht="30" customHeight="1" x14ac:dyDescent="0.25">
      <c r="N4" s="459"/>
      <c r="O4" s="459"/>
      <c r="P4" s="460" t="s">
        <v>68</v>
      </c>
      <c r="Q4" s="461"/>
      <c r="R4" s="462" t="s">
        <v>69</v>
      </c>
      <c r="S4" s="461"/>
      <c r="T4" s="462" t="s">
        <v>70</v>
      </c>
      <c r="U4" s="461"/>
      <c r="V4" s="462" t="s">
        <v>71</v>
      </c>
      <c r="W4" s="461"/>
      <c r="X4" s="463" t="s">
        <v>50</v>
      </c>
      <c r="Y4" s="461"/>
      <c r="Z4" s="463" t="s">
        <v>51</v>
      </c>
      <c r="AA4" s="461"/>
      <c r="AB4" s="464" t="s">
        <v>2</v>
      </c>
      <c r="AC4" s="465"/>
    </row>
    <row r="5" spans="2:40" ht="42" customHeight="1" x14ac:dyDescent="0.25">
      <c r="N5" s="447" t="s">
        <v>4</v>
      </c>
      <c r="O5" s="161" t="s">
        <v>77</v>
      </c>
      <c r="P5" s="440">
        <f>【データ入力】!O25</f>
        <v>1486.6294792600002</v>
      </c>
      <c r="Q5" s="441"/>
      <c r="R5" s="441">
        <f>【データ入力】!P25</f>
        <v>1559.1618152599999</v>
      </c>
      <c r="S5" s="441"/>
      <c r="T5" s="455">
        <f>【データ入力】!Q25</f>
        <v>1576.21216226</v>
      </c>
      <c r="U5" s="456"/>
      <c r="V5" s="455">
        <f>【データ入力】!R25</f>
        <v>1539.15928564</v>
      </c>
      <c r="W5" s="456"/>
      <c r="X5" s="455">
        <f>【データ入力】!S25</f>
        <v>3045.7912945200001</v>
      </c>
      <c r="Y5" s="455"/>
      <c r="Z5" s="455">
        <f>【データ入力】!T25</f>
        <v>3115.3714479</v>
      </c>
      <c r="AA5" s="455"/>
      <c r="AB5" s="472">
        <f>【データ入力】!U25</f>
        <v>6161.1627424199996</v>
      </c>
      <c r="AC5" s="473"/>
    </row>
    <row r="6" spans="2:40" ht="42" customHeight="1" x14ac:dyDescent="0.25">
      <c r="N6" s="448"/>
      <c r="O6" s="162" t="s">
        <v>85</v>
      </c>
      <c r="P6" s="468">
        <f>【データ入力】!O33</f>
        <v>1512.034548048</v>
      </c>
      <c r="Q6" s="466"/>
      <c r="R6" s="466">
        <f>【データ入力】!P33</f>
        <v>1686.0280357557799</v>
      </c>
      <c r="S6" s="466"/>
      <c r="T6" s="466">
        <f>【データ入力】!Q33</f>
        <v>1860.8453953699998</v>
      </c>
      <c r="U6" s="466"/>
      <c r="V6" s="466">
        <f>【データ入力】!R33</f>
        <v>1781.4062327899996</v>
      </c>
      <c r="W6" s="466"/>
      <c r="X6" s="466">
        <f>【データ入力】!S33</f>
        <v>3198.0625838037799</v>
      </c>
      <c r="Y6" s="467"/>
      <c r="Z6" s="466">
        <f>【データ入力】!T33</f>
        <v>3642.2516281599992</v>
      </c>
      <c r="AA6" s="467"/>
      <c r="AB6" s="474">
        <f>【データ入力】!U33</f>
        <v>6840.3142119637796</v>
      </c>
      <c r="AC6" s="475"/>
    </row>
    <row r="7" spans="2:40" ht="42" customHeight="1" x14ac:dyDescent="0.25">
      <c r="N7" s="449"/>
      <c r="O7" s="151" t="s">
        <v>78</v>
      </c>
      <c r="P7" s="499">
        <f>P6/P5</f>
        <v>1.0170890387567491</v>
      </c>
      <c r="Q7" s="500"/>
      <c r="R7" s="501">
        <f t="shared" ref="R7" si="0">R6/R5</f>
        <v>1.0813682192919947</v>
      </c>
      <c r="S7" s="501"/>
      <c r="T7" s="501">
        <f t="shared" ref="T7" si="1">T6/T5</f>
        <v>1.1805805334618709</v>
      </c>
      <c r="U7" s="501"/>
      <c r="V7" s="501">
        <f t="shared" ref="V7" si="2">V6/V5</f>
        <v>1.1573891340617619</v>
      </c>
      <c r="W7" s="501"/>
      <c r="X7" s="501">
        <f t="shared" ref="X7" si="3">X6/X5</f>
        <v>1.0499939997719958</v>
      </c>
      <c r="Y7" s="501"/>
      <c r="Z7" s="501">
        <f t="shared" ref="Z7" si="4">Z6/Z5</f>
        <v>1.1691227479840829</v>
      </c>
      <c r="AA7" s="501"/>
      <c r="AB7" s="502">
        <f t="shared" ref="AB7" si="5">AB6/AB5</f>
        <v>1.11023105506819</v>
      </c>
      <c r="AC7" s="503"/>
    </row>
    <row r="8" spans="2:40" ht="39" customHeight="1" x14ac:dyDescent="0.25">
      <c r="N8" s="437" t="s">
        <v>3</v>
      </c>
      <c r="O8" s="161" t="s">
        <v>77</v>
      </c>
      <c r="P8" s="440">
        <f>【データ入力】!O26</f>
        <v>240.19171885394752</v>
      </c>
      <c r="Q8" s="441"/>
      <c r="R8" s="457">
        <f>【データ入力】!P26</f>
        <v>304.9290904455375</v>
      </c>
      <c r="S8" s="457"/>
      <c r="T8" s="452">
        <f>【データ入力】!Q26</f>
        <v>318.3005239274566</v>
      </c>
      <c r="U8" s="453"/>
      <c r="V8" s="452">
        <f>【データ入力】!R26</f>
        <v>311.79217582737567</v>
      </c>
      <c r="W8" s="453"/>
      <c r="X8" s="452">
        <f>【データ入力】!S26</f>
        <v>545.12080929948502</v>
      </c>
      <c r="Y8" s="453"/>
      <c r="Z8" s="452">
        <f>【データ入力】!T26</f>
        <v>630.09269975483221</v>
      </c>
      <c r="AA8" s="453"/>
      <c r="AB8" s="476">
        <f>【データ入力】!U26</f>
        <v>1175.2135090543172</v>
      </c>
      <c r="AC8" s="477"/>
    </row>
    <row r="9" spans="2:40" ht="39" customHeight="1" x14ac:dyDescent="0.25">
      <c r="N9" s="438"/>
      <c r="O9" s="207" t="s">
        <v>85</v>
      </c>
      <c r="P9" s="454">
        <f>【データ入力】!O34</f>
        <v>239.83350921915138</v>
      </c>
      <c r="Q9" s="450"/>
      <c r="R9" s="450">
        <f>【データ入力】!P34</f>
        <v>301.1818845559942</v>
      </c>
      <c r="S9" s="450"/>
      <c r="T9" s="450">
        <f>【データ入力】!Q34</f>
        <v>379.86336534268037</v>
      </c>
      <c r="U9" s="451"/>
      <c r="V9" s="450">
        <f>【データ入力】!R34</f>
        <v>356.56904436170191</v>
      </c>
      <c r="W9" s="451"/>
      <c r="X9" s="450">
        <f>【データ入力】!S34</f>
        <v>541.01539377514564</v>
      </c>
      <c r="Y9" s="451"/>
      <c r="Z9" s="450">
        <f>【データ入力】!T34</f>
        <v>736.43240970438228</v>
      </c>
      <c r="AA9" s="451"/>
      <c r="AB9" s="478">
        <f>【データ入力】!U34</f>
        <v>1277.4478034795279</v>
      </c>
      <c r="AC9" s="479"/>
    </row>
    <row r="10" spans="2:40" ht="39" customHeight="1" x14ac:dyDescent="0.25">
      <c r="N10" s="439"/>
      <c r="O10" s="151" t="s">
        <v>78</v>
      </c>
      <c r="P10" s="499">
        <f>P9/P8</f>
        <v>0.99850865118703802</v>
      </c>
      <c r="Q10" s="500"/>
      <c r="R10" s="501">
        <f t="shared" ref="R10" si="6">R9/R8</f>
        <v>0.98771122202847816</v>
      </c>
      <c r="S10" s="501"/>
      <c r="T10" s="501">
        <f t="shared" ref="T10" si="7">T9/T8</f>
        <v>1.1934110590067846</v>
      </c>
      <c r="U10" s="501"/>
      <c r="V10" s="501">
        <f t="shared" ref="V10" si="8">V9/V8</f>
        <v>1.1436112641874536</v>
      </c>
      <c r="W10" s="501"/>
      <c r="X10" s="501">
        <f t="shared" ref="X10" si="9">X9/X8</f>
        <v>0.99246879690831269</v>
      </c>
      <c r="Y10" s="501"/>
      <c r="Z10" s="501">
        <f t="shared" ref="Z10" si="10">Z9/Z8</f>
        <v>1.1687683574034846</v>
      </c>
      <c r="AA10" s="501"/>
      <c r="AB10" s="501">
        <f t="shared" ref="AB10" si="11">AB9/AB8</f>
        <v>1.086992102828598</v>
      </c>
      <c r="AC10" s="502"/>
    </row>
    <row r="11" spans="2:40" ht="39" customHeight="1" x14ac:dyDescent="0.25">
      <c r="N11" s="435" t="s">
        <v>21</v>
      </c>
      <c r="O11" s="163" t="s">
        <v>77</v>
      </c>
      <c r="P11" s="433">
        <f>P8/P5</f>
        <v>0.16156797790227315</v>
      </c>
      <c r="Q11" s="434"/>
      <c r="R11" s="432">
        <f t="shared" ref="R11" si="12">R8/R5</f>
        <v>0.19557244633693693</v>
      </c>
      <c r="S11" s="432"/>
      <c r="T11" s="432">
        <f t="shared" ref="T11" si="13">T8/T5</f>
        <v>0.20194015218806069</v>
      </c>
      <c r="U11" s="432"/>
      <c r="V11" s="432">
        <f t="shared" ref="V11" si="14">V8/V5</f>
        <v>0.20257304018909839</v>
      </c>
      <c r="W11" s="432"/>
      <c r="X11" s="432">
        <f t="shared" ref="X11" si="15">X8/X5</f>
        <v>0.17897510255553903</v>
      </c>
      <c r="Y11" s="432"/>
      <c r="Z11" s="432">
        <f t="shared" ref="Z11" si="16">Z8/Z5</f>
        <v>0.20225283254090395</v>
      </c>
      <c r="AA11" s="432"/>
      <c r="AB11" s="469">
        <f t="shared" ref="AB11" si="17">AB8/AB5</f>
        <v>0.19074540929797179</v>
      </c>
      <c r="AC11" s="470"/>
    </row>
    <row r="12" spans="2:40" ht="39" customHeight="1" x14ac:dyDescent="0.25">
      <c r="N12" s="436"/>
      <c r="O12" s="203" t="s">
        <v>85</v>
      </c>
      <c r="P12" s="442">
        <f>P9/P6</f>
        <v>0.158616421515481</v>
      </c>
      <c r="Q12" s="443"/>
      <c r="R12" s="431">
        <f t="shared" ref="R12" si="18">R9/R6</f>
        <v>0.1786339717779285</v>
      </c>
      <c r="S12" s="431"/>
      <c r="T12" s="431">
        <f t="shared" ref="T12" si="19">T9/T6</f>
        <v>0.2041348337093585</v>
      </c>
      <c r="U12" s="431"/>
      <c r="V12" s="431">
        <f t="shared" ref="V12" si="20">V9/V6</f>
        <v>0.20016155652675091</v>
      </c>
      <c r="W12" s="431"/>
      <c r="X12" s="431">
        <f t="shared" ref="X12" si="21">X9/X6</f>
        <v>0.1691697331112455</v>
      </c>
      <c r="Y12" s="431"/>
      <c r="Z12" s="431">
        <f t="shared" ref="Z12" si="22">Z9/Z6</f>
        <v>0.20219152460820364</v>
      </c>
      <c r="AA12" s="431"/>
      <c r="AB12" s="431">
        <f t="shared" ref="AB12" si="23">AB9/AB6</f>
        <v>0.18675279583579049</v>
      </c>
      <c r="AC12" s="471"/>
    </row>
    <row r="13" spans="2:40" ht="12" customHeight="1" x14ac:dyDescent="0.25">
      <c r="AA13" s="183"/>
      <c r="AH13" s="3"/>
      <c r="AI13" s="3"/>
      <c r="AJ13" s="3"/>
    </row>
    <row r="14" spans="2:40" s="39" customFormat="1" ht="35.25" customHeight="1" x14ac:dyDescent="0.25">
      <c r="B14" s="184"/>
      <c r="C14" s="185" t="s">
        <v>16</v>
      </c>
      <c r="D14" s="186" t="s">
        <v>86</v>
      </c>
      <c r="E14" s="187"/>
      <c r="F14" s="187"/>
      <c r="G14" s="188"/>
      <c r="H14" s="189"/>
      <c r="I14" s="185"/>
      <c r="J14" s="185"/>
      <c r="K14" s="185"/>
      <c r="L14" s="185"/>
      <c r="M14" s="185"/>
      <c r="N14" s="185"/>
      <c r="O14" s="185"/>
      <c r="P14" s="198" t="s">
        <v>73</v>
      </c>
      <c r="Q14" s="199" t="s">
        <v>87</v>
      </c>
      <c r="R14" s="200"/>
      <c r="S14" s="195"/>
      <c r="T14" s="194"/>
      <c r="U14" s="194"/>
      <c r="V14" s="194"/>
      <c r="W14" s="196"/>
      <c r="X14" s="196"/>
      <c r="Y14" s="196"/>
      <c r="Z14" s="196"/>
      <c r="AA14" s="196"/>
      <c r="AB14" s="196"/>
      <c r="AC14" s="197"/>
    </row>
    <row r="15" spans="2:40" ht="24" customHeight="1" x14ac:dyDescent="0.25">
      <c r="B15" s="124"/>
      <c r="C15" s="134" t="s">
        <v>79</v>
      </c>
      <c r="D15" s="41"/>
      <c r="E15" s="41"/>
      <c r="F15" s="41"/>
      <c r="G15" s="41"/>
      <c r="I15" s="41"/>
      <c r="J15" s="41"/>
      <c r="K15" s="41"/>
      <c r="L15" s="41"/>
      <c r="M15" s="41"/>
      <c r="N15" s="41"/>
      <c r="O15" s="41"/>
      <c r="P15" s="190" t="s">
        <v>82</v>
      </c>
      <c r="S15" s="41"/>
      <c r="T15" s="41"/>
      <c r="U15" s="41"/>
      <c r="V15" s="41"/>
      <c r="X15" s="41"/>
      <c r="Y15" s="41"/>
      <c r="Z15" s="41"/>
      <c r="AA15" s="41"/>
      <c r="AB15" s="41"/>
      <c r="AC15" s="67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2:40" ht="24" customHeight="1" x14ac:dyDescent="0.25">
      <c r="B16" s="125"/>
      <c r="C16" s="215"/>
      <c r="D16" s="211"/>
      <c r="E16" s="41"/>
      <c r="F16" s="41"/>
      <c r="G16" s="41"/>
      <c r="I16" s="41"/>
      <c r="J16" s="41"/>
      <c r="K16" s="41"/>
      <c r="L16" s="41"/>
      <c r="M16" s="41"/>
      <c r="N16" s="41"/>
      <c r="O16" s="41"/>
      <c r="P16" s="143"/>
      <c r="Q16" s="215"/>
      <c r="S16" s="46"/>
      <c r="T16" s="41"/>
      <c r="U16" s="41"/>
      <c r="V16" s="41"/>
      <c r="Y16" s="41"/>
      <c r="Z16" s="41"/>
      <c r="AA16" s="41"/>
      <c r="AB16" s="41"/>
      <c r="AC16" s="67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2:40" ht="24" customHeight="1" x14ac:dyDescent="0.25">
      <c r="B17" s="124"/>
      <c r="C17" s="215" t="s">
        <v>94</v>
      </c>
      <c r="D17" s="211"/>
      <c r="E17" s="211"/>
      <c r="F17" s="211"/>
      <c r="G17" s="211"/>
      <c r="H17" s="211"/>
      <c r="I17" s="211"/>
      <c r="J17" s="216"/>
      <c r="K17" s="212"/>
      <c r="L17" s="212"/>
      <c r="M17" s="212"/>
      <c r="N17" s="217"/>
      <c r="O17" s="217"/>
      <c r="P17" s="144"/>
      <c r="Q17" s="215" t="s">
        <v>98</v>
      </c>
      <c r="S17" s="147"/>
      <c r="T17" s="43"/>
      <c r="Y17" s="41"/>
      <c r="Z17" s="212" t="s">
        <v>100</v>
      </c>
      <c r="AA17" s="41"/>
      <c r="AB17" s="41"/>
      <c r="AC17" s="67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2:40" ht="24" customHeight="1" x14ac:dyDescent="0.25">
      <c r="B18" s="124"/>
      <c r="C18" s="218"/>
      <c r="D18" s="212" t="s">
        <v>96</v>
      </c>
      <c r="E18" s="211"/>
      <c r="F18" s="219"/>
      <c r="G18" s="219"/>
      <c r="H18" s="211"/>
      <c r="I18" s="219"/>
      <c r="J18" s="213"/>
      <c r="K18" s="212"/>
      <c r="L18" s="212"/>
      <c r="M18" s="212"/>
      <c r="N18" s="211"/>
      <c r="O18" s="211"/>
      <c r="P18" s="145"/>
      <c r="R18" s="215" t="s">
        <v>99</v>
      </c>
      <c r="S18" s="149"/>
      <c r="U18" s="45"/>
      <c r="X18" s="45"/>
      <c r="Z18" s="44"/>
      <c r="AA18" s="41"/>
      <c r="AB18" s="41"/>
      <c r="AC18" s="67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2:40" ht="24" customHeight="1" x14ac:dyDescent="0.25">
      <c r="B19" s="124"/>
      <c r="C19" s="214"/>
      <c r="D19" s="216" t="s">
        <v>97</v>
      </c>
      <c r="E19" s="220"/>
      <c r="F19" s="219"/>
      <c r="G19" s="219"/>
      <c r="H19" s="211"/>
      <c r="I19" s="219"/>
      <c r="J19" s="219"/>
      <c r="K19" s="216"/>
      <c r="L19" s="212"/>
      <c r="M19" s="212"/>
      <c r="N19" s="216"/>
      <c r="O19" s="216"/>
      <c r="P19" s="145"/>
      <c r="Q19" s="212" t="s">
        <v>101</v>
      </c>
      <c r="S19" s="147"/>
      <c r="T19" s="41"/>
      <c r="W19" s="132"/>
      <c r="Y19" s="41"/>
      <c r="Z19" s="41"/>
      <c r="AA19" s="41"/>
      <c r="AB19" s="41"/>
      <c r="AC19" s="67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2:40" ht="24" customHeight="1" x14ac:dyDescent="0.25">
      <c r="B20" s="124"/>
      <c r="C20" s="218" t="s">
        <v>95</v>
      </c>
      <c r="D20" s="216"/>
      <c r="E20" s="220"/>
      <c r="F20" s="219"/>
      <c r="G20" s="219"/>
      <c r="H20" s="211"/>
      <c r="I20" s="219"/>
      <c r="J20" s="219"/>
      <c r="K20" s="216"/>
      <c r="L20" s="212"/>
      <c r="M20" s="212"/>
      <c r="N20" s="216"/>
      <c r="O20" s="216"/>
      <c r="P20" s="145"/>
      <c r="S20" s="140"/>
      <c r="T20" s="41"/>
      <c r="W20" s="132"/>
      <c r="Y20" s="41"/>
      <c r="Z20" s="41"/>
      <c r="AA20" s="41"/>
      <c r="AB20" s="41"/>
      <c r="AC20" s="67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2:40" ht="24" customHeight="1" x14ac:dyDescent="0.25">
      <c r="B21" s="124"/>
      <c r="C21" s="218" t="s">
        <v>148</v>
      </c>
      <c r="D21" s="116"/>
      <c r="F21" s="43"/>
      <c r="G21" s="45"/>
      <c r="I21" s="45"/>
      <c r="J21" s="45"/>
      <c r="K21" s="46"/>
      <c r="L21" s="44"/>
      <c r="M21" s="44"/>
      <c r="N21" s="41"/>
      <c r="O21" s="41"/>
      <c r="P21" s="145"/>
      <c r="Q21" s="212" t="s">
        <v>147</v>
      </c>
      <c r="T21" s="118"/>
      <c r="Y21" s="41"/>
      <c r="Z21" s="41"/>
      <c r="AA21" s="41"/>
      <c r="AB21" s="41"/>
      <c r="AC21" s="67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2:40" ht="24" customHeight="1" x14ac:dyDescent="0.25">
      <c r="B22" s="124"/>
      <c r="F22" s="41"/>
      <c r="G22" s="41"/>
      <c r="I22" s="41"/>
      <c r="J22" s="41"/>
      <c r="K22" s="41"/>
      <c r="L22" s="41"/>
      <c r="M22" s="41"/>
      <c r="N22" s="41"/>
      <c r="O22" s="41"/>
      <c r="P22" s="145"/>
      <c r="S22" s="135"/>
      <c r="T22" s="119"/>
      <c r="Y22" s="41"/>
      <c r="Z22" s="41"/>
      <c r="AA22" s="41"/>
      <c r="AB22" s="41"/>
      <c r="AC22" s="67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2:40" ht="24" customHeight="1" x14ac:dyDescent="0.25">
      <c r="B23" s="124"/>
      <c r="C23" s="134" t="s">
        <v>84</v>
      </c>
      <c r="F23" s="41"/>
      <c r="G23" s="41"/>
      <c r="I23" s="41"/>
      <c r="J23" s="41"/>
      <c r="K23" s="41"/>
      <c r="L23" s="41"/>
      <c r="M23" s="41"/>
      <c r="N23" s="41"/>
      <c r="O23" s="41"/>
      <c r="P23" s="190" t="s">
        <v>67</v>
      </c>
      <c r="S23" s="148"/>
      <c r="V23" s="120"/>
      <c r="W23" s="120"/>
      <c r="X23" s="120"/>
      <c r="AA23" s="41"/>
      <c r="AB23" s="41"/>
      <c r="AC23" s="67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2:40" ht="24" customHeight="1" x14ac:dyDescent="0.25">
      <c r="B24" s="124"/>
      <c r="C24" s="218" t="s">
        <v>145</v>
      </c>
      <c r="D24" s="135"/>
      <c r="F24" s="41"/>
      <c r="G24" s="41"/>
      <c r="I24" s="41"/>
      <c r="J24" s="41"/>
      <c r="K24" s="41"/>
      <c r="L24" s="41"/>
      <c r="M24" s="41"/>
      <c r="N24" s="41"/>
      <c r="O24" s="41"/>
      <c r="P24" s="191"/>
      <c r="Q24" s="218" t="s">
        <v>146</v>
      </c>
      <c r="S24" s="141"/>
      <c r="V24" s="120"/>
      <c r="W24" s="120"/>
      <c r="X24" s="120"/>
      <c r="AA24" s="41"/>
      <c r="AB24" s="41"/>
      <c r="AC24" s="67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2:40" ht="24" customHeight="1" x14ac:dyDescent="0.25">
      <c r="B25" s="124"/>
      <c r="G25" s="41"/>
      <c r="I25" s="41"/>
      <c r="J25" s="41"/>
      <c r="K25" s="41"/>
      <c r="L25" s="41"/>
      <c r="M25" s="41"/>
      <c r="N25" s="41"/>
      <c r="O25" s="41"/>
      <c r="P25" s="191"/>
      <c r="S25" s="26"/>
      <c r="T25" s="119"/>
      <c r="W25" s="133"/>
      <c r="Y25" s="92"/>
      <c r="Z25" s="92"/>
      <c r="AA25" s="41"/>
      <c r="AB25" s="41"/>
      <c r="AC25" s="67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24" customHeight="1" x14ac:dyDescent="0.25">
      <c r="B26" s="124"/>
      <c r="C26" s="134" t="s">
        <v>74</v>
      </c>
      <c r="D26" s="116"/>
      <c r="F26" s="41"/>
      <c r="G26" s="45"/>
      <c r="I26" s="41"/>
      <c r="J26" s="41"/>
      <c r="K26" s="41"/>
      <c r="L26" s="41"/>
      <c r="M26" s="41"/>
      <c r="N26" s="41"/>
      <c r="O26" s="41"/>
      <c r="P26" s="190" t="s">
        <v>75</v>
      </c>
      <c r="S26" s="148"/>
      <c r="U26" s="41"/>
      <c r="V26" s="41"/>
      <c r="X26" s="121"/>
      <c r="Y26" s="118"/>
      <c r="Z26" s="120"/>
      <c r="AA26" s="92"/>
      <c r="AB26" s="92"/>
      <c r="AC26" s="67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2:40" ht="24" customHeight="1" x14ac:dyDescent="0.25">
      <c r="B27" s="124"/>
      <c r="C27" s="218" t="s">
        <v>102</v>
      </c>
      <c r="D27" s="116"/>
      <c r="F27" s="41"/>
      <c r="G27" s="45"/>
      <c r="I27" s="41"/>
      <c r="J27" s="41"/>
      <c r="K27" s="41"/>
      <c r="L27" s="41"/>
      <c r="M27" s="41"/>
      <c r="N27" s="41"/>
      <c r="O27" s="41"/>
      <c r="P27" s="192"/>
      <c r="Q27" s="218" t="s">
        <v>106</v>
      </c>
      <c r="S27" s="148"/>
      <c r="U27" s="41"/>
      <c r="V27" s="41"/>
      <c r="X27" s="121"/>
      <c r="Y27" s="118"/>
      <c r="Z27" s="120"/>
      <c r="AA27" s="92"/>
      <c r="AB27" s="92"/>
      <c r="AC27" s="67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2:40" ht="24" customHeight="1" x14ac:dyDescent="0.25">
      <c r="B28" s="124"/>
      <c r="C28" s="218" t="s">
        <v>105</v>
      </c>
      <c r="D28" s="116"/>
      <c r="F28" s="41"/>
      <c r="G28" s="45"/>
      <c r="I28" s="41"/>
      <c r="J28" s="41"/>
      <c r="K28" s="41"/>
      <c r="L28" s="41"/>
      <c r="M28" s="41"/>
      <c r="N28" s="41"/>
      <c r="O28" s="41"/>
      <c r="P28" s="192"/>
      <c r="Q28" s="218" t="s">
        <v>107</v>
      </c>
      <c r="S28" s="148"/>
      <c r="U28" s="41"/>
      <c r="V28" s="41"/>
      <c r="X28" s="121"/>
      <c r="Y28" s="118"/>
      <c r="Z28" s="120"/>
      <c r="AA28" s="92"/>
      <c r="AB28" s="92"/>
      <c r="AC28" s="67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2:40" ht="24" customHeight="1" x14ac:dyDescent="0.25">
      <c r="B29" s="124"/>
      <c r="C29" s="218" t="s">
        <v>103</v>
      </c>
      <c r="D29" s="116"/>
      <c r="F29" s="43"/>
      <c r="G29" s="45"/>
      <c r="I29" s="41"/>
      <c r="J29" s="41"/>
      <c r="K29" s="41"/>
      <c r="L29" s="41"/>
      <c r="M29" s="41"/>
      <c r="N29" s="41"/>
      <c r="O29" s="41"/>
      <c r="P29" s="192"/>
      <c r="Q29" s="218" t="s">
        <v>108</v>
      </c>
      <c r="S29" s="148"/>
      <c r="U29" s="115"/>
      <c r="AA29" s="92"/>
      <c r="AB29" s="92"/>
      <c r="AC29" s="67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2:40" ht="24" customHeight="1" x14ac:dyDescent="0.25">
      <c r="B30" s="124"/>
      <c r="C30" s="218" t="s">
        <v>104</v>
      </c>
      <c r="D30" s="116"/>
      <c r="F30" s="43"/>
      <c r="G30" s="45"/>
      <c r="I30" s="45"/>
      <c r="J30" s="45"/>
      <c r="K30" s="41"/>
      <c r="L30" s="44"/>
      <c r="M30" s="44"/>
      <c r="N30" s="41"/>
      <c r="O30" s="41"/>
      <c r="P30" s="145"/>
      <c r="Q30" s="218" t="s">
        <v>109</v>
      </c>
      <c r="S30" s="148"/>
      <c r="AA30" s="92"/>
      <c r="AB30" s="92"/>
      <c r="AC30" s="67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2:40" ht="24" customHeight="1" x14ac:dyDescent="0.25">
      <c r="B31" s="126"/>
      <c r="C31" s="146"/>
      <c r="D31" s="123"/>
      <c r="E31" s="123"/>
      <c r="F31" s="127"/>
      <c r="G31" s="123"/>
      <c r="H31" s="123"/>
      <c r="I31" s="127"/>
      <c r="J31" s="127"/>
      <c r="K31" s="122"/>
      <c r="L31" s="123"/>
      <c r="M31" s="128"/>
      <c r="N31" s="122"/>
      <c r="O31" s="122"/>
      <c r="P31" s="193"/>
      <c r="Q31" s="123"/>
      <c r="R31" s="123"/>
      <c r="S31" s="142"/>
      <c r="T31" s="123"/>
      <c r="U31" s="123"/>
      <c r="V31" s="123"/>
      <c r="W31" s="123"/>
      <c r="X31" s="129"/>
      <c r="Y31" s="129"/>
      <c r="Z31" s="123"/>
      <c r="AA31" s="130"/>
      <c r="AB31" s="130"/>
      <c r="AC31" s="131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2:40" ht="15" customHeight="1" x14ac:dyDescent="0.25">
      <c r="B32" s="5"/>
      <c r="C32" s="117"/>
      <c r="I32" s="45"/>
      <c r="J32" s="45"/>
      <c r="K32" s="41"/>
      <c r="M32" s="44"/>
      <c r="N32" s="41"/>
      <c r="O32" s="5"/>
      <c r="T32" s="41"/>
      <c r="U32" s="41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2:3" ht="15" customHeight="1" x14ac:dyDescent="0.25">
      <c r="C33" s="148"/>
    </row>
    <row r="35" spans="2:3" ht="15" customHeight="1" x14ac:dyDescent="0.25">
      <c r="B35" s="6"/>
    </row>
    <row r="36" spans="2:3" ht="15" customHeight="1" x14ac:dyDescent="0.25">
      <c r="B36" s="6"/>
    </row>
    <row r="69" s="7" customFormat="1" ht="15" customHeight="1" x14ac:dyDescent="0.25"/>
    <row r="70" s="7" customFormat="1" ht="15" customHeight="1" x14ac:dyDescent="0.25"/>
    <row r="71" s="7" customFormat="1" ht="15" customHeight="1" x14ac:dyDescent="0.25"/>
    <row r="78" s="7" customFormat="1" ht="15" customHeight="1" x14ac:dyDescent="0.25"/>
  </sheetData>
  <mergeCells count="70">
    <mergeCell ref="AB10:AC10"/>
    <mergeCell ref="AB11:AC11"/>
    <mergeCell ref="AB12:AC12"/>
    <mergeCell ref="Z5:AA5"/>
    <mergeCell ref="Z6:AA6"/>
    <mergeCell ref="Z8:AA8"/>
    <mergeCell ref="Z9:AA9"/>
    <mergeCell ref="Z11:AA11"/>
    <mergeCell ref="Z12:AA12"/>
    <mergeCell ref="Z7:AA7"/>
    <mergeCell ref="Z10:AA10"/>
    <mergeCell ref="AB5:AC5"/>
    <mergeCell ref="AB6:AC6"/>
    <mergeCell ref="AB7:AC7"/>
    <mergeCell ref="AB8:AC8"/>
    <mergeCell ref="AB9:AC9"/>
    <mergeCell ref="X7:Y7"/>
    <mergeCell ref="X6:Y6"/>
    <mergeCell ref="R10:S10"/>
    <mergeCell ref="X5:Y5"/>
    <mergeCell ref="P6:Q6"/>
    <mergeCell ref="P7:Q7"/>
    <mergeCell ref="R6:S6"/>
    <mergeCell ref="T6:U6"/>
    <mergeCell ref="V6:W6"/>
    <mergeCell ref="X9:Y9"/>
    <mergeCell ref="X8:Y8"/>
    <mergeCell ref="X10:Y10"/>
    <mergeCell ref="V10:W10"/>
    <mergeCell ref="T10:U10"/>
    <mergeCell ref="AB3:AC3"/>
    <mergeCell ref="N4:O4"/>
    <mergeCell ref="P4:Q4"/>
    <mergeCell ref="R4:S4"/>
    <mergeCell ref="T4:U4"/>
    <mergeCell ref="X4:Y4"/>
    <mergeCell ref="Z4:AA4"/>
    <mergeCell ref="V4:W4"/>
    <mergeCell ref="AB4:AC4"/>
    <mergeCell ref="C2:M2"/>
    <mergeCell ref="N5:N7"/>
    <mergeCell ref="O2:W2"/>
    <mergeCell ref="T9:U9"/>
    <mergeCell ref="V9:W9"/>
    <mergeCell ref="V8:W8"/>
    <mergeCell ref="P9:Q9"/>
    <mergeCell ref="T5:U5"/>
    <mergeCell ref="R8:S8"/>
    <mergeCell ref="R9:S9"/>
    <mergeCell ref="R5:S5"/>
    <mergeCell ref="R7:S7"/>
    <mergeCell ref="V5:W5"/>
    <mergeCell ref="T7:U7"/>
    <mergeCell ref="V7:W7"/>
    <mergeCell ref="T8:U8"/>
    <mergeCell ref="P11:Q11"/>
    <mergeCell ref="P10:Q10"/>
    <mergeCell ref="N11:N12"/>
    <mergeCell ref="N8:N10"/>
    <mergeCell ref="P5:Q5"/>
    <mergeCell ref="P12:Q12"/>
    <mergeCell ref="P8:Q8"/>
    <mergeCell ref="R12:S12"/>
    <mergeCell ref="X12:Y12"/>
    <mergeCell ref="R11:S11"/>
    <mergeCell ref="V11:W11"/>
    <mergeCell ref="X11:Y11"/>
    <mergeCell ref="T11:U11"/>
    <mergeCell ref="T12:U12"/>
    <mergeCell ref="V12:W12"/>
  </mergeCells>
  <phoneticPr fontId="2"/>
  <printOptions horizontalCentered="1" verticalCentered="1"/>
  <pageMargins left="0" right="0" top="0.39370078740157483" bottom="0" header="0" footer="0"/>
  <pageSetup paperSize="9" scale="63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5"/>
  <sheetViews>
    <sheetView topLeftCell="C24" workbookViewId="0">
      <selection activeCell="D34" sqref="A34:XFD34"/>
    </sheetView>
  </sheetViews>
  <sheetFormatPr defaultRowHeight="12.75" x14ac:dyDescent="0.2"/>
  <cols>
    <col min="1" max="1" width="25.85546875" style="221" customWidth="1"/>
    <col min="2" max="2" width="9.28515625" style="221" hidden="1" customWidth="1"/>
    <col min="3" max="3" width="9.42578125" style="221" customWidth="1"/>
    <col min="4" max="4" width="14.140625" style="221" customWidth="1"/>
    <col min="5" max="5" width="13" style="221" customWidth="1"/>
    <col min="6" max="16" width="10.85546875" style="221" customWidth="1"/>
    <col min="17" max="17" width="3.140625" style="221" customWidth="1"/>
    <col min="18" max="21" width="10.85546875" style="221" customWidth="1"/>
    <col min="22" max="22" width="2.85546875" style="221" customWidth="1"/>
    <col min="23" max="24" width="10.85546875" style="221" customWidth="1"/>
    <col min="25" max="25" width="2.42578125" style="221" customWidth="1"/>
    <col min="26" max="27" width="13.140625" style="221" customWidth="1"/>
    <col min="28" max="28" width="15.7109375" style="221" customWidth="1"/>
    <col min="29" max="29" width="13.85546875" style="221" customWidth="1"/>
    <col min="30" max="30" width="9.140625" style="225" customWidth="1"/>
    <col min="31" max="220" width="9.140625" style="221"/>
    <col min="221" max="221" width="25.85546875" style="221" customWidth="1"/>
    <col min="222" max="222" width="0" style="221" hidden="1" customWidth="1"/>
    <col min="223" max="223" width="9.42578125" style="221" customWidth="1"/>
    <col min="224" max="259" width="14.140625" style="221" customWidth="1"/>
    <col min="260" max="261" width="13" style="221" customWidth="1"/>
    <col min="262" max="272" width="10.85546875" style="221" customWidth="1"/>
    <col min="273" max="273" width="3.140625" style="221" customWidth="1"/>
    <col min="274" max="277" width="10.85546875" style="221" customWidth="1"/>
    <col min="278" max="278" width="2.85546875" style="221" customWidth="1"/>
    <col min="279" max="280" width="10.85546875" style="221" customWidth="1"/>
    <col min="281" max="281" width="2.42578125" style="221" customWidth="1"/>
    <col min="282" max="283" width="13.140625" style="221" customWidth="1"/>
    <col min="284" max="284" width="15.7109375" style="221" customWidth="1"/>
    <col min="285" max="285" width="13.85546875" style="221" customWidth="1"/>
    <col min="286" max="286" width="9.140625" style="221" customWidth="1"/>
    <col min="287" max="476" width="9.140625" style="221"/>
    <col min="477" max="477" width="25.85546875" style="221" customWidth="1"/>
    <col min="478" max="478" width="0" style="221" hidden="1" customWidth="1"/>
    <col min="479" max="479" width="9.42578125" style="221" customWidth="1"/>
    <col min="480" max="515" width="14.140625" style="221" customWidth="1"/>
    <col min="516" max="517" width="13" style="221" customWidth="1"/>
    <col min="518" max="528" width="10.85546875" style="221" customWidth="1"/>
    <col min="529" max="529" width="3.140625" style="221" customWidth="1"/>
    <col min="530" max="533" width="10.85546875" style="221" customWidth="1"/>
    <col min="534" max="534" width="2.85546875" style="221" customWidth="1"/>
    <col min="535" max="536" width="10.85546875" style="221" customWidth="1"/>
    <col min="537" max="537" width="2.42578125" style="221" customWidth="1"/>
    <col min="538" max="539" width="13.140625" style="221" customWidth="1"/>
    <col min="540" max="540" width="15.7109375" style="221" customWidth="1"/>
    <col min="541" max="541" width="13.85546875" style="221" customWidth="1"/>
    <col min="542" max="542" width="9.140625" style="221" customWidth="1"/>
    <col min="543" max="732" width="9.140625" style="221"/>
    <col min="733" max="733" width="25.85546875" style="221" customWidth="1"/>
    <col min="734" max="734" width="0" style="221" hidden="1" customWidth="1"/>
    <col min="735" max="735" width="9.42578125" style="221" customWidth="1"/>
    <col min="736" max="771" width="14.140625" style="221" customWidth="1"/>
    <col min="772" max="773" width="13" style="221" customWidth="1"/>
    <col min="774" max="784" width="10.85546875" style="221" customWidth="1"/>
    <col min="785" max="785" width="3.140625" style="221" customWidth="1"/>
    <col min="786" max="789" width="10.85546875" style="221" customWidth="1"/>
    <col min="790" max="790" width="2.85546875" style="221" customWidth="1"/>
    <col min="791" max="792" width="10.85546875" style="221" customWidth="1"/>
    <col min="793" max="793" width="2.42578125" style="221" customWidth="1"/>
    <col min="794" max="795" width="13.140625" style="221" customWidth="1"/>
    <col min="796" max="796" width="15.7109375" style="221" customWidth="1"/>
    <col min="797" max="797" width="13.85546875" style="221" customWidth="1"/>
    <col min="798" max="798" width="9.140625" style="221" customWidth="1"/>
    <col min="799" max="988" width="9.140625" style="221"/>
    <col min="989" max="989" width="25.85546875" style="221" customWidth="1"/>
    <col min="990" max="990" width="0" style="221" hidden="1" customWidth="1"/>
    <col min="991" max="991" width="9.42578125" style="221" customWidth="1"/>
    <col min="992" max="1027" width="14.140625" style="221" customWidth="1"/>
    <col min="1028" max="1029" width="13" style="221" customWidth="1"/>
    <col min="1030" max="1040" width="10.85546875" style="221" customWidth="1"/>
    <col min="1041" max="1041" width="3.140625" style="221" customWidth="1"/>
    <col min="1042" max="1045" width="10.85546875" style="221" customWidth="1"/>
    <col min="1046" max="1046" width="2.85546875" style="221" customWidth="1"/>
    <col min="1047" max="1048" width="10.85546875" style="221" customWidth="1"/>
    <col min="1049" max="1049" width="2.42578125" style="221" customWidth="1"/>
    <col min="1050" max="1051" width="13.140625" style="221" customWidth="1"/>
    <col min="1052" max="1052" width="15.7109375" style="221" customWidth="1"/>
    <col min="1053" max="1053" width="13.85546875" style="221" customWidth="1"/>
    <col min="1054" max="1054" width="9.140625" style="221" customWidth="1"/>
    <col min="1055" max="1244" width="9.140625" style="221"/>
    <col min="1245" max="1245" width="25.85546875" style="221" customWidth="1"/>
    <col min="1246" max="1246" width="0" style="221" hidden="1" customWidth="1"/>
    <col min="1247" max="1247" width="9.42578125" style="221" customWidth="1"/>
    <col min="1248" max="1283" width="14.140625" style="221" customWidth="1"/>
    <col min="1284" max="1285" width="13" style="221" customWidth="1"/>
    <col min="1286" max="1296" width="10.85546875" style="221" customWidth="1"/>
    <col min="1297" max="1297" width="3.140625" style="221" customWidth="1"/>
    <col min="1298" max="1301" width="10.85546875" style="221" customWidth="1"/>
    <col min="1302" max="1302" width="2.85546875" style="221" customWidth="1"/>
    <col min="1303" max="1304" width="10.85546875" style="221" customWidth="1"/>
    <col min="1305" max="1305" width="2.42578125" style="221" customWidth="1"/>
    <col min="1306" max="1307" width="13.140625" style="221" customWidth="1"/>
    <col min="1308" max="1308" width="15.7109375" style="221" customWidth="1"/>
    <col min="1309" max="1309" width="13.85546875" style="221" customWidth="1"/>
    <col min="1310" max="1310" width="9.140625" style="221" customWidth="1"/>
    <col min="1311" max="1500" width="9.140625" style="221"/>
    <col min="1501" max="1501" width="25.85546875" style="221" customWidth="1"/>
    <col min="1502" max="1502" width="0" style="221" hidden="1" customWidth="1"/>
    <col min="1503" max="1503" width="9.42578125" style="221" customWidth="1"/>
    <col min="1504" max="1539" width="14.140625" style="221" customWidth="1"/>
    <col min="1540" max="1541" width="13" style="221" customWidth="1"/>
    <col min="1542" max="1552" width="10.85546875" style="221" customWidth="1"/>
    <col min="1553" max="1553" width="3.140625" style="221" customWidth="1"/>
    <col min="1554" max="1557" width="10.85546875" style="221" customWidth="1"/>
    <col min="1558" max="1558" width="2.85546875" style="221" customWidth="1"/>
    <col min="1559" max="1560" width="10.85546875" style="221" customWidth="1"/>
    <col min="1561" max="1561" width="2.42578125" style="221" customWidth="1"/>
    <col min="1562" max="1563" width="13.140625" style="221" customWidth="1"/>
    <col min="1564" max="1564" width="15.7109375" style="221" customWidth="1"/>
    <col min="1565" max="1565" width="13.85546875" style="221" customWidth="1"/>
    <col min="1566" max="1566" width="9.140625" style="221" customWidth="1"/>
    <col min="1567" max="1756" width="9.140625" style="221"/>
    <col min="1757" max="1757" width="25.85546875" style="221" customWidth="1"/>
    <col min="1758" max="1758" width="0" style="221" hidden="1" customWidth="1"/>
    <col min="1759" max="1759" width="9.42578125" style="221" customWidth="1"/>
    <col min="1760" max="1795" width="14.140625" style="221" customWidth="1"/>
    <col min="1796" max="1797" width="13" style="221" customWidth="1"/>
    <col min="1798" max="1808" width="10.85546875" style="221" customWidth="1"/>
    <col min="1809" max="1809" width="3.140625" style="221" customWidth="1"/>
    <col min="1810" max="1813" width="10.85546875" style="221" customWidth="1"/>
    <col min="1814" max="1814" width="2.85546875" style="221" customWidth="1"/>
    <col min="1815" max="1816" width="10.85546875" style="221" customWidth="1"/>
    <col min="1817" max="1817" width="2.42578125" style="221" customWidth="1"/>
    <col min="1818" max="1819" width="13.140625" style="221" customWidth="1"/>
    <col min="1820" max="1820" width="15.7109375" style="221" customWidth="1"/>
    <col min="1821" max="1821" width="13.85546875" style="221" customWidth="1"/>
    <col min="1822" max="1822" width="9.140625" style="221" customWidth="1"/>
    <col min="1823" max="2012" width="9.140625" style="221"/>
    <col min="2013" max="2013" width="25.85546875" style="221" customWidth="1"/>
    <col min="2014" max="2014" width="0" style="221" hidden="1" customWidth="1"/>
    <col min="2015" max="2015" width="9.42578125" style="221" customWidth="1"/>
    <col min="2016" max="2051" width="14.140625" style="221" customWidth="1"/>
    <col min="2052" max="2053" width="13" style="221" customWidth="1"/>
    <col min="2054" max="2064" width="10.85546875" style="221" customWidth="1"/>
    <col min="2065" max="2065" width="3.140625" style="221" customWidth="1"/>
    <col min="2066" max="2069" width="10.85546875" style="221" customWidth="1"/>
    <col min="2070" max="2070" width="2.85546875" style="221" customWidth="1"/>
    <col min="2071" max="2072" width="10.85546875" style="221" customWidth="1"/>
    <col min="2073" max="2073" width="2.42578125" style="221" customWidth="1"/>
    <col min="2074" max="2075" width="13.140625" style="221" customWidth="1"/>
    <col min="2076" max="2076" width="15.7109375" style="221" customWidth="1"/>
    <col min="2077" max="2077" width="13.85546875" style="221" customWidth="1"/>
    <col min="2078" max="2078" width="9.140625" style="221" customWidth="1"/>
    <col min="2079" max="2268" width="9.140625" style="221"/>
    <col min="2269" max="2269" width="25.85546875" style="221" customWidth="1"/>
    <col min="2270" max="2270" width="0" style="221" hidden="1" customWidth="1"/>
    <col min="2271" max="2271" width="9.42578125" style="221" customWidth="1"/>
    <col min="2272" max="2307" width="14.140625" style="221" customWidth="1"/>
    <col min="2308" max="2309" width="13" style="221" customWidth="1"/>
    <col min="2310" max="2320" width="10.85546875" style="221" customWidth="1"/>
    <col min="2321" max="2321" width="3.140625" style="221" customWidth="1"/>
    <col min="2322" max="2325" width="10.85546875" style="221" customWidth="1"/>
    <col min="2326" max="2326" width="2.85546875" style="221" customWidth="1"/>
    <col min="2327" max="2328" width="10.85546875" style="221" customWidth="1"/>
    <col min="2329" max="2329" width="2.42578125" style="221" customWidth="1"/>
    <col min="2330" max="2331" width="13.140625" style="221" customWidth="1"/>
    <col min="2332" max="2332" width="15.7109375" style="221" customWidth="1"/>
    <col min="2333" max="2333" width="13.85546875" style="221" customWidth="1"/>
    <col min="2334" max="2334" width="9.140625" style="221" customWidth="1"/>
    <col min="2335" max="2524" width="9.140625" style="221"/>
    <col min="2525" max="2525" width="25.85546875" style="221" customWidth="1"/>
    <col min="2526" max="2526" width="0" style="221" hidden="1" customWidth="1"/>
    <col min="2527" max="2527" width="9.42578125" style="221" customWidth="1"/>
    <col min="2528" max="2563" width="14.140625" style="221" customWidth="1"/>
    <col min="2564" max="2565" width="13" style="221" customWidth="1"/>
    <col min="2566" max="2576" width="10.85546875" style="221" customWidth="1"/>
    <col min="2577" max="2577" width="3.140625" style="221" customWidth="1"/>
    <col min="2578" max="2581" width="10.85546875" style="221" customWidth="1"/>
    <col min="2582" max="2582" width="2.85546875" style="221" customWidth="1"/>
    <col min="2583" max="2584" width="10.85546875" style="221" customWidth="1"/>
    <col min="2585" max="2585" width="2.42578125" style="221" customWidth="1"/>
    <col min="2586" max="2587" width="13.140625" style="221" customWidth="1"/>
    <col min="2588" max="2588" width="15.7109375" style="221" customWidth="1"/>
    <col min="2589" max="2589" width="13.85546875" style="221" customWidth="1"/>
    <col min="2590" max="2590" width="9.140625" style="221" customWidth="1"/>
    <col min="2591" max="2780" width="9.140625" style="221"/>
    <col min="2781" max="2781" width="25.85546875" style="221" customWidth="1"/>
    <col min="2782" max="2782" width="0" style="221" hidden="1" customWidth="1"/>
    <col min="2783" max="2783" width="9.42578125" style="221" customWidth="1"/>
    <col min="2784" max="2819" width="14.140625" style="221" customWidth="1"/>
    <col min="2820" max="2821" width="13" style="221" customWidth="1"/>
    <col min="2822" max="2832" width="10.85546875" style="221" customWidth="1"/>
    <col min="2833" max="2833" width="3.140625" style="221" customWidth="1"/>
    <col min="2834" max="2837" width="10.85546875" style="221" customWidth="1"/>
    <col min="2838" max="2838" width="2.85546875" style="221" customWidth="1"/>
    <col min="2839" max="2840" width="10.85546875" style="221" customWidth="1"/>
    <col min="2841" max="2841" width="2.42578125" style="221" customWidth="1"/>
    <col min="2842" max="2843" width="13.140625" style="221" customWidth="1"/>
    <col min="2844" max="2844" width="15.7109375" style="221" customWidth="1"/>
    <col min="2845" max="2845" width="13.85546875" style="221" customWidth="1"/>
    <col min="2846" max="2846" width="9.140625" style="221" customWidth="1"/>
    <col min="2847" max="3036" width="9.140625" style="221"/>
    <col min="3037" max="3037" width="25.85546875" style="221" customWidth="1"/>
    <col min="3038" max="3038" width="0" style="221" hidden="1" customWidth="1"/>
    <col min="3039" max="3039" width="9.42578125" style="221" customWidth="1"/>
    <col min="3040" max="3075" width="14.140625" style="221" customWidth="1"/>
    <col min="3076" max="3077" width="13" style="221" customWidth="1"/>
    <col min="3078" max="3088" width="10.85546875" style="221" customWidth="1"/>
    <col min="3089" max="3089" width="3.140625" style="221" customWidth="1"/>
    <col min="3090" max="3093" width="10.85546875" style="221" customWidth="1"/>
    <col min="3094" max="3094" width="2.85546875" style="221" customWidth="1"/>
    <col min="3095" max="3096" width="10.85546875" style="221" customWidth="1"/>
    <col min="3097" max="3097" width="2.42578125" style="221" customWidth="1"/>
    <col min="3098" max="3099" width="13.140625" style="221" customWidth="1"/>
    <col min="3100" max="3100" width="15.7109375" style="221" customWidth="1"/>
    <col min="3101" max="3101" width="13.85546875" style="221" customWidth="1"/>
    <col min="3102" max="3102" width="9.140625" style="221" customWidth="1"/>
    <col min="3103" max="3292" width="9.140625" style="221"/>
    <col min="3293" max="3293" width="25.85546875" style="221" customWidth="1"/>
    <col min="3294" max="3294" width="0" style="221" hidden="1" customWidth="1"/>
    <col min="3295" max="3295" width="9.42578125" style="221" customWidth="1"/>
    <col min="3296" max="3331" width="14.140625" style="221" customWidth="1"/>
    <col min="3332" max="3333" width="13" style="221" customWidth="1"/>
    <col min="3334" max="3344" width="10.85546875" style="221" customWidth="1"/>
    <col min="3345" max="3345" width="3.140625" style="221" customWidth="1"/>
    <col min="3346" max="3349" width="10.85546875" style="221" customWidth="1"/>
    <col min="3350" max="3350" width="2.85546875" style="221" customWidth="1"/>
    <col min="3351" max="3352" width="10.85546875" style="221" customWidth="1"/>
    <col min="3353" max="3353" width="2.42578125" style="221" customWidth="1"/>
    <col min="3354" max="3355" width="13.140625" style="221" customWidth="1"/>
    <col min="3356" max="3356" width="15.7109375" style="221" customWidth="1"/>
    <col min="3357" max="3357" width="13.85546875" style="221" customWidth="1"/>
    <col min="3358" max="3358" width="9.140625" style="221" customWidth="1"/>
    <col min="3359" max="3548" width="9.140625" style="221"/>
    <col min="3549" max="3549" width="25.85546875" style="221" customWidth="1"/>
    <col min="3550" max="3550" width="0" style="221" hidden="1" customWidth="1"/>
    <col min="3551" max="3551" width="9.42578125" style="221" customWidth="1"/>
    <col min="3552" max="3587" width="14.140625" style="221" customWidth="1"/>
    <col min="3588" max="3589" width="13" style="221" customWidth="1"/>
    <col min="3590" max="3600" width="10.85546875" style="221" customWidth="1"/>
    <col min="3601" max="3601" width="3.140625" style="221" customWidth="1"/>
    <col min="3602" max="3605" width="10.85546875" style="221" customWidth="1"/>
    <col min="3606" max="3606" width="2.85546875" style="221" customWidth="1"/>
    <col min="3607" max="3608" width="10.85546875" style="221" customWidth="1"/>
    <col min="3609" max="3609" width="2.42578125" style="221" customWidth="1"/>
    <col min="3610" max="3611" width="13.140625" style="221" customWidth="1"/>
    <col min="3612" max="3612" width="15.7109375" style="221" customWidth="1"/>
    <col min="3613" max="3613" width="13.85546875" style="221" customWidth="1"/>
    <col min="3614" max="3614" width="9.140625" style="221" customWidth="1"/>
    <col min="3615" max="3804" width="9.140625" style="221"/>
    <col min="3805" max="3805" width="25.85546875" style="221" customWidth="1"/>
    <col min="3806" max="3806" width="0" style="221" hidden="1" customWidth="1"/>
    <col min="3807" max="3807" width="9.42578125" style="221" customWidth="1"/>
    <col min="3808" max="3843" width="14.140625" style="221" customWidth="1"/>
    <col min="3844" max="3845" width="13" style="221" customWidth="1"/>
    <col min="3846" max="3856" width="10.85546875" style="221" customWidth="1"/>
    <col min="3857" max="3857" width="3.140625" style="221" customWidth="1"/>
    <col min="3858" max="3861" width="10.85546875" style="221" customWidth="1"/>
    <col min="3862" max="3862" width="2.85546875" style="221" customWidth="1"/>
    <col min="3863" max="3864" width="10.85546875" style="221" customWidth="1"/>
    <col min="3865" max="3865" width="2.42578125" style="221" customWidth="1"/>
    <col min="3866" max="3867" width="13.140625" style="221" customWidth="1"/>
    <col min="3868" max="3868" width="15.7109375" style="221" customWidth="1"/>
    <col min="3869" max="3869" width="13.85546875" style="221" customWidth="1"/>
    <col min="3870" max="3870" width="9.140625" style="221" customWidth="1"/>
    <col min="3871" max="4060" width="9.140625" style="221"/>
    <col min="4061" max="4061" width="25.85546875" style="221" customWidth="1"/>
    <col min="4062" max="4062" width="0" style="221" hidden="1" customWidth="1"/>
    <col min="4063" max="4063" width="9.42578125" style="221" customWidth="1"/>
    <col min="4064" max="4099" width="14.140625" style="221" customWidth="1"/>
    <col min="4100" max="4101" width="13" style="221" customWidth="1"/>
    <col min="4102" max="4112" width="10.85546875" style="221" customWidth="1"/>
    <col min="4113" max="4113" width="3.140625" style="221" customWidth="1"/>
    <col min="4114" max="4117" width="10.85546875" style="221" customWidth="1"/>
    <col min="4118" max="4118" width="2.85546875" style="221" customWidth="1"/>
    <col min="4119" max="4120" width="10.85546875" style="221" customWidth="1"/>
    <col min="4121" max="4121" width="2.42578125" style="221" customWidth="1"/>
    <col min="4122" max="4123" width="13.140625" style="221" customWidth="1"/>
    <col min="4124" max="4124" width="15.7109375" style="221" customWidth="1"/>
    <col min="4125" max="4125" width="13.85546875" style="221" customWidth="1"/>
    <col min="4126" max="4126" width="9.140625" style="221" customWidth="1"/>
    <col min="4127" max="4316" width="9.140625" style="221"/>
    <col min="4317" max="4317" width="25.85546875" style="221" customWidth="1"/>
    <col min="4318" max="4318" width="0" style="221" hidden="1" customWidth="1"/>
    <col min="4319" max="4319" width="9.42578125" style="221" customWidth="1"/>
    <col min="4320" max="4355" width="14.140625" style="221" customWidth="1"/>
    <col min="4356" max="4357" width="13" style="221" customWidth="1"/>
    <col min="4358" max="4368" width="10.85546875" style="221" customWidth="1"/>
    <col min="4369" max="4369" width="3.140625" style="221" customWidth="1"/>
    <col min="4370" max="4373" width="10.85546875" style="221" customWidth="1"/>
    <col min="4374" max="4374" width="2.85546875" style="221" customWidth="1"/>
    <col min="4375" max="4376" width="10.85546875" style="221" customWidth="1"/>
    <col min="4377" max="4377" width="2.42578125" style="221" customWidth="1"/>
    <col min="4378" max="4379" width="13.140625" style="221" customWidth="1"/>
    <col min="4380" max="4380" width="15.7109375" style="221" customWidth="1"/>
    <col min="4381" max="4381" width="13.85546875" style="221" customWidth="1"/>
    <col min="4382" max="4382" width="9.140625" style="221" customWidth="1"/>
    <col min="4383" max="4572" width="9.140625" style="221"/>
    <col min="4573" max="4573" width="25.85546875" style="221" customWidth="1"/>
    <col min="4574" max="4574" width="0" style="221" hidden="1" customWidth="1"/>
    <col min="4575" max="4575" width="9.42578125" style="221" customWidth="1"/>
    <col min="4576" max="4611" width="14.140625" style="221" customWidth="1"/>
    <col min="4612" max="4613" width="13" style="221" customWidth="1"/>
    <col min="4614" max="4624" width="10.85546875" style="221" customWidth="1"/>
    <col min="4625" max="4625" width="3.140625" style="221" customWidth="1"/>
    <col min="4626" max="4629" width="10.85546875" style="221" customWidth="1"/>
    <col min="4630" max="4630" width="2.85546875" style="221" customWidth="1"/>
    <col min="4631" max="4632" width="10.85546875" style="221" customWidth="1"/>
    <col min="4633" max="4633" width="2.42578125" style="221" customWidth="1"/>
    <col min="4634" max="4635" width="13.140625" style="221" customWidth="1"/>
    <col min="4636" max="4636" width="15.7109375" style="221" customWidth="1"/>
    <col min="4637" max="4637" width="13.85546875" style="221" customWidth="1"/>
    <col min="4638" max="4638" width="9.140625" style="221" customWidth="1"/>
    <col min="4639" max="4828" width="9.140625" style="221"/>
    <col min="4829" max="4829" width="25.85546875" style="221" customWidth="1"/>
    <col min="4830" max="4830" width="0" style="221" hidden="1" customWidth="1"/>
    <col min="4831" max="4831" width="9.42578125" style="221" customWidth="1"/>
    <col min="4832" max="4867" width="14.140625" style="221" customWidth="1"/>
    <col min="4868" max="4869" width="13" style="221" customWidth="1"/>
    <col min="4870" max="4880" width="10.85546875" style="221" customWidth="1"/>
    <col min="4881" max="4881" width="3.140625" style="221" customWidth="1"/>
    <col min="4882" max="4885" width="10.85546875" style="221" customWidth="1"/>
    <col min="4886" max="4886" width="2.85546875" style="221" customWidth="1"/>
    <col min="4887" max="4888" width="10.85546875" style="221" customWidth="1"/>
    <col min="4889" max="4889" width="2.42578125" style="221" customWidth="1"/>
    <col min="4890" max="4891" width="13.140625" style="221" customWidth="1"/>
    <col min="4892" max="4892" width="15.7109375" style="221" customWidth="1"/>
    <col min="4893" max="4893" width="13.85546875" style="221" customWidth="1"/>
    <col min="4894" max="4894" width="9.140625" style="221" customWidth="1"/>
    <col min="4895" max="5084" width="9.140625" style="221"/>
    <col min="5085" max="5085" width="25.85546875" style="221" customWidth="1"/>
    <col min="5086" max="5086" width="0" style="221" hidden="1" customWidth="1"/>
    <col min="5087" max="5087" width="9.42578125" style="221" customWidth="1"/>
    <col min="5088" max="5123" width="14.140625" style="221" customWidth="1"/>
    <col min="5124" max="5125" width="13" style="221" customWidth="1"/>
    <col min="5126" max="5136" width="10.85546875" style="221" customWidth="1"/>
    <col min="5137" max="5137" width="3.140625" style="221" customWidth="1"/>
    <col min="5138" max="5141" width="10.85546875" style="221" customWidth="1"/>
    <col min="5142" max="5142" width="2.85546875" style="221" customWidth="1"/>
    <col min="5143" max="5144" width="10.85546875" style="221" customWidth="1"/>
    <col min="5145" max="5145" width="2.42578125" style="221" customWidth="1"/>
    <col min="5146" max="5147" width="13.140625" style="221" customWidth="1"/>
    <col min="5148" max="5148" width="15.7109375" style="221" customWidth="1"/>
    <col min="5149" max="5149" width="13.85546875" style="221" customWidth="1"/>
    <col min="5150" max="5150" width="9.140625" style="221" customWidth="1"/>
    <col min="5151" max="5340" width="9.140625" style="221"/>
    <col min="5341" max="5341" width="25.85546875" style="221" customWidth="1"/>
    <col min="5342" max="5342" width="0" style="221" hidden="1" customWidth="1"/>
    <col min="5343" max="5343" width="9.42578125" style="221" customWidth="1"/>
    <col min="5344" max="5379" width="14.140625" style="221" customWidth="1"/>
    <col min="5380" max="5381" width="13" style="221" customWidth="1"/>
    <col min="5382" max="5392" width="10.85546875" style="221" customWidth="1"/>
    <col min="5393" max="5393" width="3.140625" style="221" customWidth="1"/>
    <col min="5394" max="5397" width="10.85546875" style="221" customWidth="1"/>
    <col min="5398" max="5398" width="2.85546875" style="221" customWidth="1"/>
    <col min="5399" max="5400" width="10.85546875" style="221" customWidth="1"/>
    <col min="5401" max="5401" width="2.42578125" style="221" customWidth="1"/>
    <col min="5402" max="5403" width="13.140625" style="221" customWidth="1"/>
    <col min="5404" max="5404" width="15.7109375" style="221" customWidth="1"/>
    <col min="5405" max="5405" width="13.85546875" style="221" customWidth="1"/>
    <col min="5406" max="5406" width="9.140625" style="221" customWidth="1"/>
    <col min="5407" max="5596" width="9.140625" style="221"/>
    <col min="5597" max="5597" width="25.85546875" style="221" customWidth="1"/>
    <col min="5598" max="5598" width="0" style="221" hidden="1" customWidth="1"/>
    <col min="5599" max="5599" width="9.42578125" style="221" customWidth="1"/>
    <col min="5600" max="5635" width="14.140625" style="221" customWidth="1"/>
    <col min="5636" max="5637" width="13" style="221" customWidth="1"/>
    <col min="5638" max="5648" width="10.85546875" style="221" customWidth="1"/>
    <col min="5649" max="5649" width="3.140625" style="221" customWidth="1"/>
    <col min="5650" max="5653" width="10.85546875" style="221" customWidth="1"/>
    <col min="5654" max="5654" width="2.85546875" style="221" customWidth="1"/>
    <col min="5655" max="5656" width="10.85546875" style="221" customWidth="1"/>
    <col min="5657" max="5657" width="2.42578125" style="221" customWidth="1"/>
    <col min="5658" max="5659" width="13.140625" style="221" customWidth="1"/>
    <col min="5660" max="5660" width="15.7109375" style="221" customWidth="1"/>
    <col min="5661" max="5661" width="13.85546875" style="221" customWidth="1"/>
    <col min="5662" max="5662" width="9.140625" style="221" customWidth="1"/>
    <col min="5663" max="5852" width="9.140625" style="221"/>
    <col min="5853" max="5853" width="25.85546875" style="221" customWidth="1"/>
    <col min="5854" max="5854" width="0" style="221" hidden="1" customWidth="1"/>
    <col min="5855" max="5855" width="9.42578125" style="221" customWidth="1"/>
    <col min="5856" max="5891" width="14.140625" style="221" customWidth="1"/>
    <col min="5892" max="5893" width="13" style="221" customWidth="1"/>
    <col min="5894" max="5904" width="10.85546875" style="221" customWidth="1"/>
    <col min="5905" max="5905" width="3.140625" style="221" customWidth="1"/>
    <col min="5906" max="5909" width="10.85546875" style="221" customWidth="1"/>
    <col min="5910" max="5910" width="2.85546875" style="221" customWidth="1"/>
    <col min="5911" max="5912" width="10.85546875" style="221" customWidth="1"/>
    <col min="5913" max="5913" width="2.42578125" style="221" customWidth="1"/>
    <col min="5914" max="5915" width="13.140625" style="221" customWidth="1"/>
    <col min="5916" max="5916" width="15.7109375" style="221" customWidth="1"/>
    <col min="5917" max="5917" width="13.85546875" style="221" customWidth="1"/>
    <col min="5918" max="5918" width="9.140625" style="221" customWidth="1"/>
    <col min="5919" max="6108" width="9.140625" style="221"/>
    <col min="6109" max="6109" width="25.85546875" style="221" customWidth="1"/>
    <col min="6110" max="6110" width="0" style="221" hidden="1" customWidth="1"/>
    <col min="6111" max="6111" width="9.42578125" style="221" customWidth="1"/>
    <col min="6112" max="6147" width="14.140625" style="221" customWidth="1"/>
    <col min="6148" max="6149" width="13" style="221" customWidth="1"/>
    <col min="6150" max="6160" width="10.85546875" style="221" customWidth="1"/>
    <col min="6161" max="6161" width="3.140625" style="221" customWidth="1"/>
    <col min="6162" max="6165" width="10.85546875" style="221" customWidth="1"/>
    <col min="6166" max="6166" width="2.85546875" style="221" customWidth="1"/>
    <col min="6167" max="6168" width="10.85546875" style="221" customWidth="1"/>
    <col min="6169" max="6169" width="2.42578125" style="221" customWidth="1"/>
    <col min="6170" max="6171" width="13.140625" style="221" customWidth="1"/>
    <col min="6172" max="6172" width="15.7109375" style="221" customWidth="1"/>
    <col min="6173" max="6173" width="13.85546875" style="221" customWidth="1"/>
    <col min="6174" max="6174" width="9.140625" style="221" customWidth="1"/>
    <col min="6175" max="6364" width="9.140625" style="221"/>
    <col min="6365" max="6365" width="25.85546875" style="221" customWidth="1"/>
    <col min="6366" max="6366" width="0" style="221" hidden="1" customWidth="1"/>
    <col min="6367" max="6367" width="9.42578125" style="221" customWidth="1"/>
    <col min="6368" max="6403" width="14.140625" style="221" customWidth="1"/>
    <col min="6404" max="6405" width="13" style="221" customWidth="1"/>
    <col min="6406" max="6416" width="10.85546875" style="221" customWidth="1"/>
    <col min="6417" max="6417" width="3.140625" style="221" customWidth="1"/>
    <col min="6418" max="6421" width="10.85546875" style="221" customWidth="1"/>
    <col min="6422" max="6422" width="2.85546875" style="221" customWidth="1"/>
    <col min="6423" max="6424" width="10.85546875" style="221" customWidth="1"/>
    <col min="6425" max="6425" width="2.42578125" style="221" customWidth="1"/>
    <col min="6426" max="6427" width="13.140625" style="221" customWidth="1"/>
    <col min="6428" max="6428" width="15.7109375" style="221" customWidth="1"/>
    <col min="6429" max="6429" width="13.85546875" style="221" customWidth="1"/>
    <col min="6430" max="6430" width="9.140625" style="221" customWidth="1"/>
    <col min="6431" max="6620" width="9.140625" style="221"/>
    <col min="6621" max="6621" width="25.85546875" style="221" customWidth="1"/>
    <col min="6622" max="6622" width="0" style="221" hidden="1" customWidth="1"/>
    <col min="6623" max="6623" width="9.42578125" style="221" customWidth="1"/>
    <col min="6624" max="6659" width="14.140625" style="221" customWidth="1"/>
    <col min="6660" max="6661" width="13" style="221" customWidth="1"/>
    <col min="6662" max="6672" width="10.85546875" style="221" customWidth="1"/>
    <col min="6673" max="6673" width="3.140625" style="221" customWidth="1"/>
    <col min="6674" max="6677" width="10.85546875" style="221" customWidth="1"/>
    <col min="6678" max="6678" width="2.85546875" style="221" customWidth="1"/>
    <col min="6679" max="6680" width="10.85546875" style="221" customWidth="1"/>
    <col min="6681" max="6681" width="2.42578125" style="221" customWidth="1"/>
    <col min="6682" max="6683" width="13.140625" style="221" customWidth="1"/>
    <col min="6684" max="6684" width="15.7109375" style="221" customWidth="1"/>
    <col min="6685" max="6685" width="13.85546875" style="221" customWidth="1"/>
    <col min="6686" max="6686" width="9.140625" style="221" customWidth="1"/>
    <col min="6687" max="6876" width="9.140625" style="221"/>
    <col min="6877" max="6877" width="25.85546875" style="221" customWidth="1"/>
    <col min="6878" max="6878" width="0" style="221" hidden="1" customWidth="1"/>
    <col min="6879" max="6879" width="9.42578125" style="221" customWidth="1"/>
    <col min="6880" max="6915" width="14.140625" style="221" customWidth="1"/>
    <col min="6916" max="6917" width="13" style="221" customWidth="1"/>
    <col min="6918" max="6928" width="10.85546875" style="221" customWidth="1"/>
    <col min="6929" max="6929" width="3.140625" style="221" customWidth="1"/>
    <col min="6930" max="6933" width="10.85546875" style="221" customWidth="1"/>
    <col min="6934" max="6934" width="2.85546875" style="221" customWidth="1"/>
    <col min="6935" max="6936" width="10.85546875" style="221" customWidth="1"/>
    <col min="6937" max="6937" width="2.42578125" style="221" customWidth="1"/>
    <col min="6938" max="6939" width="13.140625" style="221" customWidth="1"/>
    <col min="6940" max="6940" width="15.7109375" style="221" customWidth="1"/>
    <col min="6941" max="6941" width="13.85546875" style="221" customWidth="1"/>
    <col min="6942" max="6942" width="9.140625" style="221" customWidth="1"/>
    <col min="6943" max="7132" width="9.140625" style="221"/>
    <col min="7133" max="7133" width="25.85546875" style="221" customWidth="1"/>
    <col min="7134" max="7134" width="0" style="221" hidden="1" customWidth="1"/>
    <col min="7135" max="7135" width="9.42578125" style="221" customWidth="1"/>
    <col min="7136" max="7171" width="14.140625" style="221" customWidth="1"/>
    <col min="7172" max="7173" width="13" style="221" customWidth="1"/>
    <col min="7174" max="7184" width="10.85546875" style="221" customWidth="1"/>
    <col min="7185" max="7185" width="3.140625" style="221" customWidth="1"/>
    <col min="7186" max="7189" width="10.85546875" style="221" customWidth="1"/>
    <col min="7190" max="7190" width="2.85546875" style="221" customWidth="1"/>
    <col min="7191" max="7192" width="10.85546875" style="221" customWidth="1"/>
    <col min="7193" max="7193" width="2.42578125" style="221" customWidth="1"/>
    <col min="7194" max="7195" width="13.140625" style="221" customWidth="1"/>
    <col min="7196" max="7196" width="15.7109375" style="221" customWidth="1"/>
    <col min="7197" max="7197" width="13.85546875" style="221" customWidth="1"/>
    <col min="7198" max="7198" width="9.140625" style="221" customWidth="1"/>
    <col min="7199" max="7388" width="9.140625" style="221"/>
    <col min="7389" max="7389" width="25.85546875" style="221" customWidth="1"/>
    <col min="7390" max="7390" width="0" style="221" hidden="1" customWidth="1"/>
    <col min="7391" max="7391" width="9.42578125" style="221" customWidth="1"/>
    <col min="7392" max="7427" width="14.140625" style="221" customWidth="1"/>
    <col min="7428" max="7429" width="13" style="221" customWidth="1"/>
    <col min="7430" max="7440" width="10.85546875" style="221" customWidth="1"/>
    <col min="7441" max="7441" width="3.140625" style="221" customWidth="1"/>
    <col min="7442" max="7445" width="10.85546875" style="221" customWidth="1"/>
    <col min="7446" max="7446" width="2.85546875" style="221" customWidth="1"/>
    <col min="7447" max="7448" width="10.85546875" style="221" customWidth="1"/>
    <col min="7449" max="7449" width="2.42578125" style="221" customWidth="1"/>
    <col min="7450" max="7451" width="13.140625" style="221" customWidth="1"/>
    <col min="7452" max="7452" width="15.7109375" style="221" customWidth="1"/>
    <col min="7453" max="7453" width="13.85546875" style="221" customWidth="1"/>
    <col min="7454" max="7454" width="9.140625" style="221" customWidth="1"/>
    <col min="7455" max="7644" width="9.140625" style="221"/>
    <col min="7645" max="7645" width="25.85546875" style="221" customWidth="1"/>
    <col min="7646" max="7646" width="0" style="221" hidden="1" customWidth="1"/>
    <col min="7647" max="7647" width="9.42578125" style="221" customWidth="1"/>
    <col min="7648" max="7683" width="14.140625" style="221" customWidth="1"/>
    <col min="7684" max="7685" width="13" style="221" customWidth="1"/>
    <col min="7686" max="7696" width="10.85546875" style="221" customWidth="1"/>
    <col min="7697" max="7697" width="3.140625" style="221" customWidth="1"/>
    <col min="7698" max="7701" width="10.85546875" style="221" customWidth="1"/>
    <col min="7702" max="7702" width="2.85546875" style="221" customWidth="1"/>
    <col min="7703" max="7704" width="10.85546875" style="221" customWidth="1"/>
    <col min="7705" max="7705" width="2.42578125" style="221" customWidth="1"/>
    <col min="7706" max="7707" width="13.140625" style="221" customWidth="1"/>
    <col min="7708" max="7708" width="15.7109375" style="221" customWidth="1"/>
    <col min="7709" max="7709" width="13.85546875" style="221" customWidth="1"/>
    <col min="7710" max="7710" width="9.140625" style="221" customWidth="1"/>
    <col min="7711" max="7900" width="9.140625" style="221"/>
    <col min="7901" max="7901" width="25.85546875" style="221" customWidth="1"/>
    <col min="7902" max="7902" width="0" style="221" hidden="1" customWidth="1"/>
    <col min="7903" max="7903" width="9.42578125" style="221" customWidth="1"/>
    <col min="7904" max="7939" width="14.140625" style="221" customWidth="1"/>
    <col min="7940" max="7941" width="13" style="221" customWidth="1"/>
    <col min="7942" max="7952" width="10.85546875" style="221" customWidth="1"/>
    <col min="7953" max="7953" width="3.140625" style="221" customWidth="1"/>
    <col min="7954" max="7957" width="10.85546875" style="221" customWidth="1"/>
    <col min="7958" max="7958" width="2.85546875" style="221" customWidth="1"/>
    <col min="7959" max="7960" width="10.85546875" style="221" customWidth="1"/>
    <col min="7961" max="7961" width="2.42578125" style="221" customWidth="1"/>
    <col min="7962" max="7963" width="13.140625" style="221" customWidth="1"/>
    <col min="7964" max="7964" width="15.7109375" style="221" customWidth="1"/>
    <col min="7965" max="7965" width="13.85546875" style="221" customWidth="1"/>
    <col min="7966" max="7966" width="9.140625" style="221" customWidth="1"/>
    <col min="7967" max="8156" width="9.140625" style="221"/>
    <col min="8157" max="8157" width="25.85546875" style="221" customWidth="1"/>
    <col min="8158" max="8158" width="0" style="221" hidden="1" customWidth="1"/>
    <col min="8159" max="8159" width="9.42578125" style="221" customWidth="1"/>
    <col min="8160" max="8195" width="14.140625" style="221" customWidth="1"/>
    <col min="8196" max="8197" width="13" style="221" customWidth="1"/>
    <col min="8198" max="8208" width="10.85546875" style="221" customWidth="1"/>
    <col min="8209" max="8209" width="3.140625" style="221" customWidth="1"/>
    <col min="8210" max="8213" width="10.85546875" style="221" customWidth="1"/>
    <col min="8214" max="8214" width="2.85546875" style="221" customWidth="1"/>
    <col min="8215" max="8216" width="10.85546875" style="221" customWidth="1"/>
    <col min="8217" max="8217" width="2.42578125" style="221" customWidth="1"/>
    <col min="8218" max="8219" width="13.140625" style="221" customWidth="1"/>
    <col min="8220" max="8220" width="15.7109375" style="221" customWidth="1"/>
    <col min="8221" max="8221" width="13.85546875" style="221" customWidth="1"/>
    <col min="8222" max="8222" width="9.140625" style="221" customWidth="1"/>
    <col min="8223" max="8412" width="9.140625" style="221"/>
    <col min="8413" max="8413" width="25.85546875" style="221" customWidth="1"/>
    <col min="8414" max="8414" width="0" style="221" hidden="1" customWidth="1"/>
    <col min="8415" max="8415" width="9.42578125" style="221" customWidth="1"/>
    <col min="8416" max="8451" width="14.140625" style="221" customWidth="1"/>
    <col min="8452" max="8453" width="13" style="221" customWidth="1"/>
    <col min="8454" max="8464" width="10.85546875" style="221" customWidth="1"/>
    <col min="8465" max="8465" width="3.140625" style="221" customWidth="1"/>
    <col min="8466" max="8469" width="10.85546875" style="221" customWidth="1"/>
    <col min="8470" max="8470" width="2.85546875" style="221" customWidth="1"/>
    <col min="8471" max="8472" width="10.85546875" style="221" customWidth="1"/>
    <col min="8473" max="8473" width="2.42578125" style="221" customWidth="1"/>
    <col min="8474" max="8475" width="13.140625" style="221" customWidth="1"/>
    <col min="8476" max="8476" width="15.7109375" style="221" customWidth="1"/>
    <col min="8477" max="8477" width="13.85546875" style="221" customWidth="1"/>
    <col min="8478" max="8478" width="9.140625" style="221" customWidth="1"/>
    <col min="8479" max="8668" width="9.140625" style="221"/>
    <col min="8669" max="8669" width="25.85546875" style="221" customWidth="1"/>
    <col min="8670" max="8670" width="0" style="221" hidden="1" customWidth="1"/>
    <col min="8671" max="8671" width="9.42578125" style="221" customWidth="1"/>
    <col min="8672" max="8707" width="14.140625" style="221" customWidth="1"/>
    <col min="8708" max="8709" width="13" style="221" customWidth="1"/>
    <col min="8710" max="8720" width="10.85546875" style="221" customWidth="1"/>
    <col min="8721" max="8721" width="3.140625" style="221" customWidth="1"/>
    <col min="8722" max="8725" width="10.85546875" style="221" customWidth="1"/>
    <col min="8726" max="8726" width="2.85546875" style="221" customWidth="1"/>
    <col min="8727" max="8728" width="10.85546875" style="221" customWidth="1"/>
    <col min="8729" max="8729" width="2.42578125" style="221" customWidth="1"/>
    <col min="8730" max="8731" width="13.140625" style="221" customWidth="1"/>
    <col min="8732" max="8732" width="15.7109375" style="221" customWidth="1"/>
    <col min="8733" max="8733" width="13.85546875" style="221" customWidth="1"/>
    <col min="8734" max="8734" width="9.140625" style="221" customWidth="1"/>
    <col min="8735" max="8924" width="9.140625" style="221"/>
    <col min="8925" max="8925" width="25.85546875" style="221" customWidth="1"/>
    <col min="8926" max="8926" width="0" style="221" hidden="1" customWidth="1"/>
    <col min="8927" max="8927" width="9.42578125" style="221" customWidth="1"/>
    <col min="8928" max="8963" width="14.140625" style="221" customWidth="1"/>
    <col min="8964" max="8965" width="13" style="221" customWidth="1"/>
    <col min="8966" max="8976" width="10.85546875" style="221" customWidth="1"/>
    <col min="8977" max="8977" width="3.140625" style="221" customWidth="1"/>
    <col min="8978" max="8981" width="10.85546875" style="221" customWidth="1"/>
    <col min="8982" max="8982" width="2.85546875" style="221" customWidth="1"/>
    <col min="8983" max="8984" width="10.85546875" style="221" customWidth="1"/>
    <col min="8985" max="8985" width="2.42578125" style="221" customWidth="1"/>
    <col min="8986" max="8987" width="13.140625" style="221" customWidth="1"/>
    <col min="8988" max="8988" width="15.7109375" style="221" customWidth="1"/>
    <col min="8989" max="8989" width="13.85546875" style="221" customWidth="1"/>
    <col min="8990" max="8990" width="9.140625" style="221" customWidth="1"/>
    <col min="8991" max="9180" width="9.140625" style="221"/>
    <col min="9181" max="9181" width="25.85546875" style="221" customWidth="1"/>
    <col min="9182" max="9182" width="0" style="221" hidden="1" customWidth="1"/>
    <col min="9183" max="9183" width="9.42578125" style="221" customWidth="1"/>
    <col min="9184" max="9219" width="14.140625" style="221" customWidth="1"/>
    <col min="9220" max="9221" width="13" style="221" customWidth="1"/>
    <col min="9222" max="9232" width="10.85546875" style="221" customWidth="1"/>
    <col min="9233" max="9233" width="3.140625" style="221" customWidth="1"/>
    <col min="9234" max="9237" width="10.85546875" style="221" customWidth="1"/>
    <col min="9238" max="9238" width="2.85546875" style="221" customWidth="1"/>
    <col min="9239" max="9240" width="10.85546875" style="221" customWidth="1"/>
    <col min="9241" max="9241" width="2.42578125" style="221" customWidth="1"/>
    <col min="9242" max="9243" width="13.140625" style="221" customWidth="1"/>
    <col min="9244" max="9244" width="15.7109375" style="221" customWidth="1"/>
    <col min="9245" max="9245" width="13.85546875" style="221" customWidth="1"/>
    <col min="9246" max="9246" width="9.140625" style="221" customWidth="1"/>
    <col min="9247" max="9436" width="9.140625" style="221"/>
    <col min="9437" max="9437" width="25.85546875" style="221" customWidth="1"/>
    <col min="9438" max="9438" width="0" style="221" hidden="1" customWidth="1"/>
    <col min="9439" max="9439" width="9.42578125" style="221" customWidth="1"/>
    <col min="9440" max="9475" width="14.140625" style="221" customWidth="1"/>
    <col min="9476" max="9477" width="13" style="221" customWidth="1"/>
    <col min="9478" max="9488" width="10.85546875" style="221" customWidth="1"/>
    <col min="9489" max="9489" width="3.140625" style="221" customWidth="1"/>
    <col min="9490" max="9493" width="10.85546875" style="221" customWidth="1"/>
    <col min="9494" max="9494" width="2.85546875" style="221" customWidth="1"/>
    <col min="9495" max="9496" width="10.85546875" style="221" customWidth="1"/>
    <col min="9497" max="9497" width="2.42578125" style="221" customWidth="1"/>
    <col min="9498" max="9499" width="13.140625" style="221" customWidth="1"/>
    <col min="9500" max="9500" width="15.7109375" style="221" customWidth="1"/>
    <col min="9501" max="9501" width="13.85546875" style="221" customWidth="1"/>
    <col min="9502" max="9502" width="9.140625" style="221" customWidth="1"/>
    <col min="9503" max="9692" width="9.140625" style="221"/>
    <col min="9693" max="9693" width="25.85546875" style="221" customWidth="1"/>
    <col min="9694" max="9694" width="0" style="221" hidden="1" customWidth="1"/>
    <col min="9695" max="9695" width="9.42578125" style="221" customWidth="1"/>
    <col min="9696" max="9731" width="14.140625" style="221" customWidth="1"/>
    <col min="9732" max="9733" width="13" style="221" customWidth="1"/>
    <col min="9734" max="9744" width="10.85546875" style="221" customWidth="1"/>
    <col min="9745" max="9745" width="3.140625" style="221" customWidth="1"/>
    <col min="9746" max="9749" width="10.85546875" style="221" customWidth="1"/>
    <col min="9750" max="9750" width="2.85546875" style="221" customWidth="1"/>
    <col min="9751" max="9752" width="10.85546875" style="221" customWidth="1"/>
    <col min="9753" max="9753" width="2.42578125" style="221" customWidth="1"/>
    <col min="9754" max="9755" width="13.140625" style="221" customWidth="1"/>
    <col min="9756" max="9756" width="15.7109375" style="221" customWidth="1"/>
    <col min="9757" max="9757" width="13.85546875" style="221" customWidth="1"/>
    <col min="9758" max="9758" width="9.140625" style="221" customWidth="1"/>
    <col min="9759" max="9948" width="9.140625" style="221"/>
    <col min="9949" max="9949" width="25.85546875" style="221" customWidth="1"/>
    <col min="9950" max="9950" width="0" style="221" hidden="1" customWidth="1"/>
    <col min="9951" max="9951" width="9.42578125" style="221" customWidth="1"/>
    <col min="9952" max="9987" width="14.140625" style="221" customWidth="1"/>
    <col min="9988" max="9989" width="13" style="221" customWidth="1"/>
    <col min="9990" max="10000" width="10.85546875" style="221" customWidth="1"/>
    <col min="10001" max="10001" width="3.140625" style="221" customWidth="1"/>
    <col min="10002" max="10005" width="10.85546875" style="221" customWidth="1"/>
    <col min="10006" max="10006" width="2.85546875" style="221" customWidth="1"/>
    <col min="10007" max="10008" width="10.85546875" style="221" customWidth="1"/>
    <col min="10009" max="10009" width="2.42578125" style="221" customWidth="1"/>
    <col min="10010" max="10011" width="13.140625" style="221" customWidth="1"/>
    <col min="10012" max="10012" width="15.7109375" style="221" customWidth="1"/>
    <col min="10013" max="10013" width="13.85546875" style="221" customWidth="1"/>
    <col min="10014" max="10014" width="9.140625" style="221" customWidth="1"/>
    <col min="10015" max="10204" width="9.140625" style="221"/>
    <col min="10205" max="10205" width="25.85546875" style="221" customWidth="1"/>
    <col min="10206" max="10206" width="0" style="221" hidden="1" customWidth="1"/>
    <col min="10207" max="10207" width="9.42578125" style="221" customWidth="1"/>
    <col min="10208" max="10243" width="14.140625" style="221" customWidth="1"/>
    <col min="10244" max="10245" width="13" style="221" customWidth="1"/>
    <col min="10246" max="10256" width="10.85546875" style="221" customWidth="1"/>
    <col min="10257" max="10257" width="3.140625" style="221" customWidth="1"/>
    <col min="10258" max="10261" width="10.85546875" style="221" customWidth="1"/>
    <col min="10262" max="10262" width="2.85546875" style="221" customWidth="1"/>
    <col min="10263" max="10264" width="10.85546875" style="221" customWidth="1"/>
    <col min="10265" max="10265" width="2.42578125" style="221" customWidth="1"/>
    <col min="10266" max="10267" width="13.140625" style="221" customWidth="1"/>
    <col min="10268" max="10268" width="15.7109375" style="221" customWidth="1"/>
    <col min="10269" max="10269" width="13.85546875" style="221" customWidth="1"/>
    <col min="10270" max="10270" width="9.140625" style="221" customWidth="1"/>
    <col min="10271" max="10460" width="9.140625" style="221"/>
    <col min="10461" max="10461" width="25.85546875" style="221" customWidth="1"/>
    <col min="10462" max="10462" width="0" style="221" hidden="1" customWidth="1"/>
    <col min="10463" max="10463" width="9.42578125" style="221" customWidth="1"/>
    <col min="10464" max="10499" width="14.140625" style="221" customWidth="1"/>
    <col min="10500" max="10501" width="13" style="221" customWidth="1"/>
    <col min="10502" max="10512" width="10.85546875" style="221" customWidth="1"/>
    <col min="10513" max="10513" width="3.140625" style="221" customWidth="1"/>
    <col min="10514" max="10517" width="10.85546875" style="221" customWidth="1"/>
    <col min="10518" max="10518" width="2.85546875" style="221" customWidth="1"/>
    <col min="10519" max="10520" width="10.85546875" style="221" customWidth="1"/>
    <col min="10521" max="10521" width="2.42578125" style="221" customWidth="1"/>
    <col min="10522" max="10523" width="13.140625" style="221" customWidth="1"/>
    <col min="10524" max="10524" width="15.7109375" style="221" customWidth="1"/>
    <col min="10525" max="10525" width="13.85546875" style="221" customWidth="1"/>
    <col min="10526" max="10526" width="9.140625" style="221" customWidth="1"/>
    <col min="10527" max="10716" width="9.140625" style="221"/>
    <col min="10717" max="10717" width="25.85546875" style="221" customWidth="1"/>
    <col min="10718" max="10718" width="0" style="221" hidden="1" customWidth="1"/>
    <col min="10719" max="10719" width="9.42578125" style="221" customWidth="1"/>
    <col min="10720" max="10755" width="14.140625" style="221" customWidth="1"/>
    <col min="10756" max="10757" width="13" style="221" customWidth="1"/>
    <col min="10758" max="10768" width="10.85546875" style="221" customWidth="1"/>
    <col min="10769" max="10769" width="3.140625" style="221" customWidth="1"/>
    <col min="10770" max="10773" width="10.85546875" style="221" customWidth="1"/>
    <col min="10774" max="10774" width="2.85546875" style="221" customWidth="1"/>
    <col min="10775" max="10776" width="10.85546875" style="221" customWidth="1"/>
    <col min="10777" max="10777" width="2.42578125" style="221" customWidth="1"/>
    <col min="10778" max="10779" width="13.140625" style="221" customWidth="1"/>
    <col min="10780" max="10780" width="15.7109375" style="221" customWidth="1"/>
    <col min="10781" max="10781" width="13.85546875" style="221" customWidth="1"/>
    <col min="10782" max="10782" width="9.140625" style="221" customWidth="1"/>
    <col min="10783" max="10972" width="9.140625" style="221"/>
    <col min="10973" max="10973" width="25.85546875" style="221" customWidth="1"/>
    <col min="10974" max="10974" width="0" style="221" hidden="1" customWidth="1"/>
    <col min="10975" max="10975" width="9.42578125" style="221" customWidth="1"/>
    <col min="10976" max="11011" width="14.140625" style="221" customWidth="1"/>
    <col min="11012" max="11013" width="13" style="221" customWidth="1"/>
    <col min="11014" max="11024" width="10.85546875" style="221" customWidth="1"/>
    <col min="11025" max="11025" width="3.140625" style="221" customWidth="1"/>
    <col min="11026" max="11029" width="10.85546875" style="221" customWidth="1"/>
    <col min="11030" max="11030" width="2.85546875" style="221" customWidth="1"/>
    <col min="11031" max="11032" width="10.85546875" style="221" customWidth="1"/>
    <col min="11033" max="11033" width="2.42578125" style="221" customWidth="1"/>
    <col min="11034" max="11035" width="13.140625" style="221" customWidth="1"/>
    <col min="11036" max="11036" width="15.7109375" style="221" customWidth="1"/>
    <col min="11037" max="11037" width="13.85546875" style="221" customWidth="1"/>
    <col min="11038" max="11038" width="9.140625" style="221" customWidth="1"/>
    <col min="11039" max="11228" width="9.140625" style="221"/>
    <col min="11229" max="11229" width="25.85546875" style="221" customWidth="1"/>
    <col min="11230" max="11230" width="0" style="221" hidden="1" customWidth="1"/>
    <col min="11231" max="11231" width="9.42578125" style="221" customWidth="1"/>
    <col min="11232" max="11267" width="14.140625" style="221" customWidth="1"/>
    <col min="11268" max="11269" width="13" style="221" customWidth="1"/>
    <col min="11270" max="11280" width="10.85546875" style="221" customWidth="1"/>
    <col min="11281" max="11281" width="3.140625" style="221" customWidth="1"/>
    <col min="11282" max="11285" width="10.85546875" style="221" customWidth="1"/>
    <col min="11286" max="11286" width="2.85546875" style="221" customWidth="1"/>
    <col min="11287" max="11288" width="10.85546875" style="221" customWidth="1"/>
    <col min="11289" max="11289" width="2.42578125" style="221" customWidth="1"/>
    <col min="11290" max="11291" width="13.140625" style="221" customWidth="1"/>
    <col min="11292" max="11292" width="15.7109375" style="221" customWidth="1"/>
    <col min="11293" max="11293" width="13.85546875" style="221" customWidth="1"/>
    <col min="11294" max="11294" width="9.140625" style="221" customWidth="1"/>
    <col min="11295" max="11484" width="9.140625" style="221"/>
    <col min="11485" max="11485" width="25.85546875" style="221" customWidth="1"/>
    <col min="11486" max="11486" width="0" style="221" hidden="1" customWidth="1"/>
    <col min="11487" max="11487" width="9.42578125" style="221" customWidth="1"/>
    <col min="11488" max="11523" width="14.140625" style="221" customWidth="1"/>
    <col min="11524" max="11525" width="13" style="221" customWidth="1"/>
    <col min="11526" max="11536" width="10.85546875" style="221" customWidth="1"/>
    <col min="11537" max="11537" width="3.140625" style="221" customWidth="1"/>
    <col min="11538" max="11541" width="10.85546875" style="221" customWidth="1"/>
    <col min="11542" max="11542" width="2.85546875" style="221" customWidth="1"/>
    <col min="11543" max="11544" width="10.85546875" style="221" customWidth="1"/>
    <col min="11545" max="11545" width="2.42578125" style="221" customWidth="1"/>
    <col min="11546" max="11547" width="13.140625" style="221" customWidth="1"/>
    <col min="11548" max="11548" width="15.7109375" style="221" customWidth="1"/>
    <col min="11549" max="11549" width="13.85546875" style="221" customWidth="1"/>
    <col min="11550" max="11550" width="9.140625" style="221" customWidth="1"/>
    <col min="11551" max="11740" width="9.140625" style="221"/>
    <col min="11741" max="11741" width="25.85546875" style="221" customWidth="1"/>
    <col min="11742" max="11742" width="0" style="221" hidden="1" customWidth="1"/>
    <col min="11743" max="11743" width="9.42578125" style="221" customWidth="1"/>
    <col min="11744" max="11779" width="14.140625" style="221" customWidth="1"/>
    <col min="11780" max="11781" width="13" style="221" customWidth="1"/>
    <col min="11782" max="11792" width="10.85546875" style="221" customWidth="1"/>
    <col min="11793" max="11793" width="3.140625" style="221" customWidth="1"/>
    <col min="11794" max="11797" width="10.85546875" style="221" customWidth="1"/>
    <col min="11798" max="11798" width="2.85546875" style="221" customWidth="1"/>
    <col min="11799" max="11800" width="10.85546875" style="221" customWidth="1"/>
    <col min="11801" max="11801" width="2.42578125" style="221" customWidth="1"/>
    <col min="11802" max="11803" width="13.140625" style="221" customWidth="1"/>
    <col min="11804" max="11804" width="15.7109375" style="221" customWidth="1"/>
    <col min="11805" max="11805" width="13.85546875" style="221" customWidth="1"/>
    <col min="11806" max="11806" width="9.140625" style="221" customWidth="1"/>
    <col min="11807" max="11996" width="9.140625" style="221"/>
    <col min="11997" max="11997" width="25.85546875" style="221" customWidth="1"/>
    <col min="11998" max="11998" width="0" style="221" hidden="1" customWidth="1"/>
    <col min="11999" max="11999" width="9.42578125" style="221" customWidth="1"/>
    <col min="12000" max="12035" width="14.140625" style="221" customWidth="1"/>
    <col min="12036" max="12037" width="13" style="221" customWidth="1"/>
    <col min="12038" max="12048" width="10.85546875" style="221" customWidth="1"/>
    <col min="12049" max="12049" width="3.140625" style="221" customWidth="1"/>
    <col min="12050" max="12053" width="10.85546875" style="221" customWidth="1"/>
    <col min="12054" max="12054" width="2.85546875" style="221" customWidth="1"/>
    <col min="12055" max="12056" width="10.85546875" style="221" customWidth="1"/>
    <col min="12057" max="12057" width="2.42578125" style="221" customWidth="1"/>
    <col min="12058" max="12059" width="13.140625" style="221" customWidth="1"/>
    <col min="12060" max="12060" width="15.7109375" style="221" customWidth="1"/>
    <col min="12061" max="12061" width="13.85546875" style="221" customWidth="1"/>
    <col min="12062" max="12062" width="9.140625" style="221" customWidth="1"/>
    <col min="12063" max="12252" width="9.140625" style="221"/>
    <col min="12253" max="12253" width="25.85546875" style="221" customWidth="1"/>
    <col min="12254" max="12254" width="0" style="221" hidden="1" customWidth="1"/>
    <col min="12255" max="12255" width="9.42578125" style="221" customWidth="1"/>
    <col min="12256" max="12291" width="14.140625" style="221" customWidth="1"/>
    <col min="12292" max="12293" width="13" style="221" customWidth="1"/>
    <col min="12294" max="12304" width="10.85546875" style="221" customWidth="1"/>
    <col min="12305" max="12305" width="3.140625" style="221" customWidth="1"/>
    <col min="12306" max="12309" width="10.85546875" style="221" customWidth="1"/>
    <col min="12310" max="12310" width="2.85546875" style="221" customWidth="1"/>
    <col min="12311" max="12312" width="10.85546875" style="221" customWidth="1"/>
    <col min="12313" max="12313" width="2.42578125" style="221" customWidth="1"/>
    <col min="12314" max="12315" width="13.140625" style="221" customWidth="1"/>
    <col min="12316" max="12316" width="15.7109375" style="221" customWidth="1"/>
    <col min="12317" max="12317" width="13.85546875" style="221" customWidth="1"/>
    <col min="12318" max="12318" width="9.140625" style="221" customWidth="1"/>
    <col min="12319" max="12508" width="9.140625" style="221"/>
    <col min="12509" max="12509" width="25.85546875" style="221" customWidth="1"/>
    <col min="12510" max="12510" width="0" style="221" hidden="1" customWidth="1"/>
    <col min="12511" max="12511" width="9.42578125" style="221" customWidth="1"/>
    <col min="12512" max="12547" width="14.140625" style="221" customWidth="1"/>
    <col min="12548" max="12549" width="13" style="221" customWidth="1"/>
    <col min="12550" max="12560" width="10.85546875" style="221" customWidth="1"/>
    <col min="12561" max="12561" width="3.140625" style="221" customWidth="1"/>
    <col min="12562" max="12565" width="10.85546875" style="221" customWidth="1"/>
    <col min="12566" max="12566" width="2.85546875" style="221" customWidth="1"/>
    <col min="12567" max="12568" width="10.85546875" style="221" customWidth="1"/>
    <col min="12569" max="12569" width="2.42578125" style="221" customWidth="1"/>
    <col min="12570" max="12571" width="13.140625" style="221" customWidth="1"/>
    <col min="12572" max="12572" width="15.7109375" style="221" customWidth="1"/>
    <col min="12573" max="12573" width="13.85546875" style="221" customWidth="1"/>
    <col min="12574" max="12574" width="9.140625" style="221" customWidth="1"/>
    <col min="12575" max="12764" width="9.140625" style="221"/>
    <col min="12765" max="12765" width="25.85546875" style="221" customWidth="1"/>
    <col min="12766" max="12766" width="0" style="221" hidden="1" customWidth="1"/>
    <col min="12767" max="12767" width="9.42578125" style="221" customWidth="1"/>
    <col min="12768" max="12803" width="14.140625" style="221" customWidth="1"/>
    <col min="12804" max="12805" width="13" style="221" customWidth="1"/>
    <col min="12806" max="12816" width="10.85546875" style="221" customWidth="1"/>
    <col min="12817" max="12817" width="3.140625" style="221" customWidth="1"/>
    <col min="12818" max="12821" width="10.85546875" style="221" customWidth="1"/>
    <col min="12822" max="12822" width="2.85546875" style="221" customWidth="1"/>
    <col min="12823" max="12824" width="10.85546875" style="221" customWidth="1"/>
    <col min="12825" max="12825" width="2.42578125" style="221" customWidth="1"/>
    <col min="12826" max="12827" width="13.140625" style="221" customWidth="1"/>
    <col min="12828" max="12828" width="15.7109375" style="221" customWidth="1"/>
    <col min="12829" max="12829" width="13.85546875" style="221" customWidth="1"/>
    <col min="12830" max="12830" width="9.140625" style="221" customWidth="1"/>
    <col min="12831" max="13020" width="9.140625" style="221"/>
    <col min="13021" max="13021" width="25.85546875" style="221" customWidth="1"/>
    <col min="13022" max="13022" width="0" style="221" hidden="1" customWidth="1"/>
    <col min="13023" max="13023" width="9.42578125" style="221" customWidth="1"/>
    <col min="13024" max="13059" width="14.140625" style="221" customWidth="1"/>
    <col min="13060" max="13061" width="13" style="221" customWidth="1"/>
    <col min="13062" max="13072" width="10.85546875" style="221" customWidth="1"/>
    <col min="13073" max="13073" width="3.140625" style="221" customWidth="1"/>
    <col min="13074" max="13077" width="10.85546875" style="221" customWidth="1"/>
    <col min="13078" max="13078" width="2.85546875" style="221" customWidth="1"/>
    <col min="13079" max="13080" width="10.85546875" style="221" customWidth="1"/>
    <col min="13081" max="13081" width="2.42578125" style="221" customWidth="1"/>
    <col min="13082" max="13083" width="13.140625" style="221" customWidth="1"/>
    <col min="13084" max="13084" width="15.7109375" style="221" customWidth="1"/>
    <col min="13085" max="13085" width="13.85546875" style="221" customWidth="1"/>
    <col min="13086" max="13086" width="9.140625" style="221" customWidth="1"/>
    <col min="13087" max="13276" width="9.140625" style="221"/>
    <col min="13277" max="13277" width="25.85546875" style="221" customWidth="1"/>
    <col min="13278" max="13278" width="0" style="221" hidden="1" customWidth="1"/>
    <col min="13279" max="13279" width="9.42578125" style="221" customWidth="1"/>
    <col min="13280" max="13315" width="14.140625" style="221" customWidth="1"/>
    <col min="13316" max="13317" width="13" style="221" customWidth="1"/>
    <col min="13318" max="13328" width="10.85546875" style="221" customWidth="1"/>
    <col min="13329" max="13329" width="3.140625" style="221" customWidth="1"/>
    <col min="13330" max="13333" width="10.85546875" style="221" customWidth="1"/>
    <col min="13334" max="13334" width="2.85546875" style="221" customWidth="1"/>
    <col min="13335" max="13336" width="10.85546875" style="221" customWidth="1"/>
    <col min="13337" max="13337" width="2.42578125" style="221" customWidth="1"/>
    <col min="13338" max="13339" width="13.140625" style="221" customWidth="1"/>
    <col min="13340" max="13340" width="15.7109375" style="221" customWidth="1"/>
    <col min="13341" max="13341" width="13.85546875" style="221" customWidth="1"/>
    <col min="13342" max="13342" width="9.140625" style="221" customWidth="1"/>
    <col min="13343" max="13532" width="9.140625" style="221"/>
    <col min="13533" max="13533" width="25.85546875" style="221" customWidth="1"/>
    <col min="13534" max="13534" width="0" style="221" hidden="1" customWidth="1"/>
    <col min="13535" max="13535" width="9.42578125" style="221" customWidth="1"/>
    <col min="13536" max="13571" width="14.140625" style="221" customWidth="1"/>
    <col min="13572" max="13573" width="13" style="221" customWidth="1"/>
    <col min="13574" max="13584" width="10.85546875" style="221" customWidth="1"/>
    <col min="13585" max="13585" width="3.140625" style="221" customWidth="1"/>
    <col min="13586" max="13589" width="10.85546875" style="221" customWidth="1"/>
    <col min="13590" max="13590" width="2.85546875" style="221" customWidth="1"/>
    <col min="13591" max="13592" width="10.85546875" style="221" customWidth="1"/>
    <col min="13593" max="13593" width="2.42578125" style="221" customWidth="1"/>
    <col min="13594" max="13595" width="13.140625" style="221" customWidth="1"/>
    <col min="13596" max="13596" width="15.7109375" style="221" customWidth="1"/>
    <col min="13597" max="13597" width="13.85546875" style="221" customWidth="1"/>
    <col min="13598" max="13598" width="9.140625" style="221" customWidth="1"/>
    <col min="13599" max="13788" width="9.140625" style="221"/>
    <col min="13789" max="13789" width="25.85546875" style="221" customWidth="1"/>
    <col min="13790" max="13790" width="0" style="221" hidden="1" customWidth="1"/>
    <col min="13791" max="13791" width="9.42578125" style="221" customWidth="1"/>
    <col min="13792" max="13827" width="14.140625" style="221" customWidth="1"/>
    <col min="13828" max="13829" width="13" style="221" customWidth="1"/>
    <col min="13830" max="13840" width="10.85546875" style="221" customWidth="1"/>
    <col min="13841" max="13841" width="3.140625" style="221" customWidth="1"/>
    <col min="13842" max="13845" width="10.85546875" style="221" customWidth="1"/>
    <col min="13846" max="13846" width="2.85546875" style="221" customWidth="1"/>
    <col min="13847" max="13848" width="10.85546875" style="221" customWidth="1"/>
    <col min="13849" max="13849" width="2.42578125" style="221" customWidth="1"/>
    <col min="13850" max="13851" width="13.140625" style="221" customWidth="1"/>
    <col min="13852" max="13852" width="15.7109375" style="221" customWidth="1"/>
    <col min="13853" max="13853" width="13.85546875" style="221" customWidth="1"/>
    <col min="13854" max="13854" width="9.140625" style="221" customWidth="1"/>
    <col min="13855" max="14044" width="9.140625" style="221"/>
    <col min="14045" max="14045" width="25.85546875" style="221" customWidth="1"/>
    <col min="14046" max="14046" width="0" style="221" hidden="1" customWidth="1"/>
    <col min="14047" max="14047" width="9.42578125" style="221" customWidth="1"/>
    <col min="14048" max="14083" width="14.140625" style="221" customWidth="1"/>
    <col min="14084" max="14085" width="13" style="221" customWidth="1"/>
    <col min="14086" max="14096" width="10.85546875" style="221" customWidth="1"/>
    <col min="14097" max="14097" width="3.140625" style="221" customWidth="1"/>
    <col min="14098" max="14101" width="10.85546875" style="221" customWidth="1"/>
    <col min="14102" max="14102" width="2.85546875" style="221" customWidth="1"/>
    <col min="14103" max="14104" width="10.85546875" style="221" customWidth="1"/>
    <col min="14105" max="14105" width="2.42578125" style="221" customWidth="1"/>
    <col min="14106" max="14107" width="13.140625" style="221" customWidth="1"/>
    <col min="14108" max="14108" width="15.7109375" style="221" customWidth="1"/>
    <col min="14109" max="14109" width="13.85546875" style="221" customWidth="1"/>
    <col min="14110" max="14110" width="9.140625" style="221" customWidth="1"/>
    <col min="14111" max="14300" width="9.140625" style="221"/>
    <col min="14301" max="14301" width="25.85546875" style="221" customWidth="1"/>
    <col min="14302" max="14302" width="0" style="221" hidden="1" customWidth="1"/>
    <col min="14303" max="14303" width="9.42578125" style="221" customWidth="1"/>
    <col min="14304" max="14339" width="14.140625" style="221" customWidth="1"/>
    <col min="14340" max="14341" width="13" style="221" customWidth="1"/>
    <col min="14342" max="14352" width="10.85546875" style="221" customWidth="1"/>
    <col min="14353" max="14353" width="3.140625" style="221" customWidth="1"/>
    <col min="14354" max="14357" width="10.85546875" style="221" customWidth="1"/>
    <col min="14358" max="14358" width="2.85546875" style="221" customWidth="1"/>
    <col min="14359" max="14360" width="10.85546875" style="221" customWidth="1"/>
    <col min="14361" max="14361" width="2.42578125" style="221" customWidth="1"/>
    <col min="14362" max="14363" width="13.140625" style="221" customWidth="1"/>
    <col min="14364" max="14364" width="15.7109375" style="221" customWidth="1"/>
    <col min="14365" max="14365" width="13.85546875" style="221" customWidth="1"/>
    <col min="14366" max="14366" width="9.140625" style="221" customWidth="1"/>
    <col min="14367" max="14556" width="9.140625" style="221"/>
    <col min="14557" max="14557" width="25.85546875" style="221" customWidth="1"/>
    <col min="14558" max="14558" width="0" style="221" hidden="1" customWidth="1"/>
    <col min="14559" max="14559" width="9.42578125" style="221" customWidth="1"/>
    <col min="14560" max="14595" width="14.140625" style="221" customWidth="1"/>
    <col min="14596" max="14597" width="13" style="221" customWidth="1"/>
    <col min="14598" max="14608" width="10.85546875" style="221" customWidth="1"/>
    <col min="14609" max="14609" width="3.140625" style="221" customWidth="1"/>
    <col min="14610" max="14613" width="10.85546875" style="221" customWidth="1"/>
    <col min="14614" max="14614" width="2.85546875" style="221" customWidth="1"/>
    <col min="14615" max="14616" width="10.85546875" style="221" customWidth="1"/>
    <col min="14617" max="14617" width="2.42578125" style="221" customWidth="1"/>
    <col min="14618" max="14619" width="13.140625" style="221" customWidth="1"/>
    <col min="14620" max="14620" width="15.7109375" style="221" customWidth="1"/>
    <col min="14621" max="14621" width="13.85546875" style="221" customWidth="1"/>
    <col min="14622" max="14622" width="9.140625" style="221" customWidth="1"/>
    <col min="14623" max="14812" width="9.140625" style="221"/>
    <col min="14813" max="14813" width="25.85546875" style="221" customWidth="1"/>
    <col min="14814" max="14814" width="0" style="221" hidden="1" customWidth="1"/>
    <col min="14815" max="14815" width="9.42578125" style="221" customWidth="1"/>
    <col min="14816" max="14851" width="14.140625" style="221" customWidth="1"/>
    <col min="14852" max="14853" width="13" style="221" customWidth="1"/>
    <col min="14854" max="14864" width="10.85546875" style="221" customWidth="1"/>
    <col min="14865" max="14865" width="3.140625" style="221" customWidth="1"/>
    <col min="14866" max="14869" width="10.85546875" style="221" customWidth="1"/>
    <col min="14870" max="14870" width="2.85546875" style="221" customWidth="1"/>
    <col min="14871" max="14872" width="10.85546875" style="221" customWidth="1"/>
    <col min="14873" max="14873" width="2.42578125" style="221" customWidth="1"/>
    <col min="14874" max="14875" width="13.140625" style="221" customWidth="1"/>
    <col min="14876" max="14876" width="15.7109375" style="221" customWidth="1"/>
    <col min="14877" max="14877" width="13.85546875" style="221" customWidth="1"/>
    <col min="14878" max="14878" width="9.140625" style="221" customWidth="1"/>
    <col min="14879" max="15068" width="9.140625" style="221"/>
    <col min="15069" max="15069" width="25.85546875" style="221" customWidth="1"/>
    <col min="15070" max="15070" width="0" style="221" hidden="1" customWidth="1"/>
    <col min="15071" max="15071" width="9.42578125" style="221" customWidth="1"/>
    <col min="15072" max="15107" width="14.140625" style="221" customWidth="1"/>
    <col min="15108" max="15109" width="13" style="221" customWidth="1"/>
    <col min="15110" max="15120" width="10.85546875" style="221" customWidth="1"/>
    <col min="15121" max="15121" width="3.140625" style="221" customWidth="1"/>
    <col min="15122" max="15125" width="10.85546875" style="221" customWidth="1"/>
    <col min="15126" max="15126" width="2.85546875" style="221" customWidth="1"/>
    <col min="15127" max="15128" width="10.85546875" style="221" customWidth="1"/>
    <col min="15129" max="15129" width="2.42578125" style="221" customWidth="1"/>
    <col min="15130" max="15131" width="13.140625" style="221" customWidth="1"/>
    <col min="15132" max="15132" width="15.7109375" style="221" customWidth="1"/>
    <col min="15133" max="15133" width="13.85546875" style="221" customWidth="1"/>
    <col min="15134" max="15134" width="9.140625" style="221" customWidth="1"/>
    <col min="15135" max="15324" width="9.140625" style="221"/>
    <col min="15325" max="15325" width="25.85546875" style="221" customWidth="1"/>
    <col min="15326" max="15326" width="0" style="221" hidden="1" customWidth="1"/>
    <col min="15327" max="15327" width="9.42578125" style="221" customWidth="1"/>
    <col min="15328" max="15363" width="14.140625" style="221" customWidth="1"/>
    <col min="15364" max="15365" width="13" style="221" customWidth="1"/>
    <col min="15366" max="15376" width="10.85546875" style="221" customWidth="1"/>
    <col min="15377" max="15377" width="3.140625" style="221" customWidth="1"/>
    <col min="15378" max="15381" width="10.85546875" style="221" customWidth="1"/>
    <col min="15382" max="15382" width="2.85546875" style="221" customWidth="1"/>
    <col min="15383" max="15384" width="10.85546875" style="221" customWidth="1"/>
    <col min="15385" max="15385" width="2.42578125" style="221" customWidth="1"/>
    <col min="15386" max="15387" width="13.140625" style="221" customWidth="1"/>
    <col min="15388" max="15388" width="15.7109375" style="221" customWidth="1"/>
    <col min="15389" max="15389" width="13.85546875" style="221" customWidth="1"/>
    <col min="15390" max="15390" width="9.140625" style="221" customWidth="1"/>
    <col min="15391" max="15580" width="9.140625" style="221"/>
    <col min="15581" max="15581" width="25.85546875" style="221" customWidth="1"/>
    <col min="15582" max="15582" width="0" style="221" hidden="1" customWidth="1"/>
    <col min="15583" max="15583" width="9.42578125" style="221" customWidth="1"/>
    <col min="15584" max="15619" width="14.140625" style="221" customWidth="1"/>
    <col min="15620" max="15621" width="13" style="221" customWidth="1"/>
    <col min="15622" max="15632" width="10.85546875" style="221" customWidth="1"/>
    <col min="15633" max="15633" width="3.140625" style="221" customWidth="1"/>
    <col min="15634" max="15637" width="10.85546875" style="221" customWidth="1"/>
    <col min="15638" max="15638" width="2.85546875" style="221" customWidth="1"/>
    <col min="15639" max="15640" width="10.85546875" style="221" customWidth="1"/>
    <col min="15641" max="15641" width="2.42578125" style="221" customWidth="1"/>
    <col min="15642" max="15643" width="13.140625" style="221" customWidth="1"/>
    <col min="15644" max="15644" width="15.7109375" style="221" customWidth="1"/>
    <col min="15645" max="15645" width="13.85546875" style="221" customWidth="1"/>
    <col min="15646" max="15646" width="9.140625" style="221" customWidth="1"/>
    <col min="15647" max="15836" width="9.140625" style="221"/>
    <col min="15837" max="15837" width="25.85546875" style="221" customWidth="1"/>
    <col min="15838" max="15838" width="0" style="221" hidden="1" customWidth="1"/>
    <col min="15839" max="15839" width="9.42578125" style="221" customWidth="1"/>
    <col min="15840" max="15875" width="14.140625" style="221" customWidth="1"/>
    <col min="15876" max="15877" width="13" style="221" customWidth="1"/>
    <col min="15878" max="15888" width="10.85546875" style="221" customWidth="1"/>
    <col min="15889" max="15889" width="3.140625" style="221" customWidth="1"/>
    <col min="15890" max="15893" width="10.85546875" style="221" customWidth="1"/>
    <col min="15894" max="15894" width="2.85546875" style="221" customWidth="1"/>
    <col min="15895" max="15896" width="10.85546875" style="221" customWidth="1"/>
    <col min="15897" max="15897" width="2.42578125" style="221" customWidth="1"/>
    <col min="15898" max="15899" width="13.140625" style="221" customWidth="1"/>
    <col min="15900" max="15900" width="15.7109375" style="221" customWidth="1"/>
    <col min="15901" max="15901" width="13.85546875" style="221" customWidth="1"/>
    <col min="15902" max="15902" width="9.140625" style="221" customWidth="1"/>
    <col min="15903" max="16092" width="9.140625" style="221"/>
    <col min="16093" max="16093" width="25.85546875" style="221" customWidth="1"/>
    <col min="16094" max="16094" width="0" style="221" hidden="1" customWidth="1"/>
    <col min="16095" max="16095" width="9.42578125" style="221" customWidth="1"/>
    <col min="16096" max="16131" width="14.140625" style="221" customWidth="1"/>
    <col min="16132" max="16133" width="13" style="221" customWidth="1"/>
    <col min="16134" max="16144" width="10.85546875" style="221" customWidth="1"/>
    <col min="16145" max="16145" width="3.140625" style="221" customWidth="1"/>
    <col min="16146" max="16149" width="10.85546875" style="221" customWidth="1"/>
    <col min="16150" max="16150" width="2.85546875" style="221" customWidth="1"/>
    <col min="16151" max="16152" width="10.85546875" style="221" customWidth="1"/>
    <col min="16153" max="16153" width="2.42578125" style="221" customWidth="1"/>
    <col min="16154" max="16155" width="13.140625" style="221" customWidth="1"/>
    <col min="16156" max="16156" width="15.7109375" style="221" customWidth="1"/>
    <col min="16157" max="16157" width="13.85546875" style="221" customWidth="1"/>
    <col min="16158" max="16158" width="9.140625" style="221" customWidth="1"/>
    <col min="16159" max="16384" width="9.140625" style="221"/>
  </cols>
  <sheetData>
    <row r="1" spans="1:30" ht="15.75" customHeight="1" x14ac:dyDescent="0.2">
      <c r="E1" s="223">
        <v>27.65</v>
      </c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1:30" ht="30" customHeight="1" x14ac:dyDescent="0.3">
      <c r="A2" s="226" t="s">
        <v>110</v>
      </c>
      <c r="B2" s="226"/>
      <c r="C2" s="226"/>
      <c r="D2" s="226"/>
      <c r="E2" s="227"/>
      <c r="F2" s="227"/>
      <c r="G2" s="480" t="s">
        <v>111</v>
      </c>
      <c r="H2" s="481"/>
      <c r="I2" s="481"/>
      <c r="J2" s="227" t="s">
        <v>112</v>
      </c>
      <c r="K2" s="227"/>
      <c r="L2" s="227"/>
      <c r="M2" s="227"/>
      <c r="N2" s="227"/>
      <c r="O2" s="227"/>
      <c r="P2" s="227"/>
    </row>
    <row r="3" spans="1:30" ht="24.75" customHeight="1" x14ac:dyDescent="0.2">
      <c r="B3" s="228" t="s">
        <v>113</v>
      </c>
      <c r="E3" s="229" t="s">
        <v>1</v>
      </c>
      <c r="F3" s="229" t="s">
        <v>1</v>
      </c>
      <c r="G3" s="229" t="s">
        <v>1</v>
      </c>
      <c r="H3" s="229" t="s">
        <v>1</v>
      </c>
      <c r="I3" s="229" t="s">
        <v>1</v>
      </c>
      <c r="J3" s="230" t="s">
        <v>114</v>
      </c>
      <c r="K3" s="230" t="s">
        <v>115</v>
      </c>
      <c r="L3" s="230" t="s">
        <v>115</v>
      </c>
      <c r="M3" s="230" t="s">
        <v>115</v>
      </c>
      <c r="N3" s="230" t="s">
        <v>115</v>
      </c>
      <c r="O3" s="230" t="s">
        <v>115</v>
      </c>
      <c r="P3" s="230" t="s">
        <v>115</v>
      </c>
      <c r="S3" s="227"/>
      <c r="U3" s="227" t="s">
        <v>112</v>
      </c>
      <c r="X3" s="227" t="s">
        <v>112</v>
      </c>
      <c r="AB3" s="227" t="s">
        <v>112</v>
      </c>
      <c r="AC3" s="227" t="s">
        <v>112</v>
      </c>
    </row>
    <row r="4" spans="1:30" ht="14.25" customHeight="1" x14ac:dyDescent="0.2">
      <c r="A4" s="231" t="s">
        <v>133</v>
      </c>
      <c r="B4" s="231"/>
      <c r="C4" s="232"/>
      <c r="D4" s="233"/>
      <c r="E4" s="234">
        <v>41729</v>
      </c>
      <c r="F4" s="234">
        <v>41759</v>
      </c>
      <c r="G4" s="234">
        <v>41790</v>
      </c>
      <c r="H4" s="234">
        <v>41820</v>
      </c>
      <c r="I4" s="234">
        <v>41851</v>
      </c>
      <c r="J4" s="234">
        <v>41882</v>
      </c>
      <c r="K4" s="234">
        <v>41912</v>
      </c>
      <c r="L4" s="234">
        <v>41943</v>
      </c>
      <c r="M4" s="234">
        <v>41973</v>
      </c>
      <c r="N4" s="234">
        <v>42004</v>
      </c>
      <c r="O4" s="234">
        <v>42035</v>
      </c>
      <c r="P4" s="234">
        <v>42063</v>
      </c>
      <c r="Q4" s="235"/>
      <c r="R4" s="236" t="s">
        <v>116</v>
      </c>
      <c r="S4" s="237" t="s">
        <v>58</v>
      </c>
      <c r="T4" s="237" t="s">
        <v>59</v>
      </c>
      <c r="U4" s="237" t="s">
        <v>60</v>
      </c>
      <c r="V4" s="238"/>
      <c r="W4" s="236" t="s">
        <v>117</v>
      </c>
      <c r="X4" s="239" t="s">
        <v>118</v>
      </c>
      <c r="Y4" s="235"/>
      <c r="Z4" s="235">
        <v>2015</v>
      </c>
      <c r="AA4" s="235">
        <v>2016</v>
      </c>
      <c r="AB4" s="237">
        <v>2017</v>
      </c>
      <c r="AC4" s="240">
        <v>2018</v>
      </c>
      <c r="AD4" s="241" t="s">
        <v>119</v>
      </c>
    </row>
    <row r="5" spans="1:30" ht="16.5" customHeight="1" x14ac:dyDescent="0.2">
      <c r="A5" s="482" t="s">
        <v>134</v>
      </c>
      <c r="B5" s="483"/>
      <c r="C5" s="484" t="s">
        <v>135</v>
      </c>
      <c r="D5" s="242" t="s">
        <v>121</v>
      </c>
      <c r="E5" s="243">
        <v>0</v>
      </c>
      <c r="F5" s="243">
        <v>0</v>
      </c>
      <c r="G5" s="243">
        <v>0</v>
      </c>
      <c r="H5" s="243">
        <v>0</v>
      </c>
      <c r="I5" s="243">
        <v>0</v>
      </c>
      <c r="J5" s="243">
        <v>0</v>
      </c>
      <c r="K5" s="243">
        <v>0</v>
      </c>
      <c r="L5" s="243">
        <v>0</v>
      </c>
      <c r="M5" s="243">
        <v>0</v>
      </c>
      <c r="N5" s="243">
        <v>0</v>
      </c>
      <c r="O5" s="243">
        <v>0</v>
      </c>
      <c r="P5" s="243">
        <v>0</v>
      </c>
      <c r="Q5" s="244"/>
      <c r="R5" s="245">
        <v>0</v>
      </c>
      <c r="S5" s="245">
        <v>0</v>
      </c>
      <c r="T5" s="245">
        <v>0</v>
      </c>
      <c r="U5" s="245">
        <v>0</v>
      </c>
      <c r="V5" s="244"/>
      <c r="W5" s="245">
        <v>0</v>
      </c>
      <c r="X5" s="245">
        <v>0</v>
      </c>
      <c r="Y5" s="244"/>
      <c r="Z5" s="244">
        <v>0</v>
      </c>
      <c r="AA5" s="244">
        <v>0</v>
      </c>
      <c r="AB5" s="246">
        <v>0</v>
      </c>
      <c r="AC5" s="245">
        <v>0</v>
      </c>
    </row>
    <row r="6" spans="1:30" ht="16.5" customHeight="1" x14ac:dyDescent="0.2">
      <c r="A6" s="482"/>
      <c r="B6" s="483"/>
      <c r="C6" s="485"/>
      <c r="D6" s="247" t="s">
        <v>122</v>
      </c>
      <c r="E6" s="249">
        <v>0</v>
      </c>
      <c r="F6" s="249">
        <v>0</v>
      </c>
      <c r="G6" s="249">
        <v>0</v>
      </c>
      <c r="H6" s="249"/>
      <c r="I6" s="249"/>
      <c r="J6" s="249"/>
      <c r="K6" s="249"/>
      <c r="L6" s="249"/>
      <c r="M6" s="249"/>
      <c r="N6" s="249"/>
      <c r="O6" s="249"/>
      <c r="P6" s="249"/>
      <c r="Q6" s="244"/>
      <c r="R6" s="250">
        <v>0</v>
      </c>
      <c r="S6" s="251">
        <v>0</v>
      </c>
      <c r="T6" s="251">
        <v>0</v>
      </c>
      <c r="U6" s="252">
        <v>0</v>
      </c>
      <c r="V6" s="244"/>
      <c r="W6" s="250">
        <v>0</v>
      </c>
      <c r="X6" s="252">
        <v>0</v>
      </c>
      <c r="Y6" s="244"/>
      <c r="Z6" s="244">
        <v>-8622.5345089999992</v>
      </c>
      <c r="AA6" s="244">
        <v>975.13800000000015</v>
      </c>
      <c r="AB6" s="251">
        <v>300.38</v>
      </c>
      <c r="AC6" s="250">
        <v>0</v>
      </c>
    </row>
    <row r="7" spans="1:30" ht="16.5" customHeight="1" x14ac:dyDescent="0.2">
      <c r="A7" s="482"/>
      <c r="B7" s="483"/>
      <c r="C7" s="484" t="s">
        <v>136</v>
      </c>
      <c r="D7" s="242" t="s">
        <v>121</v>
      </c>
      <c r="E7" s="243">
        <v>0</v>
      </c>
      <c r="F7" s="243">
        <v>0</v>
      </c>
      <c r="G7" s="243">
        <v>0</v>
      </c>
      <c r="H7" s="243">
        <v>0</v>
      </c>
      <c r="I7" s="243">
        <v>0</v>
      </c>
      <c r="J7" s="243">
        <v>0</v>
      </c>
      <c r="K7" s="243">
        <v>0</v>
      </c>
      <c r="L7" s="243">
        <v>0</v>
      </c>
      <c r="M7" s="243">
        <v>0</v>
      </c>
      <c r="N7" s="243">
        <v>0</v>
      </c>
      <c r="O7" s="243">
        <v>0</v>
      </c>
      <c r="P7" s="243">
        <v>0</v>
      </c>
      <c r="Q7" s="244"/>
      <c r="R7" s="245">
        <v>0</v>
      </c>
      <c r="S7" s="253">
        <v>0</v>
      </c>
      <c r="T7" s="253">
        <v>0</v>
      </c>
      <c r="U7" s="254">
        <v>0</v>
      </c>
      <c r="V7" s="244"/>
      <c r="W7" s="245">
        <v>0</v>
      </c>
      <c r="X7" s="254">
        <v>0</v>
      </c>
      <c r="Y7" s="244"/>
      <c r="Z7" s="244">
        <v>0</v>
      </c>
      <c r="AA7" s="244">
        <v>0</v>
      </c>
      <c r="AB7" s="246">
        <v>0</v>
      </c>
      <c r="AC7" s="245">
        <v>0</v>
      </c>
    </row>
    <row r="8" spans="1:30" ht="16.5" customHeight="1" x14ac:dyDescent="0.2">
      <c r="A8" s="482"/>
      <c r="B8" s="483"/>
      <c r="C8" s="485"/>
      <c r="D8" s="255" t="s">
        <v>122</v>
      </c>
      <c r="E8" s="256">
        <v>0</v>
      </c>
      <c r="F8" s="256">
        <v>0</v>
      </c>
      <c r="G8" s="256">
        <v>0</v>
      </c>
      <c r="H8" s="256"/>
      <c r="I8" s="256"/>
      <c r="J8" s="256"/>
      <c r="K8" s="256"/>
      <c r="L8" s="256"/>
      <c r="M8" s="256"/>
      <c r="N8" s="256"/>
      <c r="O8" s="256"/>
      <c r="P8" s="256"/>
      <c r="Q8" s="257"/>
      <c r="R8" s="258">
        <v>0</v>
      </c>
      <c r="S8" s="257">
        <v>0</v>
      </c>
      <c r="T8" s="257">
        <v>0</v>
      </c>
      <c r="U8" s="259">
        <v>0</v>
      </c>
      <c r="V8" s="244"/>
      <c r="W8" s="258">
        <v>0</v>
      </c>
      <c r="X8" s="259">
        <v>0</v>
      </c>
      <c r="Y8" s="244"/>
      <c r="Z8" s="244">
        <v>-13435.729830896997</v>
      </c>
      <c r="AA8" s="244">
        <v>239.91641603819576</v>
      </c>
      <c r="AB8" s="257">
        <v>-955.14700000000005</v>
      </c>
      <c r="AC8" s="258">
        <v>0</v>
      </c>
    </row>
    <row r="9" spans="1:30" ht="16.5" customHeight="1" x14ac:dyDescent="0.2">
      <c r="A9" s="486" t="s">
        <v>137</v>
      </c>
      <c r="B9" s="487"/>
      <c r="C9" s="484" t="s">
        <v>135</v>
      </c>
      <c r="D9" s="242" t="s">
        <v>121</v>
      </c>
      <c r="E9" s="261">
        <v>44927.775000000001</v>
      </c>
      <c r="F9" s="261">
        <v>45091.974999999999</v>
      </c>
      <c r="G9" s="261">
        <v>45782.775000000001</v>
      </c>
      <c r="H9" s="261">
        <v>44991.974999999999</v>
      </c>
      <c r="I9" s="261">
        <v>44542.055</v>
      </c>
      <c r="J9" s="261">
        <v>45511.974999999999</v>
      </c>
      <c r="K9" s="261">
        <v>46689.18</v>
      </c>
      <c r="L9" s="261">
        <v>45686.974999999999</v>
      </c>
      <c r="M9" s="261">
        <v>45037.055</v>
      </c>
      <c r="N9" s="261">
        <v>46476.974999999999</v>
      </c>
      <c r="O9" s="261">
        <v>45602.055</v>
      </c>
      <c r="P9" s="261">
        <v>46476.974999999999</v>
      </c>
      <c r="Q9" s="244"/>
      <c r="R9" s="245">
        <v>135802.52499999999</v>
      </c>
      <c r="S9" s="253">
        <v>135046.005</v>
      </c>
      <c r="T9" s="253">
        <v>137413.21</v>
      </c>
      <c r="U9" s="254">
        <v>138556.005</v>
      </c>
      <c r="V9" s="244"/>
      <c r="W9" s="245">
        <v>270848.53000000003</v>
      </c>
      <c r="X9" s="254">
        <v>275969.21499999997</v>
      </c>
      <c r="Y9" s="244"/>
      <c r="Z9" s="244">
        <v>0</v>
      </c>
      <c r="AA9" s="244">
        <v>670553.44000000006</v>
      </c>
      <c r="AB9" s="262">
        <v>475365.6</v>
      </c>
      <c r="AC9" s="245">
        <v>546817.74499999988</v>
      </c>
    </row>
    <row r="10" spans="1:30" ht="16.5" customHeight="1" x14ac:dyDescent="0.2">
      <c r="A10" s="486"/>
      <c r="B10" s="487"/>
      <c r="C10" s="485"/>
      <c r="D10" s="247" t="s">
        <v>122</v>
      </c>
      <c r="E10" s="249">
        <v>52985.222999999998</v>
      </c>
      <c r="F10" s="249">
        <v>43235.188000000002</v>
      </c>
      <c r="G10" s="249">
        <v>53392.120999999999</v>
      </c>
      <c r="H10" s="249">
        <v>56557.741999999998</v>
      </c>
      <c r="I10" s="249">
        <v>44047.637999999999</v>
      </c>
      <c r="J10" s="249">
        <v>45511.974999999999</v>
      </c>
      <c r="K10" s="263">
        <v>46267.294999999998</v>
      </c>
      <c r="L10" s="263">
        <v>46235.214999999997</v>
      </c>
      <c r="M10" s="263">
        <v>52557.834999999999</v>
      </c>
      <c r="N10" s="263">
        <v>49590.165000000001</v>
      </c>
      <c r="O10" s="263">
        <v>52192.284999999996</v>
      </c>
      <c r="P10" s="263">
        <v>52355.165000000001</v>
      </c>
      <c r="Q10" s="244"/>
      <c r="R10" s="250">
        <v>149612.53200000001</v>
      </c>
      <c r="S10" s="251">
        <v>146117.35500000001</v>
      </c>
      <c r="T10" s="251">
        <v>145060.345</v>
      </c>
      <c r="U10" s="252">
        <v>154137.61499999999</v>
      </c>
      <c r="V10" s="244"/>
      <c r="W10" s="250">
        <v>295729.88699999999</v>
      </c>
      <c r="X10" s="252">
        <v>299197.95999999996</v>
      </c>
      <c r="Y10" s="244"/>
      <c r="Z10" s="244">
        <v>666844.18199999991</v>
      </c>
      <c r="AA10" s="244">
        <v>562499.86599999992</v>
      </c>
      <c r="AB10" s="251">
        <v>596657.65899999999</v>
      </c>
      <c r="AC10" s="250">
        <v>594927.84700000007</v>
      </c>
    </row>
    <row r="11" spans="1:30" ht="16.5" customHeight="1" x14ac:dyDescent="0.2">
      <c r="A11" s="486"/>
      <c r="B11" s="487"/>
      <c r="C11" s="484" t="s">
        <v>136</v>
      </c>
      <c r="D11" s="242" t="s">
        <v>121</v>
      </c>
      <c r="E11" s="261">
        <v>-8910.0642438646446</v>
      </c>
      <c r="F11" s="261">
        <v>-8901.8542438646527</v>
      </c>
      <c r="G11" s="261">
        <v>-8867.3142438646446</v>
      </c>
      <c r="H11" s="261">
        <v>-6875</v>
      </c>
      <c r="I11" s="261">
        <v>-6875</v>
      </c>
      <c r="J11" s="261">
        <v>-8880.8542438646527</v>
      </c>
      <c r="K11" s="261">
        <v>-8821.9939938646548</v>
      </c>
      <c r="L11" s="261">
        <v>-8872.1042438646527</v>
      </c>
      <c r="M11" s="261">
        <v>-8904.6002438646519</v>
      </c>
      <c r="N11" s="261">
        <v>-8832.6042438646527</v>
      </c>
      <c r="O11" s="261">
        <v>-8876.3502438646519</v>
      </c>
      <c r="P11" s="261">
        <v>-8832.6042438646527</v>
      </c>
      <c r="Q11" s="244"/>
      <c r="R11" s="245">
        <v>-26679.23273159394</v>
      </c>
      <c r="S11" s="253">
        <v>-22630.854243864655</v>
      </c>
      <c r="T11" s="253">
        <v>-26598.698481593958</v>
      </c>
      <c r="U11" s="254">
        <v>-26541.558731593956</v>
      </c>
      <c r="V11" s="244"/>
      <c r="W11" s="245">
        <v>-49310.086975458595</v>
      </c>
      <c r="X11" s="254">
        <v>-53140.257213187913</v>
      </c>
      <c r="Y11" s="244"/>
      <c r="Z11" s="244">
        <v>0</v>
      </c>
      <c r="AA11" s="244">
        <v>-61004.735999999997</v>
      </c>
      <c r="AB11" s="246">
        <v>-54695.16</v>
      </c>
      <c r="AC11" s="245">
        <v>-102450.34418864652</v>
      </c>
    </row>
    <row r="12" spans="1:30" ht="16.5" customHeight="1" x14ac:dyDescent="0.2">
      <c r="A12" s="486"/>
      <c r="B12" s="487"/>
      <c r="C12" s="485"/>
      <c r="D12" s="255" t="s">
        <v>122</v>
      </c>
      <c r="E12" s="264">
        <v>-7736.3950000000041</v>
      </c>
      <c r="F12" s="264">
        <v>-9231.9279999999872</v>
      </c>
      <c r="G12" s="264">
        <v>-5002.9340000000102</v>
      </c>
      <c r="H12" s="264">
        <v>-7486.984000000004</v>
      </c>
      <c r="I12" s="264">
        <v>-6827.2009999999955</v>
      </c>
      <c r="J12" s="264">
        <v>-6593</v>
      </c>
      <c r="K12" s="265">
        <v>-6593</v>
      </c>
      <c r="L12" s="265">
        <v>-6593</v>
      </c>
      <c r="M12" s="265">
        <v>-6593</v>
      </c>
      <c r="N12" s="265">
        <v>-6593</v>
      </c>
      <c r="O12" s="265">
        <v>-6593</v>
      </c>
      <c r="P12" s="265">
        <v>-6593</v>
      </c>
      <c r="Q12" s="244"/>
      <c r="R12" s="258">
        <v>-21971.256999999998</v>
      </c>
      <c r="S12" s="257">
        <v>-20907.184999999998</v>
      </c>
      <c r="T12" s="257">
        <v>-19779</v>
      </c>
      <c r="U12" s="259">
        <v>-19779</v>
      </c>
      <c r="V12" s="244"/>
      <c r="W12" s="258">
        <v>-42878.441999999995</v>
      </c>
      <c r="X12" s="259">
        <v>-39558</v>
      </c>
      <c r="Y12" s="244"/>
      <c r="Z12" s="244">
        <v>-91670.584900649905</v>
      </c>
      <c r="AA12" s="244">
        <v>-90297.084782793594</v>
      </c>
      <c r="AB12" s="257">
        <v>-82105.129000000015</v>
      </c>
      <c r="AC12" s="258">
        <v>-82436.441999999995</v>
      </c>
    </row>
    <row r="13" spans="1:30" ht="16.5" customHeight="1" x14ac:dyDescent="0.2">
      <c r="A13" s="486" t="s">
        <v>138</v>
      </c>
      <c r="B13" s="487"/>
      <c r="C13" s="484" t="s">
        <v>135</v>
      </c>
      <c r="D13" s="242" t="s">
        <v>121</v>
      </c>
      <c r="E13" s="261">
        <v>305888.85042000003</v>
      </c>
      <c r="F13" s="261">
        <v>307110.85042000003</v>
      </c>
      <c r="G13" s="261">
        <v>304786.85042000003</v>
      </c>
      <c r="H13" s="261">
        <v>324635.61242000002</v>
      </c>
      <c r="I13" s="261">
        <v>326192.26042000001</v>
      </c>
      <c r="J13" s="261">
        <v>323863.26042000001</v>
      </c>
      <c r="K13" s="261">
        <v>326529.76042000001</v>
      </c>
      <c r="L13" s="261">
        <v>332113.26042000001</v>
      </c>
      <c r="M13" s="261">
        <v>330927.76042000001</v>
      </c>
      <c r="N13" s="261">
        <v>315725.78380000003</v>
      </c>
      <c r="O13" s="261">
        <v>319343.14562000002</v>
      </c>
      <c r="P13" s="261">
        <v>318131.77422000002</v>
      </c>
      <c r="Q13" s="244"/>
      <c r="R13" s="245">
        <v>917786.55126000009</v>
      </c>
      <c r="S13" s="253">
        <v>974691.13326000003</v>
      </c>
      <c r="T13" s="253">
        <v>989570.78126000008</v>
      </c>
      <c r="U13" s="254">
        <v>953200.70364000008</v>
      </c>
      <c r="V13" s="244"/>
      <c r="W13" s="245">
        <v>1892477.6845200001</v>
      </c>
      <c r="X13" s="254">
        <v>1942771.4849</v>
      </c>
      <c r="Y13" s="244"/>
      <c r="Z13" s="244">
        <v>0</v>
      </c>
      <c r="AA13" s="244">
        <v>3232944.8759199996</v>
      </c>
      <c r="AB13" s="262">
        <v>3236670.3493000004</v>
      </c>
      <c r="AC13" s="245">
        <v>3835249.1694200006</v>
      </c>
    </row>
    <row r="14" spans="1:30" ht="16.5" customHeight="1" x14ac:dyDescent="0.2">
      <c r="A14" s="486"/>
      <c r="B14" s="487"/>
      <c r="C14" s="485"/>
      <c r="D14" s="247" t="s">
        <v>122</v>
      </c>
      <c r="E14" s="249">
        <v>293300.38909000001</v>
      </c>
      <c r="F14" s="249">
        <v>305618.26500000001</v>
      </c>
      <c r="G14" s="249">
        <v>289163.18199999997</v>
      </c>
      <c r="H14" s="249">
        <v>323741.68399999995</v>
      </c>
      <c r="I14" s="249">
        <v>334377.77899999998</v>
      </c>
      <c r="J14" s="249">
        <v>327885.27675000002</v>
      </c>
      <c r="K14" s="249">
        <v>340579.85174999997</v>
      </c>
      <c r="L14" s="249">
        <v>341994.91775000002</v>
      </c>
      <c r="M14" s="249">
        <v>339171.84275000001</v>
      </c>
      <c r="N14" s="249">
        <v>331484.80524999998</v>
      </c>
      <c r="O14" s="249">
        <v>324257.34924999997</v>
      </c>
      <c r="P14" s="249">
        <v>323511.23024999996</v>
      </c>
      <c r="Q14" s="244"/>
      <c r="R14" s="250">
        <v>888081.83609000011</v>
      </c>
      <c r="S14" s="251">
        <v>986004.73974999995</v>
      </c>
      <c r="T14" s="251">
        <v>1021746.61225</v>
      </c>
      <c r="U14" s="252">
        <v>979253.38474999997</v>
      </c>
      <c r="V14" s="244"/>
      <c r="W14" s="250">
        <v>1874086.5758400001</v>
      </c>
      <c r="X14" s="252">
        <v>2000999.997</v>
      </c>
      <c r="Y14" s="244"/>
      <c r="Z14" s="244">
        <v>2616865.2072929004</v>
      </c>
      <c r="AA14" s="244">
        <v>2922223.7868438996</v>
      </c>
      <c r="AB14" s="251">
        <v>2952301.3032372994</v>
      </c>
      <c r="AC14" s="250">
        <v>3924464.1024497203</v>
      </c>
    </row>
    <row r="15" spans="1:30" ht="16.5" customHeight="1" x14ac:dyDescent="0.2">
      <c r="A15" s="486"/>
      <c r="B15" s="487"/>
      <c r="C15" s="484" t="s">
        <v>124</v>
      </c>
      <c r="D15" s="242" t="s">
        <v>121</v>
      </c>
      <c r="E15" s="267">
        <v>41319.352250000004</v>
      </c>
      <c r="F15" s="267">
        <v>41014.592250000002</v>
      </c>
      <c r="G15" s="267">
        <v>41319.352250000004</v>
      </c>
      <c r="H15" s="267">
        <v>40919.592250000002</v>
      </c>
      <c r="I15" s="267">
        <v>41414.352250000004</v>
      </c>
      <c r="J15" s="267">
        <v>41413.592250000002</v>
      </c>
      <c r="K15" s="267">
        <v>42577.271000000001</v>
      </c>
      <c r="L15" s="267">
        <v>41082.992250000003</v>
      </c>
      <c r="M15" s="267">
        <v>41387.752249999998</v>
      </c>
      <c r="N15" s="267">
        <v>41025.992250000003</v>
      </c>
      <c r="O15" s="267">
        <v>41520.752249999998</v>
      </c>
      <c r="P15" s="267">
        <v>41025.992250000003</v>
      </c>
      <c r="Q15" s="244"/>
      <c r="R15" s="268">
        <v>123653.29675000001</v>
      </c>
      <c r="S15" s="269">
        <v>123747.53675000001</v>
      </c>
      <c r="T15" s="269">
        <v>125048.01550000001</v>
      </c>
      <c r="U15" s="270">
        <v>123572.73675000001</v>
      </c>
      <c r="V15" s="244"/>
      <c r="W15" s="268"/>
      <c r="X15" s="270"/>
      <c r="Y15" s="244"/>
      <c r="Z15" s="244">
        <v>0</v>
      </c>
      <c r="AA15" s="244">
        <v>0</v>
      </c>
      <c r="AB15" s="246">
        <v>368458.18700000003</v>
      </c>
      <c r="AC15" s="268">
        <v>496021.58575000009</v>
      </c>
    </row>
    <row r="16" spans="1:30" ht="16.5" customHeight="1" x14ac:dyDescent="0.2">
      <c r="A16" s="486"/>
      <c r="B16" s="487"/>
      <c r="C16" s="488"/>
      <c r="D16" s="247" t="s">
        <v>122</v>
      </c>
      <c r="E16" s="249">
        <v>45454.655709999985</v>
      </c>
      <c r="F16" s="249">
        <v>46776.6</v>
      </c>
      <c r="G16" s="249">
        <v>40247.625</v>
      </c>
      <c r="H16" s="249">
        <v>36475.063000000002</v>
      </c>
      <c r="I16" s="249">
        <v>41938.798999999999</v>
      </c>
      <c r="J16" s="249">
        <v>41413.592250000002</v>
      </c>
      <c r="K16" s="249">
        <v>42013.19425</v>
      </c>
      <c r="L16" s="249">
        <v>42362.718249999998</v>
      </c>
      <c r="M16" s="249">
        <v>48576.47825</v>
      </c>
      <c r="N16" s="249">
        <v>45202.695749999999</v>
      </c>
      <c r="O16" s="249">
        <v>48229.205750000001</v>
      </c>
      <c r="P16" s="249">
        <v>47829.445749999999</v>
      </c>
      <c r="Q16" s="244"/>
      <c r="R16" s="250">
        <v>132478.88071</v>
      </c>
      <c r="S16" s="251">
        <v>119827.45425</v>
      </c>
      <c r="T16" s="251">
        <v>132952.39075000002</v>
      </c>
      <c r="U16" s="252">
        <v>141261.34724999999</v>
      </c>
      <c r="V16" s="244"/>
      <c r="W16" s="250"/>
      <c r="X16" s="252"/>
      <c r="Y16" s="244"/>
      <c r="Z16" s="244">
        <v>534952.67780399998</v>
      </c>
      <c r="AA16" s="244">
        <v>495681.0298361</v>
      </c>
      <c r="AB16" s="251">
        <v>512705.13954270008</v>
      </c>
      <c r="AC16" s="250">
        <v>526520.07296000002</v>
      </c>
    </row>
    <row r="17" spans="1:30" ht="16.5" customHeight="1" x14ac:dyDescent="0.2">
      <c r="A17" s="486"/>
      <c r="B17" s="487"/>
      <c r="C17" s="484" t="s">
        <v>136</v>
      </c>
      <c r="D17" s="242" t="s">
        <v>121</v>
      </c>
      <c r="E17" s="261">
        <v>61743.928581353583</v>
      </c>
      <c r="F17" s="261">
        <v>65333.251355124841</v>
      </c>
      <c r="G17" s="261">
        <v>55700.489444824678</v>
      </c>
      <c r="H17" s="261">
        <v>78838.730989540752</v>
      </c>
      <c r="I17" s="261">
        <v>79108.431577207695</v>
      </c>
      <c r="J17" s="261">
        <v>76457.649371038686</v>
      </c>
      <c r="K17" s="261">
        <v>84484.595203008765</v>
      </c>
      <c r="L17" s="261">
        <v>86544.25999383803</v>
      </c>
      <c r="M17" s="261">
        <v>83145.115841008723</v>
      </c>
      <c r="N17" s="261">
        <v>80952.155950949847</v>
      </c>
      <c r="O17" s="261">
        <v>82695.113189895696</v>
      </c>
      <c r="P17" s="261">
        <v>82147.604824919763</v>
      </c>
      <c r="Q17" s="244"/>
      <c r="R17" s="245">
        <v>182777.6693813031</v>
      </c>
      <c r="S17" s="253">
        <v>234404.81193778713</v>
      </c>
      <c r="T17" s="253">
        <v>254173.97103785552</v>
      </c>
      <c r="U17" s="254">
        <v>245794.87396576529</v>
      </c>
      <c r="V17" s="244"/>
      <c r="W17" s="245">
        <v>417182.48131909024</v>
      </c>
      <c r="X17" s="254">
        <v>499968.84500362084</v>
      </c>
      <c r="Y17" s="244"/>
      <c r="Z17" s="244">
        <v>0</v>
      </c>
      <c r="AA17" s="244">
        <v>324026.45249315182</v>
      </c>
      <c r="AB17" s="246">
        <v>574088.0684235415</v>
      </c>
      <c r="AC17" s="245">
        <v>917151.32632271107</v>
      </c>
    </row>
    <row r="18" spans="1:30" ht="16.5" customHeight="1" x14ac:dyDescent="0.2">
      <c r="A18" s="486"/>
      <c r="B18" s="487"/>
      <c r="C18" s="485"/>
      <c r="D18" s="255" t="s">
        <v>122</v>
      </c>
      <c r="E18" s="264">
        <v>49105.036500000002</v>
      </c>
      <c r="F18" s="264">
        <v>53876.303199999966</v>
      </c>
      <c r="G18" s="264">
        <v>49140.353999999985</v>
      </c>
      <c r="H18" s="264">
        <v>59446.94999999999</v>
      </c>
      <c r="I18" s="264">
        <v>61932.497999999992</v>
      </c>
      <c r="J18" s="264">
        <v>52075.79</v>
      </c>
      <c r="K18" s="264">
        <v>69921.16</v>
      </c>
      <c r="L18" s="264">
        <v>66936.990000000005</v>
      </c>
      <c r="M18" s="264">
        <v>71301.240000000005</v>
      </c>
      <c r="N18" s="264">
        <v>69372.28</v>
      </c>
      <c r="O18" s="264">
        <v>65571.740000000005</v>
      </c>
      <c r="P18" s="264">
        <v>70794.09</v>
      </c>
      <c r="Q18" s="244"/>
      <c r="R18" s="258">
        <v>152121.69369999995</v>
      </c>
      <c r="S18" s="257">
        <v>173455.23799999998</v>
      </c>
      <c r="T18" s="257">
        <v>208159.39</v>
      </c>
      <c r="U18" s="259">
        <v>205738.11000000002</v>
      </c>
      <c r="V18" s="244"/>
      <c r="W18" s="258">
        <v>325576.93169999996</v>
      </c>
      <c r="X18" s="259">
        <v>413897.5</v>
      </c>
      <c r="Y18" s="244"/>
      <c r="Z18" s="244">
        <v>30230.70586782457</v>
      </c>
      <c r="AA18" s="244">
        <v>403871.7377</v>
      </c>
      <c r="AB18" s="257">
        <v>487653.73464919988</v>
      </c>
      <c r="AC18" s="258">
        <v>728289.89403212653</v>
      </c>
    </row>
    <row r="19" spans="1:30" ht="16.5" customHeight="1" x14ac:dyDescent="0.2">
      <c r="A19" s="486" t="s">
        <v>125</v>
      </c>
      <c r="B19" s="487"/>
      <c r="C19" s="484" t="s">
        <v>135</v>
      </c>
      <c r="D19" s="242" t="s">
        <v>121</v>
      </c>
      <c r="E19" s="260">
        <v>350816.62542000005</v>
      </c>
      <c r="F19" s="260">
        <v>352202.82542000001</v>
      </c>
      <c r="G19" s="260">
        <v>350569.62542000005</v>
      </c>
      <c r="H19" s="260">
        <v>369627.58742</v>
      </c>
      <c r="I19" s="260">
        <v>370734.31542</v>
      </c>
      <c r="J19" s="260">
        <v>369375.23541999998</v>
      </c>
      <c r="K19" s="260">
        <v>373218.94042</v>
      </c>
      <c r="L19" s="260">
        <v>377800.23541999998</v>
      </c>
      <c r="M19" s="260">
        <v>375964.81542</v>
      </c>
      <c r="N19" s="260">
        <v>362202.75880000001</v>
      </c>
      <c r="O19" s="260">
        <v>364945.20062000002</v>
      </c>
      <c r="P19" s="260">
        <v>364608.74922</v>
      </c>
      <c r="Q19" s="244"/>
      <c r="R19" s="245">
        <v>1053589.07626</v>
      </c>
      <c r="S19" s="253">
        <v>1109737.1382599999</v>
      </c>
      <c r="T19" s="253">
        <v>1126983.99126</v>
      </c>
      <c r="U19" s="254">
        <v>1091756.7086399999</v>
      </c>
      <c r="V19" s="244"/>
      <c r="W19" s="245">
        <v>2163326.2145199999</v>
      </c>
      <c r="X19" s="254">
        <v>2218740.6998999999</v>
      </c>
      <c r="Y19" s="244"/>
      <c r="Z19" s="244">
        <v>0</v>
      </c>
      <c r="AA19" s="244">
        <v>3417875.8409200003</v>
      </c>
      <c r="AB19" s="246">
        <v>3712035.9493</v>
      </c>
      <c r="AC19" s="245">
        <v>4382066.9144199993</v>
      </c>
    </row>
    <row r="20" spans="1:30" ht="16.5" customHeight="1" x14ac:dyDescent="0.2">
      <c r="A20" s="486"/>
      <c r="B20" s="487"/>
      <c r="C20" s="485"/>
      <c r="D20" s="247" t="s">
        <v>122</v>
      </c>
      <c r="E20" s="271">
        <v>346285.61209000001</v>
      </c>
      <c r="F20" s="271">
        <v>348853.45300000004</v>
      </c>
      <c r="G20" s="271">
        <v>342555.30299999996</v>
      </c>
      <c r="H20" s="271">
        <v>380299.42599999998</v>
      </c>
      <c r="I20" s="271">
        <v>378425.41699999996</v>
      </c>
      <c r="J20" s="271">
        <v>373397.25175</v>
      </c>
      <c r="K20" s="271">
        <v>386847.14674999996</v>
      </c>
      <c r="L20" s="271">
        <v>388230.13274999999</v>
      </c>
      <c r="M20" s="271">
        <v>391729.67775000003</v>
      </c>
      <c r="N20" s="271">
        <v>381074.97024999995</v>
      </c>
      <c r="O20" s="271">
        <v>376449.63424999994</v>
      </c>
      <c r="P20" s="271">
        <v>375866.39524999994</v>
      </c>
      <c r="Q20" s="244"/>
      <c r="R20" s="250">
        <v>1037694.36809</v>
      </c>
      <c r="S20" s="251">
        <v>1132122.0947499999</v>
      </c>
      <c r="T20" s="251">
        <v>1166806.95725</v>
      </c>
      <c r="U20" s="252">
        <v>1133390.99975</v>
      </c>
      <c r="V20" s="272">
        <v>1.0030001246582407</v>
      </c>
      <c r="W20" s="250">
        <v>2169816.4628400002</v>
      </c>
      <c r="X20" s="252">
        <v>2300197.9569999999</v>
      </c>
      <c r="Y20" s="273">
        <v>0.94455051152725544</v>
      </c>
      <c r="Z20" s="273">
        <v>3275086.8547839001</v>
      </c>
      <c r="AA20" s="273">
        <v>3485698.7908439003</v>
      </c>
      <c r="AB20" s="251">
        <v>3549259.3422372998</v>
      </c>
      <c r="AC20" s="250">
        <v>4519391.9494497199</v>
      </c>
    </row>
    <row r="21" spans="1:30" ht="16.5" customHeight="1" x14ac:dyDescent="0.2">
      <c r="A21" s="486"/>
      <c r="B21" s="487"/>
      <c r="C21" s="484" t="s">
        <v>123</v>
      </c>
      <c r="D21" s="242" t="s">
        <v>121</v>
      </c>
      <c r="E21" s="260">
        <v>52833.864337488936</v>
      </c>
      <c r="F21" s="260">
        <v>56431.397111260187</v>
      </c>
      <c r="G21" s="260">
        <v>46833.175200960031</v>
      </c>
      <c r="H21" s="260">
        <v>71963.730989540752</v>
      </c>
      <c r="I21" s="260">
        <v>72233.431577207695</v>
      </c>
      <c r="J21" s="260">
        <v>67576.795127174031</v>
      </c>
      <c r="K21" s="260">
        <v>75662.601209144108</v>
      </c>
      <c r="L21" s="260">
        <v>77672.155749973375</v>
      </c>
      <c r="M21" s="260">
        <v>74240.515597144069</v>
      </c>
      <c r="N21" s="260">
        <v>72119.551707085193</v>
      </c>
      <c r="O21" s="260">
        <v>73818.762946031042</v>
      </c>
      <c r="P21" s="260">
        <v>73315.000581055108</v>
      </c>
      <c r="Q21" s="244"/>
      <c r="R21" s="245">
        <v>156098.43664970915</v>
      </c>
      <c r="S21" s="253">
        <v>211773.95769392248</v>
      </c>
      <c r="T21" s="253">
        <v>227575.27255626157</v>
      </c>
      <c r="U21" s="254">
        <v>219253.31523417134</v>
      </c>
      <c r="V21" s="244"/>
      <c r="W21" s="245">
        <v>367872.39434363163</v>
      </c>
      <c r="X21" s="254">
        <v>446828.58779043291</v>
      </c>
      <c r="Y21" s="244"/>
      <c r="Z21" s="244">
        <v>0</v>
      </c>
      <c r="AA21" s="244">
        <v>244947.15599315186</v>
      </c>
      <c r="AB21" s="246">
        <v>519392.90842354152</v>
      </c>
      <c r="AC21" s="245">
        <v>814700.98213406443</v>
      </c>
    </row>
    <row r="22" spans="1:30" ht="16.5" customHeight="1" x14ac:dyDescent="0.2">
      <c r="A22" s="486"/>
      <c r="B22" s="487"/>
      <c r="C22" s="489"/>
      <c r="D22" s="255" t="s">
        <v>122</v>
      </c>
      <c r="E22" s="274">
        <v>41368.641499999998</v>
      </c>
      <c r="F22" s="274">
        <v>44644.37519999998</v>
      </c>
      <c r="G22" s="274">
        <v>44137.419999999976</v>
      </c>
      <c r="H22" s="274">
        <v>51959.965999999986</v>
      </c>
      <c r="I22" s="274">
        <v>55105.296999999999</v>
      </c>
      <c r="J22" s="274">
        <v>45482.79</v>
      </c>
      <c r="K22" s="274">
        <v>63328.160000000003</v>
      </c>
      <c r="L22" s="274">
        <v>60343.990000000005</v>
      </c>
      <c r="M22" s="274">
        <v>64708.240000000005</v>
      </c>
      <c r="N22" s="274">
        <v>62779.28</v>
      </c>
      <c r="O22" s="274">
        <v>58978.740000000005</v>
      </c>
      <c r="P22" s="274">
        <v>64201.09</v>
      </c>
      <c r="Q22" s="244"/>
      <c r="R22" s="258">
        <v>130150.43669999996</v>
      </c>
      <c r="S22" s="257">
        <v>152548.05299999999</v>
      </c>
      <c r="T22" s="257">
        <v>188380.39</v>
      </c>
      <c r="U22" s="259">
        <v>185959.11</v>
      </c>
      <c r="V22" s="244"/>
      <c r="W22" s="258">
        <v>282698.48969999992</v>
      </c>
      <c r="X22" s="259">
        <v>374339.5</v>
      </c>
      <c r="Y22" s="273">
        <v>0.70367702621435879</v>
      </c>
      <c r="Z22" s="273">
        <v>-74875.608863722329</v>
      </c>
      <c r="AA22" s="273">
        <v>313814.56933324464</v>
      </c>
      <c r="AB22" s="257">
        <v>404593.45864919998</v>
      </c>
      <c r="AC22" s="258">
        <v>645853.45203212649</v>
      </c>
    </row>
    <row r="23" spans="1:30" ht="16.5" customHeight="1" x14ac:dyDescent="0.2">
      <c r="A23" s="486"/>
      <c r="B23" s="487"/>
      <c r="C23" s="485"/>
      <c r="D23" s="275" t="s">
        <v>126</v>
      </c>
      <c r="E23" s="276">
        <v>0.11946393397727492</v>
      </c>
      <c r="F23" s="276">
        <v>0.12797458306941276</v>
      </c>
      <c r="G23" s="276">
        <v>0.12884757472284697</v>
      </c>
      <c r="H23" s="276">
        <v>0.13662909393925823</v>
      </c>
      <c r="I23" s="276">
        <v>0.14561732517031223</v>
      </c>
      <c r="J23" s="276">
        <v>0.12180804702454535</v>
      </c>
      <c r="K23" s="276">
        <v>0.16370331416952608</v>
      </c>
      <c r="L23" s="276">
        <v>0.15543355579474918</v>
      </c>
      <c r="M23" s="276">
        <v>0.16518595264895014</v>
      </c>
      <c r="N23" s="276">
        <v>0.16474259634216951</v>
      </c>
      <c r="O23" s="276">
        <v>0.15667099827976527</v>
      </c>
      <c r="P23" s="276">
        <v>0.17080827339538546</v>
      </c>
      <c r="Q23" s="244"/>
      <c r="R23" s="276">
        <v>0.14815874629587358</v>
      </c>
      <c r="S23" s="276">
        <v>0.19083254078165854</v>
      </c>
      <c r="T23" s="276">
        <v>0.20193301264361879</v>
      </c>
      <c r="U23" s="276">
        <v>0.20082616712957502</v>
      </c>
      <c r="V23" s="244"/>
      <c r="W23" s="276">
        <v>0.17004943215429735</v>
      </c>
      <c r="X23" s="276">
        <v>0.20138837666365059</v>
      </c>
      <c r="Y23" s="244"/>
      <c r="Z23" s="244">
        <v>-0.35910326033641077</v>
      </c>
      <c r="AA23" s="244">
        <v>1.0774259087657658</v>
      </c>
      <c r="AB23" s="276">
        <v>0.13992130343497519</v>
      </c>
      <c r="AC23" s="258">
        <v>1.7083193888473711</v>
      </c>
    </row>
    <row r="24" spans="1:30" s="285" customFormat="1" ht="16.5" customHeight="1" x14ac:dyDescent="0.2">
      <c r="A24" s="490" t="s">
        <v>127</v>
      </c>
      <c r="B24" s="277"/>
      <c r="C24" s="484" t="s">
        <v>120</v>
      </c>
      <c r="D24" s="278" t="s">
        <v>121</v>
      </c>
      <c r="E24" s="280">
        <v>132526.391</v>
      </c>
      <c r="F24" s="280">
        <v>154076.27100000001</v>
      </c>
      <c r="G24" s="280">
        <v>146437.74100000001</v>
      </c>
      <c r="H24" s="280">
        <v>150904.03100000002</v>
      </c>
      <c r="I24" s="280">
        <v>143869.35500000001</v>
      </c>
      <c r="J24" s="280">
        <v>154651.291</v>
      </c>
      <c r="K24" s="280">
        <v>152369.52500000002</v>
      </c>
      <c r="L24" s="280">
        <v>151521.541</v>
      </c>
      <c r="M24" s="280">
        <v>145337.10500000001</v>
      </c>
      <c r="N24" s="280">
        <v>151090.68099999998</v>
      </c>
      <c r="O24" s="280">
        <v>147312.755</v>
      </c>
      <c r="P24" s="280">
        <v>148999.141</v>
      </c>
      <c r="Q24" s="281"/>
      <c r="R24" s="282">
        <v>433040.40300000005</v>
      </c>
      <c r="S24" s="246">
        <v>449424.67700000003</v>
      </c>
      <c r="T24" s="246">
        <v>449228.17099999997</v>
      </c>
      <c r="U24" s="283">
        <v>447402.57699999999</v>
      </c>
      <c r="V24" s="281"/>
      <c r="W24" s="282">
        <v>882465.08000000007</v>
      </c>
      <c r="X24" s="283">
        <v>896630.74799999991</v>
      </c>
      <c r="Y24" s="281"/>
      <c r="Z24" s="281">
        <v>0</v>
      </c>
      <c r="AA24" s="281">
        <v>1484951.8724999998</v>
      </c>
      <c r="AB24" s="262">
        <v>1608163.4063577983</v>
      </c>
      <c r="AC24" s="245">
        <v>1779095.828</v>
      </c>
      <c r="AD24" s="284"/>
    </row>
    <row r="25" spans="1:30" ht="16.5" customHeight="1" x14ac:dyDescent="0.2">
      <c r="A25" s="491"/>
      <c r="B25" s="286"/>
      <c r="C25" s="485"/>
      <c r="D25" s="247" t="s">
        <v>122</v>
      </c>
      <c r="E25" s="249">
        <v>153556.11173800004</v>
      </c>
      <c r="F25" s="249">
        <v>156091.94</v>
      </c>
      <c r="G25" s="249">
        <v>164692.12821999998</v>
      </c>
      <c r="H25" s="249">
        <v>175190.03100000002</v>
      </c>
      <c r="I25" s="249">
        <v>170016.272</v>
      </c>
      <c r="J25" s="249">
        <v>208699.63800577997</v>
      </c>
      <c r="K25" s="249">
        <v>232998.55302000002</v>
      </c>
      <c r="L25" s="249">
        <v>234661.49185999998</v>
      </c>
      <c r="M25" s="249">
        <v>226378.39323999998</v>
      </c>
      <c r="N25" s="249">
        <v>214249.82530000003</v>
      </c>
      <c r="O25" s="249">
        <v>216683.60019999999</v>
      </c>
      <c r="P25" s="249">
        <v>217081.80753999998</v>
      </c>
      <c r="Q25" s="244"/>
      <c r="R25" s="250">
        <v>474340.17995799996</v>
      </c>
      <c r="S25" s="251">
        <v>553905.94100578001</v>
      </c>
      <c r="T25" s="251">
        <v>694038.43811999995</v>
      </c>
      <c r="U25" s="252">
        <v>648015.23303999996</v>
      </c>
      <c r="V25" s="272"/>
      <c r="W25" s="250">
        <v>1028246.12096378</v>
      </c>
      <c r="X25" s="252">
        <v>1342053.6711599999</v>
      </c>
      <c r="Y25" s="244"/>
      <c r="Z25" s="244">
        <v>1356485</v>
      </c>
      <c r="AA25" s="244">
        <v>1549762.5328941999</v>
      </c>
      <c r="AB25" s="251">
        <v>1926616.6576538</v>
      </c>
      <c r="AC25" s="250">
        <v>2421897.1331179999</v>
      </c>
    </row>
    <row r="26" spans="1:30" ht="16.5" customHeight="1" x14ac:dyDescent="0.2">
      <c r="A26" s="491"/>
      <c r="B26" s="286"/>
      <c r="C26" s="484" t="s">
        <v>124</v>
      </c>
      <c r="D26" s="278" t="s">
        <v>121</v>
      </c>
      <c r="E26" s="267">
        <v>1362.0340000000001</v>
      </c>
      <c r="F26" s="267">
        <v>1822.7840000000001</v>
      </c>
      <c r="G26" s="267">
        <v>2174.2840000000001</v>
      </c>
      <c r="H26" s="267">
        <v>1822.7840000000001</v>
      </c>
      <c r="I26" s="267">
        <v>900.6</v>
      </c>
      <c r="J26" s="267">
        <v>1822.7840000000001</v>
      </c>
      <c r="K26" s="267">
        <v>1777.45</v>
      </c>
      <c r="L26" s="267">
        <v>2319.634</v>
      </c>
      <c r="M26" s="267">
        <v>1397.45</v>
      </c>
      <c r="N26" s="267">
        <v>3127.134</v>
      </c>
      <c r="O26" s="267">
        <v>1801.2</v>
      </c>
      <c r="P26" s="267">
        <v>3127.134</v>
      </c>
      <c r="Q26" s="244"/>
      <c r="R26" s="268">
        <v>5359.1020000000008</v>
      </c>
      <c r="S26" s="269">
        <v>4546.1679999999997</v>
      </c>
      <c r="T26" s="269">
        <v>5494.5339999999997</v>
      </c>
      <c r="U26" s="270">
        <v>8055.4679999999998</v>
      </c>
      <c r="V26" s="272"/>
      <c r="W26" s="268"/>
      <c r="X26" s="270"/>
      <c r="Y26" s="244"/>
      <c r="Z26" s="244">
        <v>0</v>
      </c>
      <c r="AA26" s="244">
        <v>0</v>
      </c>
      <c r="AB26" s="246">
        <v>8827.5730000000003</v>
      </c>
      <c r="AC26" s="268">
        <v>23455.272000000004</v>
      </c>
    </row>
    <row r="27" spans="1:30" ht="16.5" customHeight="1" x14ac:dyDescent="0.2">
      <c r="A27" s="491"/>
      <c r="B27" s="286"/>
      <c r="C27" s="488"/>
      <c r="D27" s="247" t="s">
        <v>122</v>
      </c>
      <c r="E27" s="249">
        <v>487.85738600000002</v>
      </c>
      <c r="F27" s="249">
        <v>1040.325</v>
      </c>
      <c r="G27" s="249">
        <v>151.93778</v>
      </c>
      <c r="H27" s="249">
        <v>927.06100000000004</v>
      </c>
      <c r="I27" s="249">
        <v>2910.2530000000002</v>
      </c>
      <c r="J27" s="249">
        <v>1822.7840000000001</v>
      </c>
      <c r="K27" s="249">
        <v>2042.88</v>
      </c>
      <c r="L27" s="249">
        <v>1642.88</v>
      </c>
      <c r="M27" s="249">
        <v>1424.7</v>
      </c>
      <c r="N27" s="249">
        <v>2008.38</v>
      </c>
      <c r="O27" s="249">
        <v>1424.7</v>
      </c>
      <c r="P27" s="249">
        <v>2008.38</v>
      </c>
      <c r="Q27" s="244"/>
      <c r="R27" s="250">
        <v>1680.1201659999999</v>
      </c>
      <c r="S27" s="251">
        <v>5660.098</v>
      </c>
      <c r="T27" s="251">
        <v>5110.46</v>
      </c>
      <c r="U27" s="252">
        <v>5441.46</v>
      </c>
      <c r="V27" s="244"/>
      <c r="W27" s="250">
        <v>7340.2181659999997</v>
      </c>
      <c r="X27" s="252">
        <v>10551.92</v>
      </c>
      <c r="Y27" s="244"/>
      <c r="Z27" s="244">
        <v>44009</v>
      </c>
      <c r="AA27" s="244">
        <v>32383</v>
      </c>
      <c r="AB27" s="251">
        <v>13073.0603051</v>
      </c>
      <c r="AC27" s="250">
        <v>17892.138166000004</v>
      </c>
    </row>
    <row r="28" spans="1:30" s="285" customFormat="1" ht="16.5" customHeight="1" x14ac:dyDescent="0.2">
      <c r="A28" s="491"/>
      <c r="B28" s="277"/>
      <c r="C28" s="484" t="s">
        <v>123</v>
      </c>
      <c r="D28" s="278" t="s">
        <v>121</v>
      </c>
      <c r="E28" s="280">
        <v>21898.884527837919</v>
      </c>
      <c r="F28" s="280">
        <v>33116.848888025386</v>
      </c>
      <c r="G28" s="280">
        <v>29077.548788375061</v>
      </c>
      <c r="H28" s="280">
        <v>31857.184733377006</v>
      </c>
      <c r="I28" s="280">
        <v>27910.409444947742</v>
      </c>
      <c r="J28" s="280">
        <v>33387.53857329028</v>
      </c>
      <c r="K28" s="280">
        <v>31002.625682096877</v>
      </c>
      <c r="L28" s="280">
        <v>32194.397699689285</v>
      </c>
      <c r="M28" s="280">
        <v>27528.227989408857</v>
      </c>
      <c r="N28" s="280">
        <v>31981.959433780823</v>
      </c>
      <c r="O28" s="280">
        <v>30009.396899712701</v>
      </c>
      <c r="P28" s="280">
        <v>30547.50425971084</v>
      </c>
      <c r="Q28" s="281"/>
      <c r="R28" s="282">
        <v>84093.282204238363</v>
      </c>
      <c r="S28" s="246">
        <v>93155.13275161502</v>
      </c>
      <c r="T28" s="246">
        <v>90725.251371195016</v>
      </c>
      <c r="U28" s="283">
        <v>92538.860593204357</v>
      </c>
      <c r="V28" s="281"/>
      <c r="W28" s="282">
        <v>177248.41495585337</v>
      </c>
      <c r="X28" s="283">
        <v>183264.11196439937</v>
      </c>
      <c r="Y28" s="281"/>
      <c r="Z28" s="281">
        <v>0</v>
      </c>
      <c r="AA28" s="281">
        <v>433172.8725</v>
      </c>
      <c r="AB28" s="246">
        <v>461044.86993641517</v>
      </c>
      <c r="AC28" s="245">
        <v>360512.52692025271</v>
      </c>
      <c r="AD28" s="284"/>
    </row>
    <row r="29" spans="1:30" ht="16.5" customHeight="1" x14ac:dyDescent="0.2">
      <c r="A29" s="491"/>
      <c r="B29" s="287"/>
      <c r="C29" s="489"/>
      <c r="D29" s="255" t="s">
        <v>122</v>
      </c>
      <c r="E29" s="264">
        <v>34066.443279151375</v>
      </c>
      <c r="F29" s="264">
        <v>34268.517240000045</v>
      </c>
      <c r="G29" s="264">
        <v>41348.112000000016</v>
      </c>
      <c r="H29" s="264">
        <v>47341.829999999973</v>
      </c>
      <c r="I29" s="264">
        <v>45915.580999999991</v>
      </c>
      <c r="J29" s="264">
        <v>55376.420555994264</v>
      </c>
      <c r="K29" s="264">
        <v>64971.587890076124</v>
      </c>
      <c r="L29" s="264">
        <v>66280.216660789374</v>
      </c>
      <c r="M29" s="264">
        <v>60231.17079181486</v>
      </c>
      <c r="N29" s="264">
        <v>55581.820170322011</v>
      </c>
      <c r="O29" s="264">
        <v>57410.192774363473</v>
      </c>
      <c r="P29" s="264">
        <v>57617.921417016463</v>
      </c>
      <c r="Q29" s="244"/>
      <c r="R29" s="258">
        <v>109683.07251915144</v>
      </c>
      <c r="S29" s="257">
        <v>148633.83155599423</v>
      </c>
      <c r="T29" s="257">
        <v>191482.97534268035</v>
      </c>
      <c r="U29" s="259">
        <v>170609.93436170195</v>
      </c>
      <c r="V29" s="244"/>
      <c r="W29" s="258">
        <v>258316.90407514566</v>
      </c>
      <c r="X29" s="259">
        <v>362092.9097043823</v>
      </c>
      <c r="Y29" s="244"/>
      <c r="Z29" s="244">
        <v>421618.58362538082</v>
      </c>
      <c r="AA29" s="244">
        <v>476924.21173421683</v>
      </c>
      <c r="AB29" s="257">
        <v>517417.63496818743</v>
      </c>
      <c r="AC29" s="258">
        <v>659615.97156679898</v>
      </c>
      <c r="AD29" s="225">
        <v>1.1222717542428069</v>
      </c>
    </row>
    <row r="30" spans="1:30" ht="16.5" customHeight="1" x14ac:dyDescent="0.2">
      <c r="A30" s="491"/>
      <c r="B30" s="287"/>
      <c r="C30" s="485"/>
      <c r="D30" s="275" t="s">
        <v>126</v>
      </c>
      <c r="E30" s="276">
        <v>0.22114752997391982</v>
      </c>
      <c r="F30" s="276">
        <v>0.21808708249702913</v>
      </c>
      <c r="G30" s="276">
        <v>0.2508316677896068</v>
      </c>
      <c r="H30" s="276">
        <v>0.2688088331597025</v>
      </c>
      <c r="I30" s="276">
        <v>0.26552075223855909</v>
      </c>
      <c r="J30" s="276">
        <v>0.2630428627430188</v>
      </c>
      <c r="K30" s="276">
        <v>0.27642610519885485</v>
      </c>
      <c r="L30" s="276">
        <v>0.2804866289145827</v>
      </c>
      <c r="M30" s="276">
        <v>0.26440014459487093</v>
      </c>
      <c r="N30" s="276">
        <v>0.25701600590468787</v>
      </c>
      <c r="O30" s="276">
        <v>0.26321874372373599</v>
      </c>
      <c r="P30" s="276">
        <v>0.26298722943261427</v>
      </c>
      <c r="Q30" s="244"/>
      <c r="R30" s="276">
        <v>0.19181883475036851</v>
      </c>
      <c r="S30" s="276">
        <v>0.20520069466490742</v>
      </c>
      <c r="T30" s="276">
        <v>0.19951775087015949</v>
      </c>
      <c r="U30" s="276">
        <v>0.20317757389312194</v>
      </c>
      <c r="V30" s="244"/>
      <c r="W30" s="276">
        <v>0.20085601002574896</v>
      </c>
      <c r="X30" s="276">
        <v>0.20439195552147113</v>
      </c>
      <c r="Y30" s="244"/>
      <c r="Z30" s="244">
        <v>3.6439500420901054</v>
      </c>
      <c r="AA30" s="244">
        <v>3.7005900965115162</v>
      </c>
      <c r="AB30" s="276">
        <v>0.28512519601038405</v>
      </c>
      <c r="AC30" s="258">
        <v>3.2037973764400709</v>
      </c>
    </row>
    <row r="31" spans="1:30" ht="16.5" customHeight="1" x14ac:dyDescent="0.2">
      <c r="A31" s="492" t="s">
        <v>128</v>
      </c>
      <c r="B31" s="288"/>
      <c r="C31" s="484" t="s">
        <v>120</v>
      </c>
      <c r="D31" s="278" t="s">
        <v>121</v>
      </c>
      <c r="E31" s="289">
        <v>483343.01642000006</v>
      </c>
      <c r="F31" s="289">
        <v>506279.09642000002</v>
      </c>
      <c r="G31" s="289">
        <v>497007.36642000009</v>
      </c>
      <c r="H31" s="289">
        <v>520531.61842000001</v>
      </c>
      <c r="I31" s="289">
        <v>514603.67041999998</v>
      </c>
      <c r="J31" s="289">
        <v>524026.52642000001</v>
      </c>
      <c r="K31" s="289">
        <v>525588.46542000002</v>
      </c>
      <c r="L31" s="289">
        <v>529321.77642000001</v>
      </c>
      <c r="M31" s="289">
        <v>521301.92041999998</v>
      </c>
      <c r="N31" s="289">
        <v>513293.43979999999</v>
      </c>
      <c r="O31" s="289">
        <v>512257.95562000002</v>
      </c>
      <c r="P31" s="289">
        <v>513607.89022</v>
      </c>
      <c r="Q31" s="281"/>
      <c r="R31" s="289">
        <v>1486629.4792600002</v>
      </c>
      <c r="S31" s="289">
        <v>1559161.8152600001</v>
      </c>
      <c r="T31" s="289">
        <v>1576212.1622600001</v>
      </c>
      <c r="U31" s="289">
        <v>1539159.2856399999</v>
      </c>
      <c r="V31" s="281"/>
      <c r="W31" s="282">
        <v>3045791.29452</v>
      </c>
      <c r="X31" s="283">
        <v>3115371.4479</v>
      </c>
      <c r="Y31" s="281"/>
      <c r="Z31" s="281">
        <v>0</v>
      </c>
      <c r="AA31" s="281">
        <v>4902827.7134199999</v>
      </c>
      <c r="AB31" s="246">
        <v>5320199.3556577982</v>
      </c>
      <c r="AC31" s="245">
        <v>6161162.742420001</v>
      </c>
      <c r="AD31" s="221"/>
    </row>
    <row r="32" spans="1:30" ht="16.5" customHeight="1" x14ac:dyDescent="0.2">
      <c r="A32" s="493"/>
      <c r="B32" s="286"/>
      <c r="C32" s="485"/>
      <c r="D32" s="247" t="s">
        <v>122</v>
      </c>
      <c r="E32" s="248">
        <v>499841.72382800002</v>
      </c>
      <c r="F32" s="248">
        <v>504945.39300000004</v>
      </c>
      <c r="G32" s="248">
        <v>507247.43121999991</v>
      </c>
      <c r="H32" s="248">
        <v>555489.45699999994</v>
      </c>
      <c r="I32" s="248">
        <v>548441.68900000001</v>
      </c>
      <c r="J32" s="248">
        <v>582096.88975577999</v>
      </c>
      <c r="K32" s="248">
        <v>619845.69976999995</v>
      </c>
      <c r="L32" s="248">
        <v>622891.62460999994</v>
      </c>
      <c r="M32" s="248">
        <v>618108.07099000004</v>
      </c>
      <c r="N32" s="248">
        <v>595324.79554999992</v>
      </c>
      <c r="O32" s="248">
        <v>593133.23444999987</v>
      </c>
      <c r="P32" s="248">
        <v>592948.20278999989</v>
      </c>
      <c r="Q32" s="244"/>
      <c r="R32" s="248">
        <v>1512034.5480479999</v>
      </c>
      <c r="S32" s="248">
        <v>1686028.0357557801</v>
      </c>
      <c r="T32" s="248">
        <v>1860845.39537</v>
      </c>
      <c r="U32" s="248">
        <v>1781406.2327899998</v>
      </c>
      <c r="V32" s="244"/>
      <c r="W32" s="250">
        <v>3198062.5838037799</v>
      </c>
      <c r="X32" s="252">
        <v>3642251.6281599998</v>
      </c>
      <c r="Y32" s="244"/>
      <c r="Z32" s="244">
        <v>4631571.8547838992</v>
      </c>
      <c r="AA32" s="244">
        <v>5035461.3237381</v>
      </c>
      <c r="AB32" s="251">
        <v>5475875.9998910995</v>
      </c>
      <c r="AC32" s="250">
        <v>6941289.0825677188</v>
      </c>
    </row>
    <row r="33" spans="1:30" ht="16.5" customHeight="1" x14ac:dyDescent="0.2">
      <c r="A33" s="493"/>
      <c r="B33" s="277"/>
      <c r="C33" s="484" t="s">
        <v>123</v>
      </c>
      <c r="D33" s="278" t="s">
        <v>121</v>
      </c>
      <c r="E33" s="279">
        <v>74732.748865326852</v>
      </c>
      <c r="F33" s="279">
        <v>89548.245999285573</v>
      </c>
      <c r="G33" s="279">
        <v>75910.723989335092</v>
      </c>
      <c r="H33" s="279">
        <v>103820.91572291777</v>
      </c>
      <c r="I33" s="279">
        <v>100143.84102215544</v>
      </c>
      <c r="J33" s="279">
        <v>100964.33370046431</v>
      </c>
      <c r="K33" s="279">
        <v>106665.22689124098</v>
      </c>
      <c r="L33" s="279">
        <v>109866.55344966266</v>
      </c>
      <c r="M33" s="279">
        <v>101768.74358655293</v>
      </c>
      <c r="N33" s="279">
        <v>104101.51114086602</v>
      </c>
      <c r="O33" s="279">
        <v>103828.15984574374</v>
      </c>
      <c r="P33" s="279">
        <v>103862.50484076595</v>
      </c>
      <c r="Q33" s="281"/>
      <c r="R33" s="279">
        <v>240191.7188539475</v>
      </c>
      <c r="S33" s="279">
        <v>304929.09044553747</v>
      </c>
      <c r="T33" s="279">
        <v>318300.52392745658</v>
      </c>
      <c r="U33" s="279">
        <v>311792.17582737573</v>
      </c>
      <c r="V33" s="281"/>
      <c r="W33" s="282">
        <v>545120.80929948494</v>
      </c>
      <c r="X33" s="283">
        <v>630092.69975483231</v>
      </c>
      <c r="Y33" s="281"/>
      <c r="Z33" s="281">
        <v>0</v>
      </c>
      <c r="AA33" s="281">
        <v>678120.02849315188</v>
      </c>
      <c r="AB33" s="246">
        <v>980437.77835995669</v>
      </c>
      <c r="AC33" s="245">
        <v>1175213.5090543169</v>
      </c>
    </row>
    <row r="34" spans="1:30" ht="16.5" customHeight="1" x14ac:dyDescent="0.2">
      <c r="A34" s="494"/>
      <c r="B34" s="287"/>
      <c r="C34" s="485"/>
      <c r="D34" s="255" t="s">
        <v>122</v>
      </c>
      <c r="E34" s="256">
        <v>75435.084779151366</v>
      </c>
      <c r="F34" s="256">
        <v>78912.892440000025</v>
      </c>
      <c r="G34" s="256">
        <v>85485.531999999992</v>
      </c>
      <c r="H34" s="256">
        <v>99301.795999999958</v>
      </c>
      <c r="I34" s="256">
        <v>101020.878</v>
      </c>
      <c r="J34" s="256">
        <v>100859.21055599427</v>
      </c>
      <c r="K34" s="256">
        <v>128299.74789007613</v>
      </c>
      <c r="L34" s="256">
        <v>126624.20666078938</v>
      </c>
      <c r="M34" s="256">
        <v>124939.41079181487</v>
      </c>
      <c r="N34" s="256">
        <v>118361.10017032201</v>
      </c>
      <c r="O34" s="256">
        <v>116388.93277436348</v>
      </c>
      <c r="P34" s="256">
        <v>121819.01141701646</v>
      </c>
      <c r="Q34" s="244"/>
      <c r="R34" s="256">
        <v>239833.5092191514</v>
      </c>
      <c r="S34" s="256">
        <v>301181.88455599418</v>
      </c>
      <c r="T34" s="256">
        <v>379863.36534268036</v>
      </c>
      <c r="U34" s="256">
        <v>356569.04436170193</v>
      </c>
      <c r="V34" s="244"/>
      <c r="W34" s="258">
        <v>541015.39377514552</v>
      </c>
      <c r="X34" s="259">
        <v>736432.4097043823</v>
      </c>
      <c r="Y34" s="244"/>
      <c r="Z34" s="244">
        <v>346742.97476165858</v>
      </c>
      <c r="AA34" s="244">
        <v>790738.78106746124</v>
      </c>
      <c r="AB34" s="257">
        <v>922011.09361738735</v>
      </c>
      <c r="AC34" s="258">
        <v>1305469.4235989256</v>
      </c>
    </row>
    <row r="35" spans="1:30" x14ac:dyDescent="0.2">
      <c r="K35" s="290"/>
      <c r="L35" s="290"/>
    </row>
    <row r="36" spans="1:30" x14ac:dyDescent="0.2">
      <c r="D36" s="222" t="s">
        <v>0</v>
      </c>
      <c r="E36" s="291">
        <f>+E33/E31</f>
        <v>0.15461638283067269</v>
      </c>
      <c r="F36" s="291">
        <f t="shared" ref="F36:X36" si="0">+F33/F31</f>
        <v>0.17687525839502163</v>
      </c>
      <c r="G36" s="291">
        <f t="shared" si="0"/>
        <v>0.15273561141785194</v>
      </c>
      <c r="H36" s="291">
        <f t="shared" si="0"/>
        <v>0.19945169908804281</v>
      </c>
      <c r="I36" s="291">
        <f t="shared" si="0"/>
        <v>0.19460382188961425</v>
      </c>
      <c r="J36" s="291">
        <f t="shared" si="0"/>
        <v>0.19267027261048</v>
      </c>
      <c r="K36" s="291">
        <f t="shared" si="0"/>
        <v>0.20294438312302826</v>
      </c>
      <c r="L36" s="291">
        <f t="shared" si="0"/>
        <v>0.20756099284773624</v>
      </c>
      <c r="M36" s="291">
        <f t="shared" si="0"/>
        <v>0.19522035043446681</v>
      </c>
      <c r="N36" s="291">
        <f t="shared" si="0"/>
        <v>0.20281091295736839</v>
      </c>
      <c r="O36" s="291">
        <f t="shared" si="0"/>
        <v>0.20268725689204306</v>
      </c>
      <c r="P36" s="291">
        <f t="shared" si="0"/>
        <v>0.20222139655268387</v>
      </c>
      <c r="Q36" s="291" t="e">
        <f t="shared" si="0"/>
        <v>#DIV/0!</v>
      </c>
      <c r="R36" s="291">
        <f t="shared" si="0"/>
        <v>0.16156797790227312</v>
      </c>
      <c r="S36" s="291">
        <f t="shared" si="0"/>
        <v>0.19557244633693688</v>
      </c>
      <c r="T36" s="291">
        <f t="shared" si="0"/>
        <v>0.20194015218806066</v>
      </c>
      <c r="U36" s="291">
        <f t="shared" si="0"/>
        <v>0.20257304018909844</v>
      </c>
      <c r="V36" s="291" t="e">
        <f t="shared" si="0"/>
        <v>#DIV/0!</v>
      </c>
      <c r="W36" s="291">
        <f t="shared" si="0"/>
        <v>0.17897510255553903</v>
      </c>
      <c r="X36" s="291">
        <f t="shared" si="0"/>
        <v>0.20225283254090398</v>
      </c>
      <c r="Y36" s="291"/>
      <c r="Z36" s="291"/>
      <c r="AA36" s="291"/>
      <c r="AB36" s="291">
        <v>0.18428590975962286</v>
      </c>
      <c r="AC36" s="291">
        <v>0.19074540929797171</v>
      </c>
    </row>
    <row r="37" spans="1:30" x14ac:dyDescent="0.2">
      <c r="D37" s="222" t="s">
        <v>129</v>
      </c>
      <c r="E37" s="291">
        <f>+E34/E32</f>
        <v>0.15091794298690689</v>
      </c>
      <c r="F37" s="291">
        <f t="shared" ref="F37:X37" si="1">+F34/F32</f>
        <v>0.1562800523263711</v>
      </c>
      <c r="G37" s="291">
        <f t="shared" si="1"/>
        <v>0.1685282699103976</v>
      </c>
      <c r="H37" s="291">
        <f t="shared" si="1"/>
        <v>0.17876450173562874</v>
      </c>
      <c r="I37" s="291">
        <f t="shared" si="1"/>
        <v>0.18419620540553036</v>
      </c>
      <c r="J37" s="291">
        <f t="shared" si="1"/>
        <v>0.17326876733237653</v>
      </c>
      <c r="K37" s="291">
        <f t="shared" si="1"/>
        <v>0.20698659027187422</v>
      </c>
      <c r="L37" s="291">
        <f t="shared" si="1"/>
        <v>0.2032844906849893</v>
      </c>
      <c r="M37" s="291">
        <f t="shared" si="1"/>
        <v>0.2021319841232686</v>
      </c>
      <c r="N37" s="291">
        <f t="shared" si="1"/>
        <v>0.19881768919262349</v>
      </c>
      <c r="O37" s="291">
        <f t="shared" si="1"/>
        <v>0.19622729938963632</v>
      </c>
      <c r="P37" s="291">
        <f t="shared" si="1"/>
        <v>0.20544629504537043</v>
      </c>
      <c r="Q37" s="291" t="e">
        <f t="shared" si="1"/>
        <v>#DIV/0!</v>
      </c>
      <c r="R37" s="291">
        <f t="shared" si="1"/>
        <v>0.15861642151548103</v>
      </c>
      <c r="S37" s="291">
        <f t="shared" si="1"/>
        <v>0.17863397177792847</v>
      </c>
      <c r="T37" s="291">
        <f t="shared" si="1"/>
        <v>0.20413483370935848</v>
      </c>
      <c r="U37" s="291">
        <f t="shared" si="1"/>
        <v>0.20016155652675091</v>
      </c>
      <c r="V37" s="291" t="e">
        <f t="shared" si="1"/>
        <v>#DIV/0!</v>
      </c>
      <c r="W37" s="291">
        <f t="shared" si="1"/>
        <v>0.16916973311124547</v>
      </c>
      <c r="X37" s="291">
        <f t="shared" si="1"/>
        <v>0.20219152460820361</v>
      </c>
      <c r="AB37" s="291">
        <v>0.16837691241286759</v>
      </c>
      <c r="AC37" s="291">
        <v>-2.844120306873146E-2</v>
      </c>
    </row>
    <row r="38" spans="1:30" x14ac:dyDescent="0.2">
      <c r="E38" s="292"/>
      <c r="F38" s="292"/>
      <c r="G38" s="292"/>
      <c r="H38" s="292"/>
      <c r="I38" s="292"/>
      <c r="J38" s="292"/>
      <c r="K38" s="293"/>
      <c r="L38" s="293"/>
      <c r="M38" s="293"/>
      <c r="N38" s="293"/>
      <c r="O38" s="293"/>
      <c r="P38" s="293"/>
    </row>
    <row r="39" spans="1:30" x14ac:dyDescent="0.2">
      <c r="X39" s="294">
        <v>0.20684532764644478</v>
      </c>
    </row>
    <row r="40" spans="1:30" x14ac:dyDescent="0.2">
      <c r="E40" s="295">
        <v>43191</v>
      </c>
      <c r="F40" s="295">
        <v>43221</v>
      </c>
      <c r="G40" s="295">
        <v>43252</v>
      </c>
      <c r="H40" s="295">
        <v>43282</v>
      </c>
      <c r="I40" s="295">
        <v>43313</v>
      </c>
      <c r="J40" s="295">
        <v>43344</v>
      </c>
      <c r="K40" s="295">
        <v>43374</v>
      </c>
      <c r="L40" s="295">
        <v>43405</v>
      </c>
      <c r="M40" s="295">
        <v>43435</v>
      </c>
      <c r="N40" s="295">
        <v>43466</v>
      </c>
      <c r="O40" s="295">
        <v>43497</v>
      </c>
      <c r="P40" s="295">
        <v>43525</v>
      </c>
    </row>
    <row r="41" spans="1:30" ht="16.5" customHeight="1" x14ac:dyDescent="0.2">
      <c r="A41" s="486" t="s">
        <v>130</v>
      </c>
      <c r="B41" s="487"/>
      <c r="C41" s="484" t="s">
        <v>131</v>
      </c>
      <c r="D41" s="242" t="s">
        <v>121</v>
      </c>
      <c r="E41" s="261">
        <v>33836</v>
      </c>
      <c r="F41" s="261">
        <v>34523</v>
      </c>
      <c r="G41" s="261">
        <v>34509</v>
      </c>
      <c r="H41" s="261">
        <v>33803</v>
      </c>
      <c r="I41" s="261">
        <v>33824</v>
      </c>
      <c r="J41" s="261">
        <v>34011</v>
      </c>
      <c r="K41" s="261">
        <v>33449</v>
      </c>
      <c r="L41" s="261">
        <v>38592</v>
      </c>
      <c r="M41" s="261">
        <v>35024</v>
      </c>
      <c r="N41" s="261">
        <v>36422</v>
      </c>
      <c r="O41" s="261">
        <v>34571</v>
      </c>
      <c r="P41" s="261">
        <v>35419</v>
      </c>
      <c r="Q41" s="244"/>
      <c r="R41" s="245">
        <v>102868</v>
      </c>
      <c r="S41" s="253">
        <v>101638</v>
      </c>
      <c r="T41" s="253">
        <v>107065</v>
      </c>
      <c r="U41" s="254">
        <v>106412</v>
      </c>
      <c r="V41" s="244"/>
      <c r="W41" s="245">
        <v>204506</v>
      </c>
      <c r="X41" s="254">
        <v>213477</v>
      </c>
      <c r="Y41" s="244"/>
      <c r="Z41" s="244">
        <v>0</v>
      </c>
      <c r="AA41" s="244">
        <v>444116</v>
      </c>
      <c r="AB41" s="262">
        <v>391744.75200000004</v>
      </c>
      <c r="AC41" s="245">
        <v>417983</v>
      </c>
    </row>
    <row r="42" spans="1:30" ht="16.5" customHeight="1" x14ac:dyDescent="0.2">
      <c r="A42" s="486"/>
      <c r="B42" s="487"/>
      <c r="C42" s="485"/>
      <c r="D42" s="247" t="s">
        <v>122</v>
      </c>
      <c r="E42" s="296">
        <v>40531.811432999995</v>
      </c>
      <c r="F42" s="296">
        <v>42072.564918800002</v>
      </c>
      <c r="G42" s="296">
        <v>40174.258024999996</v>
      </c>
      <c r="H42" s="296">
        <v>43802.344813499993</v>
      </c>
      <c r="I42" s="296">
        <v>41958.693010989002</v>
      </c>
      <c r="J42" s="296">
        <v>41958.692999999999</v>
      </c>
      <c r="K42" s="296">
        <v>37926.601020728289</v>
      </c>
      <c r="L42" s="296">
        <v>38592</v>
      </c>
      <c r="M42" s="296">
        <v>35024</v>
      </c>
      <c r="N42" s="296">
        <v>36422</v>
      </c>
      <c r="O42" s="296">
        <v>34571</v>
      </c>
      <c r="P42" s="296">
        <v>35419</v>
      </c>
      <c r="Q42" s="244"/>
      <c r="R42" s="250">
        <v>122778.63437679998</v>
      </c>
      <c r="S42" s="251">
        <v>127719.730824489</v>
      </c>
      <c r="T42" s="251">
        <v>111542.6010207283</v>
      </c>
      <c r="U42" s="252">
        <v>106412</v>
      </c>
      <c r="V42" s="244"/>
      <c r="W42" s="250">
        <v>250498.36520128898</v>
      </c>
      <c r="X42" s="252">
        <v>217954.6010207283</v>
      </c>
      <c r="Y42" s="244"/>
      <c r="Z42" s="244">
        <v>0</v>
      </c>
      <c r="AA42" s="244">
        <v>387831.73816469993</v>
      </c>
      <c r="AB42" s="251">
        <v>417809.64804297895</v>
      </c>
      <c r="AC42" s="250">
        <v>468452.96622201725</v>
      </c>
    </row>
    <row r="43" spans="1:30" ht="16.5" customHeight="1" x14ac:dyDescent="0.2">
      <c r="A43" s="486"/>
      <c r="B43" s="487"/>
      <c r="C43" s="484" t="s">
        <v>139</v>
      </c>
      <c r="D43" s="242" t="s">
        <v>121</v>
      </c>
      <c r="E43" s="261">
        <v>4955.2000000000025</v>
      </c>
      <c r="F43" s="261">
        <v>5356.2000000000044</v>
      </c>
      <c r="G43" s="261">
        <v>5420.2</v>
      </c>
      <c r="H43" s="261">
        <v>5000.1999999999971</v>
      </c>
      <c r="I43" s="261">
        <v>5125.2000000000016</v>
      </c>
      <c r="J43" s="261">
        <v>5234.1999999999971</v>
      </c>
      <c r="K43" s="261">
        <v>4620.2</v>
      </c>
      <c r="L43" s="261">
        <v>7371.2000000000044</v>
      </c>
      <c r="M43" s="261">
        <v>6013.199999999998</v>
      </c>
      <c r="N43" s="261">
        <v>6371.199999999998</v>
      </c>
      <c r="O43" s="261">
        <v>5690.2000000000016</v>
      </c>
      <c r="P43" s="261">
        <v>6278.2</v>
      </c>
      <c r="Q43" s="244"/>
      <c r="R43" s="245">
        <v>15731.600000000006</v>
      </c>
      <c r="S43" s="253">
        <v>15359.599999999995</v>
      </c>
      <c r="T43" s="253">
        <v>18004.600000000002</v>
      </c>
      <c r="U43" s="254">
        <v>18339.599999999999</v>
      </c>
      <c r="V43" s="244"/>
      <c r="W43" s="245">
        <v>31091.200000000001</v>
      </c>
      <c r="X43" s="254">
        <v>36344.199999999997</v>
      </c>
      <c r="Y43" s="244"/>
      <c r="Z43" s="244">
        <v>0</v>
      </c>
      <c r="AA43" s="244">
        <v>124286.02799999999</v>
      </c>
      <c r="AB43" s="246">
        <v>83900.461572500004</v>
      </c>
      <c r="AC43" s="245">
        <v>67435.400000000009</v>
      </c>
    </row>
    <row r="44" spans="1:30" ht="16.5" customHeight="1" x14ac:dyDescent="0.2">
      <c r="A44" s="486"/>
      <c r="B44" s="487"/>
      <c r="C44" s="489"/>
      <c r="D44" s="255" t="s">
        <v>122</v>
      </c>
      <c r="E44" s="264">
        <v>9484.660692422558</v>
      </c>
      <c r="F44" s="264">
        <v>9706.1358765655223</v>
      </c>
      <c r="G44" s="264">
        <v>9413.1576961891697</v>
      </c>
      <c r="H44" s="264">
        <v>10626.393383925117</v>
      </c>
      <c r="I44" s="264">
        <v>8338.3771378488254</v>
      </c>
      <c r="J44" s="264">
        <v>8415.2999999999993</v>
      </c>
      <c r="K44" s="264">
        <v>7255.7941956840159</v>
      </c>
      <c r="L44" s="264">
        <v>7371.2000000000044</v>
      </c>
      <c r="M44" s="264">
        <v>6013.199999999998</v>
      </c>
      <c r="N44" s="264">
        <v>6371.199999999998</v>
      </c>
      <c r="O44" s="264">
        <v>5690.2000000000016</v>
      </c>
      <c r="P44" s="264">
        <v>6278.2</v>
      </c>
      <c r="Q44" s="244"/>
      <c r="R44" s="258">
        <v>28603.95426517725</v>
      </c>
      <c r="S44" s="257">
        <v>27380.070521773941</v>
      </c>
      <c r="T44" s="257">
        <v>20640.194195684016</v>
      </c>
      <c r="U44" s="259">
        <v>18339.599999999999</v>
      </c>
      <c r="V44" s="244"/>
      <c r="W44" s="258">
        <v>55984.024786951195</v>
      </c>
      <c r="X44" s="259">
        <v>38979.794195684015</v>
      </c>
      <c r="Y44" s="244"/>
      <c r="Z44" s="244">
        <v>0</v>
      </c>
      <c r="AA44" s="244">
        <v>68238.313453670038</v>
      </c>
      <c r="AB44" s="257">
        <v>79338.150350520213</v>
      </c>
      <c r="AC44" s="258">
        <v>94963.818982635203</v>
      </c>
    </row>
    <row r="45" spans="1:30" ht="16.5" customHeight="1" x14ac:dyDescent="0.2">
      <c r="A45" s="486"/>
      <c r="B45" s="487"/>
      <c r="C45" s="485"/>
      <c r="D45" s="275" t="s">
        <v>126</v>
      </c>
      <c r="E45" s="276">
        <v>0.23400534930694913</v>
      </c>
      <c r="F45" s="276">
        <v>0.23069988471818517</v>
      </c>
      <c r="G45" s="276">
        <v>0.23430819034246919</v>
      </c>
      <c r="H45" s="276">
        <v>0.24259873367897958</v>
      </c>
      <c r="I45" s="276">
        <v>0.19872823816664167</v>
      </c>
      <c r="J45" s="276">
        <v>0.2005615379868958</v>
      </c>
      <c r="K45" s="276">
        <v>0.1913114806074622</v>
      </c>
      <c r="L45" s="276">
        <v>0.19100331674958551</v>
      </c>
      <c r="M45" s="276">
        <v>0.17168798538145266</v>
      </c>
      <c r="N45" s="276">
        <v>0.17492724177694793</v>
      </c>
      <c r="O45" s="276">
        <v>0.16459460241242665</v>
      </c>
      <c r="P45" s="276">
        <v>0.17725514554335242</v>
      </c>
      <c r="Q45" s="244"/>
      <c r="R45" s="276">
        <v>0.15292996850332471</v>
      </c>
      <c r="S45" s="276">
        <v>0.15112064385367671</v>
      </c>
      <c r="T45" s="276">
        <v>0.16816513333021998</v>
      </c>
      <c r="U45" s="276">
        <v>0.17234522422283199</v>
      </c>
      <c r="V45" s="244"/>
      <c r="W45" s="276">
        <v>0.15203074726413895</v>
      </c>
      <c r="X45" s="276">
        <v>0.17024878558345863</v>
      </c>
      <c r="Y45" s="244"/>
      <c r="Z45" s="244">
        <v>0</v>
      </c>
      <c r="AA45" s="244">
        <v>2.1162942293708515</v>
      </c>
      <c r="AB45" s="276">
        <v>0.2141712458026751</v>
      </c>
      <c r="AC45" s="258">
        <v>2.4116817066713478</v>
      </c>
    </row>
    <row r="46" spans="1:30" s="285" customFormat="1" ht="16.5" customHeight="1" x14ac:dyDescent="0.2">
      <c r="A46" s="490" t="s">
        <v>140</v>
      </c>
      <c r="B46" s="277"/>
      <c r="C46" s="484" t="s">
        <v>131</v>
      </c>
      <c r="D46" s="278" t="s">
        <v>121</v>
      </c>
      <c r="E46" s="297">
        <v>30543.684990128</v>
      </c>
      <c r="F46" s="297">
        <v>31187.041669018501</v>
      </c>
      <c r="G46" s="297">
        <v>30898.281669018499</v>
      </c>
      <c r="H46" s="297">
        <v>28112.593669018501</v>
      </c>
      <c r="I46" s="297">
        <v>28268.723669018498</v>
      </c>
      <c r="J46" s="297">
        <v>28703.041669018501</v>
      </c>
      <c r="K46" s="297">
        <v>29874.191669018503</v>
      </c>
      <c r="L46" s="297">
        <v>30186.503669018501</v>
      </c>
      <c r="M46" s="297">
        <v>30498.789669018501</v>
      </c>
      <c r="N46" s="297">
        <v>28689.493669018499</v>
      </c>
      <c r="O46" s="297">
        <v>28815.423669010503</v>
      </c>
      <c r="P46" s="297">
        <v>28802.101669018499</v>
      </c>
      <c r="Q46" s="281"/>
      <c r="R46" s="282">
        <v>92629.008328165</v>
      </c>
      <c r="S46" s="246">
        <v>85084.359007055493</v>
      </c>
      <c r="T46" s="246">
        <v>90559.485007055511</v>
      </c>
      <c r="U46" s="283">
        <v>86307.019007047493</v>
      </c>
      <c r="V46" s="281"/>
      <c r="W46" s="282">
        <v>177713.36733522051</v>
      </c>
      <c r="X46" s="283">
        <v>176866.504014103</v>
      </c>
      <c r="Y46" s="281"/>
      <c r="Z46" s="244">
        <v>0</v>
      </c>
      <c r="AA46" s="244">
        <v>342509.55749863997</v>
      </c>
      <c r="AB46" s="262">
        <v>352954.85</v>
      </c>
      <c r="AC46" s="245">
        <v>354579.87134932354</v>
      </c>
      <c r="AD46" s="284"/>
    </row>
    <row r="47" spans="1:30" ht="16.5" customHeight="1" x14ac:dyDescent="0.2">
      <c r="A47" s="491"/>
      <c r="B47" s="286"/>
      <c r="C47" s="485"/>
      <c r="D47" s="247" t="s">
        <v>122</v>
      </c>
      <c r="E47" s="249">
        <v>33269.302722</v>
      </c>
      <c r="F47" s="249">
        <v>31767.708668799991</v>
      </c>
      <c r="G47" s="249">
        <v>32903.127125000006</v>
      </c>
      <c r="H47" s="249">
        <v>33950.041693400002</v>
      </c>
      <c r="I47" s="249">
        <v>33796.848351648347</v>
      </c>
      <c r="J47" s="249">
        <v>33796.847999999998</v>
      </c>
      <c r="K47" s="249">
        <v>34547.994672549015</v>
      </c>
      <c r="L47" s="249">
        <v>30186.503669018501</v>
      </c>
      <c r="M47" s="249">
        <v>30498.789669018501</v>
      </c>
      <c r="N47" s="249">
        <v>28689.493669018499</v>
      </c>
      <c r="O47" s="249">
        <v>28815.423669010503</v>
      </c>
      <c r="P47" s="249">
        <v>28802.101669018499</v>
      </c>
      <c r="Q47" s="244"/>
      <c r="R47" s="250">
        <v>97940.138515800005</v>
      </c>
      <c r="S47" s="251">
        <v>101543.73804504835</v>
      </c>
      <c r="T47" s="251">
        <v>95233.288010586024</v>
      </c>
      <c r="U47" s="252">
        <v>86307.019007047493</v>
      </c>
      <c r="V47" s="244"/>
      <c r="W47" s="250">
        <v>199483.87656084835</v>
      </c>
      <c r="X47" s="252">
        <v>181540.30701763352</v>
      </c>
      <c r="Y47" s="244"/>
      <c r="Z47" s="244">
        <v>0</v>
      </c>
      <c r="AA47" s="244">
        <v>355162.5114049</v>
      </c>
      <c r="AB47" s="251">
        <v>370206.06341307954</v>
      </c>
      <c r="AC47" s="250">
        <v>381024.1835784819</v>
      </c>
    </row>
    <row r="48" spans="1:30" s="285" customFormat="1" ht="16.5" customHeight="1" x14ac:dyDescent="0.2">
      <c r="A48" s="491"/>
      <c r="B48" s="277"/>
      <c r="C48" s="484" t="s">
        <v>139</v>
      </c>
      <c r="D48" s="278" t="s">
        <v>121</v>
      </c>
      <c r="E48" s="297">
        <v>-1284.0099501701388</v>
      </c>
      <c r="F48" s="297">
        <v>-899.10256114957292</v>
      </c>
      <c r="G48" s="297">
        <v>-1032.8597838568865</v>
      </c>
      <c r="H48" s="297">
        <v>-1631.7193684336912</v>
      </c>
      <c r="I48" s="297">
        <v>-1776.985835114353</v>
      </c>
      <c r="J48" s="297">
        <v>-1517.2666563690075</v>
      </c>
      <c r="K48" s="297">
        <v>-1380.8734847792327</v>
      </c>
      <c r="L48" s="297">
        <v>-1176.6972712518502</v>
      </c>
      <c r="M48" s="297">
        <v>-811.39321565369335</v>
      </c>
      <c r="N48" s="297">
        <v>-1381.9678962573616</v>
      </c>
      <c r="O48" s="297">
        <v>-1440.4324961655277</v>
      </c>
      <c r="P48" s="297">
        <v>-1285.8510338989138</v>
      </c>
      <c r="Q48" s="281"/>
      <c r="R48" s="282">
        <v>-3215.972295176598</v>
      </c>
      <c r="S48" s="246">
        <v>-4925.9718599170519</v>
      </c>
      <c r="T48" s="246">
        <v>-3368.9639716847764</v>
      </c>
      <c r="U48" s="283">
        <v>-4108.2514263218027</v>
      </c>
      <c r="V48" s="281"/>
      <c r="W48" s="282">
        <v>-8141.9441550936499</v>
      </c>
      <c r="X48" s="283">
        <v>-7477.2153980065796</v>
      </c>
      <c r="Y48" s="281"/>
      <c r="Z48" s="244">
        <v>0</v>
      </c>
      <c r="AA48" s="244">
        <v>25893.312850618564</v>
      </c>
      <c r="AB48" s="246">
        <v>11850.312875497693</v>
      </c>
      <c r="AC48" s="245">
        <v>-15619.159553100229</v>
      </c>
      <c r="AD48" s="284"/>
    </row>
    <row r="49" spans="1:30" ht="16.5" customHeight="1" x14ac:dyDescent="0.2">
      <c r="A49" s="491"/>
      <c r="B49" s="287"/>
      <c r="C49" s="489"/>
      <c r="D49" s="255" t="s">
        <v>122</v>
      </c>
      <c r="E49" s="264">
        <v>745.07008851671719</v>
      </c>
      <c r="F49" s="264">
        <v>94.849646109946477</v>
      </c>
      <c r="G49" s="264">
        <v>550.14309941501483</v>
      </c>
      <c r="H49" s="264">
        <v>931.15120058153911</v>
      </c>
      <c r="I49" s="264">
        <v>75.461816584698099</v>
      </c>
      <c r="J49" s="264">
        <v>152.38499999999999</v>
      </c>
      <c r="K49" s="264">
        <v>-118.41441308891174</v>
      </c>
      <c r="L49" s="264">
        <v>-1176.6972712518502</v>
      </c>
      <c r="M49" s="264">
        <v>-811.39321565369335</v>
      </c>
      <c r="N49" s="264">
        <v>-1381.9678962573616</v>
      </c>
      <c r="O49" s="264">
        <v>-1440.4324961655277</v>
      </c>
      <c r="P49" s="264">
        <v>-1285.8510338989138</v>
      </c>
      <c r="Q49" s="244"/>
      <c r="R49" s="258">
        <v>1390.0628340416783</v>
      </c>
      <c r="S49" s="257">
        <v>1158.9980171662373</v>
      </c>
      <c r="T49" s="257">
        <v>-2106.5048999944552</v>
      </c>
      <c r="U49" s="259">
        <v>-4108.2514263218027</v>
      </c>
      <c r="V49" s="244"/>
      <c r="W49" s="258">
        <v>2549.0608512079157</v>
      </c>
      <c r="X49" s="259">
        <v>-6214.7563263162574</v>
      </c>
      <c r="Y49" s="244"/>
      <c r="Z49" s="244">
        <v>0</v>
      </c>
      <c r="AA49" s="244">
        <v>7389.1737640713982</v>
      </c>
      <c r="AB49" s="257">
        <v>-22604.825710843197</v>
      </c>
      <c r="AC49" s="258">
        <v>-3665.6954751083431</v>
      </c>
    </row>
    <row r="50" spans="1:30" ht="16.5" customHeight="1" x14ac:dyDescent="0.2">
      <c r="A50" s="491"/>
      <c r="B50" s="287"/>
      <c r="C50" s="485"/>
      <c r="D50" s="275" t="s">
        <v>126</v>
      </c>
      <c r="E50" s="276">
        <v>2.2395121855800858E-2</v>
      </c>
      <c r="F50" s="276">
        <v>2.98572513047191E-3</v>
      </c>
      <c r="G50" s="276">
        <v>1.672008552029125E-2</v>
      </c>
      <c r="H50" s="276">
        <v>2.7427100355006572E-2</v>
      </c>
      <c r="I50" s="276">
        <v>2.2328063196761856E-3</v>
      </c>
      <c r="J50" s="276">
        <v>4.508852423160882E-3</v>
      </c>
      <c r="K50" s="276">
        <v>-3.4275336155183823E-3</v>
      </c>
      <c r="L50" s="276">
        <v>-3.898090630679886E-2</v>
      </c>
      <c r="M50" s="276">
        <v>-2.6604111981464257E-2</v>
      </c>
      <c r="N50" s="276">
        <v>-4.8169825239883376E-2</v>
      </c>
      <c r="O50" s="276">
        <v>-4.9988246319440321E-2</v>
      </c>
      <c r="P50" s="276">
        <v>-4.4644347439480869E-2</v>
      </c>
      <c r="Q50" s="244"/>
      <c r="R50" s="276">
        <v>-3.471884621481737E-2</v>
      </c>
      <c r="S50" s="276">
        <v>-5.7895151557862394E-2</v>
      </c>
      <c r="T50" s="276">
        <v>-3.7201668841450451E-2</v>
      </c>
      <c r="U50" s="276">
        <v>-4.7600432428170636E-2</v>
      </c>
      <c r="V50" s="244"/>
      <c r="W50" s="276">
        <v>-4.5815035059999232E-2</v>
      </c>
      <c r="X50" s="276">
        <v>-4.2276039997999622E-2</v>
      </c>
      <c r="Y50" s="244"/>
      <c r="Z50" s="244">
        <v>0</v>
      </c>
      <c r="AA50" s="244">
        <v>0.23284745428322717</v>
      </c>
      <c r="AB50" s="276">
        <v>3.357458574516739E-2</v>
      </c>
      <c r="AC50" s="258">
        <v>-0.13554527929817839</v>
      </c>
    </row>
    <row r="51" spans="1:30" ht="16.5" customHeight="1" x14ac:dyDescent="0.2">
      <c r="A51" s="492" t="s">
        <v>141</v>
      </c>
      <c r="B51" s="288"/>
      <c r="C51" s="484" t="s">
        <v>131</v>
      </c>
      <c r="D51" s="278" t="s">
        <v>121</v>
      </c>
      <c r="E51" s="289">
        <v>547722.70141012804</v>
      </c>
      <c r="F51" s="289">
        <v>571989.13808901852</v>
      </c>
      <c r="G51" s="289">
        <v>562414.64808901865</v>
      </c>
      <c r="H51" s="289">
        <v>582447.21208901855</v>
      </c>
      <c r="I51" s="289">
        <v>576696.39408901846</v>
      </c>
      <c r="J51" s="289">
        <v>586740.56808901846</v>
      </c>
      <c r="K51" s="289">
        <v>588911.6570890185</v>
      </c>
      <c r="L51" s="289">
        <v>598100.28008901852</v>
      </c>
      <c r="M51" s="289">
        <v>586824.71008901845</v>
      </c>
      <c r="N51" s="289">
        <v>578404.93346901843</v>
      </c>
      <c r="O51" s="289">
        <v>575644.37928901054</v>
      </c>
      <c r="P51" s="289">
        <v>577828.99188901845</v>
      </c>
      <c r="Q51" s="289"/>
      <c r="R51" s="282">
        <v>1682126.4875881653</v>
      </c>
      <c r="S51" s="246">
        <v>1745884.1742670555</v>
      </c>
      <c r="T51" s="246">
        <v>1773836.6472670557</v>
      </c>
      <c r="U51" s="283">
        <v>1731878.3046470475</v>
      </c>
      <c r="V51" s="281"/>
      <c r="W51" s="282">
        <v>3428010.6618552208</v>
      </c>
      <c r="X51" s="283">
        <v>3505714.9519141032</v>
      </c>
      <c r="Y51" s="281"/>
      <c r="Z51" s="244">
        <v>0</v>
      </c>
      <c r="AA51" s="244">
        <v>5631704.9906639997</v>
      </c>
      <c r="AB51" s="246">
        <v>6064898.9576577982</v>
      </c>
      <c r="AC51" s="245">
        <v>6933725.6137693245</v>
      </c>
      <c r="AD51" s="221"/>
    </row>
    <row r="52" spans="1:30" ht="16.5" customHeight="1" x14ac:dyDescent="0.2">
      <c r="A52" s="493"/>
      <c r="B52" s="286"/>
      <c r="C52" s="485"/>
      <c r="D52" s="247" t="s">
        <v>122</v>
      </c>
      <c r="E52" s="271">
        <v>573642.83798300009</v>
      </c>
      <c r="F52" s="271">
        <v>578785.66658760002</v>
      </c>
      <c r="G52" s="271">
        <v>580324.8163699999</v>
      </c>
      <c r="H52" s="271">
        <v>633241.84350690001</v>
      </c>
      <c r="I52" s="271">
        <v>624197.23036263732</v>
      </c>
      <c r="J52" s="271">
        <v>657852.43075577996</v>
      </c>
      <c r="K52" s="271">
        <v>692320.29546327726</v>
      </c>
      <c r="L52" s="271">
        <v>691670.12827901845</v>
      </c>
      <c r="M52" s="271">
        <v>683630.86065901851</v>
      </c>
      <c r="N52" s="271">
        <v>660436.28921901854</v>
      </c>
      <c r="O52" s="271">
        <v>656519.65811901051</v>
      </c>
      <c r="P52" s="271">
        <v>657169.3044590184</v>
      </c>
      <c r="Q52" s="244"/>
      <c r="R52" s="250">
        <v>1732753.3209406</v>
      </c>
      <c r="S52" s="251">
        <v>1915291.5046253172</v>
      </c>
      <c r="T52" s="252">
        <v>2067621.2844013143</v>
      </c>
      <c r="U52" s="252">
        <v>1974125.2517970474</v>
      </c>
      <c r="V52" s="244"/>
      <c r="W52" s="250">
        <v>3648044.8255659174</v>
      </c>
      <c r="X52" s="252">
        <v>4041746.5361983618</v>
      </c>
      <c r="Y52" s="244"/>
      <c r="Z52" s="244">
        <v>0</v>
      </c>
      <c r="AA52" s="244">
        <v>5778455.5733076995</v>
      </c>
      <c r="AB52" s="251">
        <v>6263891.711347159</v>
      </c>
      <c r="AC52" s="250">
        <v>7790766.2323682196</v>
      </c>
    </row>
    <row r="53" spans="1:30" ht="16.5" customHeight="1" x14ac:dyDescent="0.2">
      <c r="A53" s="493"/>
      <c r="B53" s="277"/>
      <c r="C53" s="484" t="s">
        <v>139</v>
      </c>
      <c r="D53" s="278" t="s">
        <v>121</v>
      </c>
      <c r="E53" s="289">
        <v>78403.938915156716</v>
      </c>
      <c r="F53" s="289">
        <v>94005.343438135998</v>
      </c>
      <c r="G53" s="289">
        <v>80298.064205478207</v>
      </c>
      <c r="H53" s="289">
        <v>107189.39635448407</v>
      </c>
      <c r="I53" s="289">
        <v>103492.05518704109</v>
      </c>
      <c r="J53" s="289">
        <v>104681.26704409529</v>
      </c>
      <c r="K53" s="289">
        <v>109904.55340646174</v>
      </c>
      <c r="L53" s="289">
        <v>116061.05617841081</v>
      </c>
      <c r="M53" s="289">
        <v>106970.55037089923</v>
      </c>
      <c r="N53" s="289">
        <v>109090.74324460865</v>
      </c>
      <c r="O53" s="289">
        <v>108077.92734957821</v>
      </c>
      <c r="P53" s="289">
        <v>108854.85380686703</v>
      </c>
      <c r="Q53" s="281"/>
      <c r="R53" s="282">
        <v>252707.34655877092</v>
      </c>
      <c r="S53" s="246">
        <v>315362.7185856204</v>
      </c>
      <c r="T53" s="246">
        <v>332936.15995577176</v>
      </c>
      <c r="U53" s="283">
        <v>326023.5244010539</v>
      </c>
      <c r="V53" s="281"/>
      <c r="W53" s="282">
        <v>568070.06514439126</v>
      </c>
      <c r="X53" s="283">
        <v>658959.68435682566</v>
      </c>
      <c r="Y53" s="281"/>
      <c r="Z53" s="244">
        <v>0</v>
      </c>
      <c r="AA53" s="244">
        <v>855901.23814527062</v>
      </c>
      <c r="AB53" s="246">
        <v>1076188.5528079544</v>
      </c>
      <c r="AC53" s="245">
        <v>1227029.7495012169</v>
      </c>
      <c r="AD53" s="298">
        <v>0.17744542165028374</v>
      </c>
    </row>
    <row r="54" spans="1:30" ht="16.5" customHeight="1" x14ac:dyDescent="0.2">
      <c r="A54" s="493"/>
      <c r="B54" s="287"/>
      <c r="C54" s="489"/>
      <c r="D54" s="255" t="s">
        <v>122</v>
      </c>
      <c r="E54" s="274">
        <v>85664.815560090647</v>
      </c>
      <c r="F54" s="274">
        <v>88713.877962675499</v>
      </c>
      <c r="G54" s="274">
        <v>95448.832795604176</v>
      </c>
      <c r="H54" s="274">
        <v>110859.34058450662</v>
      </c>
      <c r="I54" s="274">
        <v>109434.7169544335</v>
      </c>
      <c r="J54" s="274">
        <v>109426.89555599427</v>
      </c>
      <c r="K54" s="274">
        <v>135437.12767267122</v>
      </c>
      <c r="L54" s="274">
        <v>132818.70938953751</v>
      </c>
      <c r="M54" s="274">
        <v>130141.21757616117</v>
      </c>
      <c r="N54" s="274">
        <v>123350.33227406465</v>
      </c>
      <c r="O54" s="274">
        <v>120638.70027819795</v>
      </c>
      <c r="P54" s="274">
        <v>126811.36038311754</v>
      </c>
      <c r="Q54" s="244"/>
      <c r="R54" s="258">
        <v>269827.52631837031</v>
      </c>
      <c r="S54" s="257">
        <v>329720.95309493435</v>
      </c>
      <c r="T54" s="257">
        <v>398397.05463836994</v>
      </c>
      <c r="U54" s="259">
        <v>370800.39293538011</v>
      </c>
      <c r="V54" s="244"/>
      <c r="W54" s="258">
        <v>599548.47941330471</v>
      </c>
      <c r="X54" s="259">
        <v>769197.44757375005</v>
      </c>
      <c r="Y54" s="244"/>
      <c r="Z54" s="244">
        <v>0</v>
      </c>
      <c r="AA54" s="244">
        <v>866366.26828520291</v>
      </c>
      <c r="AB54" s="257">
        <v>978744.41825706442</v>
      </c>
      <c r="AC54" s="258">
        <v>1396767.5471064523</v>
      </c>
    </row>
    <row r="55" spans="1:30" ht="16.5" customHeight="1" x14ac:dyDescent="0.2">
      <c r="A55" s="494"/>
      <c r="B55" s="287"/>
      <c r="C55" s="485"/>
      <c r="D55" s="275" t="s">
        <v>126</v>
      </c>
      <c r="E55" s="276">
        <f>+E54/E52</f>
        <v>0.14933476004215243</v>
      </c>
      <c r="F55" s="276">
        <f t="shared" ref="F55:P55" si="2">+F54/F52</f>
        <v>0.15327587237208912</v>
      </c>
      <c r="G55" s="276">
        <f t="shared" si="2"/>
        <v>0.16447484254188521</v>
      </c>
      <c r="H55" s="276">
        <f t="shared" si="2"/>
        <v>0.17506635374972446</v>
      </c>
      <c r="I55" s="276">
        <f t="shared" si="2"/>
        <v>0.17532073458713629</v>
      </c>
      <c r="J55" s="276">
        <f t="shared" si="2"/>
        <v>0.16633957775344563</v>
      </c>
      <c r="K55" s="276">
        <f t="shared" si="2"/>
        <v>0.19562784531983321</v>
      </c>
      <c r="L55" s="276">
        <f t="shared" si="2"/>
        <v>0.19202608867902229</v>
      </c>
      <c r="M55" s="276">
        <f t="shared" si="2"/>
        <v>0.19036767510861835</v>
      </c>
      <c r="N55" s="276">
        <f t="shared" si="2"/>
        <v>0.18677097895382055</v>
      </c>
      <c r="O55" s="276">
        <f t="shared" si="2"/>
        <v>0.18375489413955856</v>
      </c>
      <c r="P55" s="276">
        <f t="shared" si="2"/>
        <v>0.19296604318351207</v>
      </c>
      <c r="Q55" s="244"/>
      <c r="R55" s="276">
        <f t="shared" ref="R55" si="3">+R54/R52</f>
        <v>0.1557218347571242</v>
      </c>
      <c r="S55" s="276">
        <f t="shared" ref="S55" si="4">+S54/S52</f>
        <v>0.17215183813987453</v>
      </c>
      <c r="T55" s="276">
        <f t="shared" ref="T55" si="5">+T54/T52</f>
        <v>0.19268376546710145</v>
      </c>
      <c r="U55" s="276">
        <f t="shared" ref="U55" si="6">+U54/U52</f>
        <v>0.18783022637385358</v>
      </c>
      <c r="V55" s="244"/>
      <c r="W55" s="276">
        <f t="shared" ref="W55" si="7">+W54/W52</f>
        <v>0.1643478926606384</v>
      </c>
      <c r="X55" s="276">
        <f t="shared" ref="X55" si="8">+X54/X52</f>
        <v>0.19031313336566913</v>
      </c>
      <c r="Y55" s="244"/>
      <c r="Z55" s="244">
        <v>0</v>
      </c>
      <c r="AA55" s="244">
        <v>1.798835100846524</v>
      </c>
      <c r="AB55" s="276">
        <v>0.17744542165028374</v>
      </c>
      <c r="AC55" s="299">
        <v>0.17696543212851146</v>
      </c>
    </row>
    <row r="56" spans="1:30" x14ac:dyDescent="0.2">
      <c r="C56" s="222" t="s">
        <v>0</v>
      </c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</row>
    <row r="57" spans="1:30" ht="14.25" customHeight="1" x14ac:dyDescent="0.2">
      <c r="A57" s="300" t="s">
        <v>132</v>
      </c>
      <c r="B57" s="231"/>
      <c r="C57" s="232"/>
      <c r="D57" s="233"/>
      <c r="E57" s="301">
        <v>43191</v>
      </c>
      <c r="F57" s="301">
        <v>43221</v>
      </c>
      <c r="G57" s="301">
        <v>43252</v>
      </c>
      <c r="H57" s="301">
        <v>43282</v>
      </c>
      <c r="I57" s="301">
        <v>43313</v>
      </c>
      <c r="J57" s="301">
        <v>43344</v>
      </c>
      <c r="K57" s="301">
        <v>43374</v>
      </c>
      <c r="L57" s="301">
        <v>43405</v>
      </c>
      <c r="M57" s="301">
        <v>43435</v>
      </c>
      <c r="N57" s="301">
        <v>43466</v>
      </c>
      <c r="O57" s="301">
        <v>43497</v>
      </c>
      <c r="P57" s="301">
        <v>43525</v>
      </c>
      <c r="Q57" s="235"/>
      <c r="R57" s="236" t="s">
        <v>116</v>
      </c>
      <c r="S57" s="237" t="s">
        <v>58</v>
      </c>
      <c r="T57" s="237" t="s">
        <v>59</v>
      </c>
      <c r="U57" s="237" t="s">
        <v>60</v>
      </c>
      <c r="V57" s="238"/>
      <c r="W57" s="236" t="s">
        <v>117</v>
      </c>
      <c r="X57" s="239" t="s">
        <v>118</v>
      </c>
      <c r="Y57" s="235"/>
      <c r="Z57" s="235"/>
      <c r="AA57" s="235"/>
      <c r="AB57" s="237">
        <v>2017</v>
      </c>
      <c r="AC57" s="240"/>
      <c r="AD57" s="241" t="s">
        <v>119</v>
      </c>
    </row>
    <row r="58" spans="1:30" ht="16.5" customHeight="1" x14ac:dyDescent="0.2">
      <c r="A58" s="482" t="s">
        <v>142</v>
      </c>
      <c r="B58" s="483"/>
      <c r="C58" s="495" t="s">
        <v>131</v>
      </c>
      <c r="D58" s="242" t="s">
        <v>121</v>
      </c>
      <c r="E58" s="242">
        <v>0</v>
      </c>
      <c r="F58" s="242">
        <v>0</v>
      </c>
      <c r="G58" s="242">
        <v>0</v>
      </c>
      <c r="H58" s="242">
        <v>0</v>
      </c>
      <c r="I58" s="242">
        <v>0</v>
      </c>
      <c r="J58" s="242">
        <v>0</v>
      </c>
      <c r="K58" s="242">
        <v>0</v>
      </c>
      <c r="L58" s="242">
        <v>0</v>
      </c>
      <c r="M58" s="242">
        <v>0</v>
      </c>
      <c r="N58" s="242">
        <v>0</v>
      </c>
      <c r="O58" s="242">
        <v>0</v>
      </c>
      <c r="P58" s="242">
        <v>0</v>
      </c>
      <c r="Q58" s="244"/>
      <c r="R58" s="245">
        <v>0</v>
      </c>
      <c r="S58" s="245">
        <v>0</v>
      </c>
      <c r="T58" s="245">
        <v>0</v>
      </c>
      <c r="U58" s="245">
        <v>0</v>
      </c>
      <c r="V58" s="244"/>
      <c r="W58" s="245">
        <v>0</v>
      </c>
      <c r="X58" s="245">
        <v>0</v>
      </c>
      <c r="Y58" s="244"/>
      <c r="Z58" s="244"/>
      <c r="AA58" s="244"/>
      <c r="AB58" s="253">
        <v>0</v>
      </c>
      <c r="AC58" s="245"/>
    </row>
    <row r="59" spans="1:30" ht="16.5" customHeight="1" x14ac:dyDescent="0.2">
      <c r="A59" s="482"/>
      <c r="B59" s="483"/>
      <c r="C59" s="496"/>
      <c r="D59" s="247" t="s">
        <v>122</v>
      </c>
      <c r="E59" s="248">
        <v>0</v>
      </c>
      <c r="F59" s="248">
        <v>0</v>
      </c>
      <c r="G59" s="248">
        <v>0</v>
      </c>
      <c r="H59" s="248">
        <v>0</v>
      </c>
      <c r="I59" s="248">
        <v>0</v>
      </c>
      <c r="J59" s="248">
        <v>0</v>
      </c>
      <c r="K59" s="248">
        <v>0</v>
      </c>
      <c r="L59" s="248">
        <v>0</v>
      </c>
      <c r="M59" s="248">
        <v>0</v>
      </c>
      <c r="N59" s="248">
        <v>0</v>
      </c>
      <c r="O59" s="248">
        <v>0</v>
      </c>
      <c r="P59" s="248">
        <v>0</v>
      </c>
      <c r="Q59" s="244"/>
      <c r="R59" s="250">
        <v>0</v>
      </c>
      <c r="S59" s="251">
        <v>0</v>
      </c>
      <c r="T59" s="251">
        <v>0</v>
      </c>
      <c r="U59" s="252">
        <v>0</v>
      </c>
      <c r="V59" s="244"/>
      <c r="W59" s="250">
        <v>0</v>
      </c>
      <c r="X59" s="252">
        <v>0</v>
      </c>
      <c r="Y59" s="244"/>
      <c r="Z59" s="244"/>
      <c r="AA59" s="244"/>
      <c r="AB59" s="251">
        <v>300.38</v>
      </c>
      <c r="AC59" s="250"/>
    </row>
    <row r="60" spans="1:30" ht="16.5" customHeight="1" x14ac:dyDescent="0.2">
      <c r="A60" s="482"/>
      <c r="B60" s="483"/>
      <c r="C60" s="495" t="s">
        <v>139</v>
      </c>
      <c r="D60" s="242" t="s">
        <v>121</v>
      </c>
      <c r="E60" s="242">
        <v>0</v>
      </c>
      <c r="F60" s="242">
        <v>0</v>
      </c>
      <c r="G60" s="242">
        <v>0</v>
      </c>
      <c r="H60" s="242">
        <v>0</v>
      </c>
      <c r="I60" s="242">
        <v>0</v>
      </c>
      <c r="J60" s="242">
        <v>0</v>
      </c>
      <c r="K60" s="242">
        <v>0</v>
      </c>
      <c r="L60" s="242">
        <v>0</v>
      </c>
      <c r="M60" s="242">
        <v>0</v>
      </c>
      <c r="N60" s="242">
        <v>0</v>
      </c>
      <c r="O60" s="242">
        <v>0</v>
      </c>
      <c r="P60" s="242">
        <v>0</v>
      </c>
      <c r="Q60" s="244"/>
      <c r="R60" s="245">
        <v>0</v>
      </c>
      <c r="S60" s="253">
        <v>0</v>
      </c>
      <c r="T60" s="253">
        <v>0</v>
      </c>
      <c r="U60" s="254">
        <v>0</v>
      </c>
      <c r="V60" s="244"/>
      <c r="W60" s="245">
        <v>0</v>
      </c>
      <c r="X60" s="254">
        <v>0</v>
      </c>
      <c r="Y60" s="244"/>
      <c r="Z60" s="244"/>
      <c r="AA60" s="244"/>
      <c r="AB60" s="253">
        <v>0</v>
      </c>
      <c r="AC60" s="245"/>
    </row>
    <row r="61" spans="1:30" ht="16.5" customHeight="1" x14ac:dyDescent="0.2">
      <c r="A61" s="482"/>
      <c r="B61" s="483"/>
      <c r="C61" s="496"/>
      <c r="D61" s="255" t="s">
        <v>122</v>
      </c>
      <c r="E61" s="256">
        <v>0</v>
      </c>
      <c r="F61" s="256">
        <v>0</v>
      </c>
      <c r="G61" s="256">
        <v>0</v>
      </c>
      <c r="H61" s="256">
        <v>0</v>
      </c>
      <c r="I61" s="256">
        <v>0</v>
      </c>
      <c r="J61" s="256">
        <v>0</v>
      </c>
      <c r="K61" s="256">
        <v>0</v>
      </c>
      <c r="L61" s="256">
        <v>0</v>
      </c>
      <c r="M61" s="256">
        <v>0</v>
      </c>
      <c r="N61" s="256">
        <v>0</v>
      </c>
      <c r="O61" s="256">
        <v>0</v>
      </c>
      <c r="P61" s="256">
        <v>0</v>
      </c>
      <c r="Q61" s="257"/>
      <c r="R61" s="258">
        <v>0</v>
      </c>
      <c r="S61" s="257">
        <v>0</v>
      </c>
      <c r="T61" s="257">
        <v>0</v>
      </c>
      <c r="U61" s="259">
        <v>0</v>
      </c>
      <c r="V61" s="244"/>
      <c r="W61" s="258">
        <v>0</v>
      </c>
      <c r="X61" s="259">
        <v>0</v>
      </c>
      <c r="Y61" s="244"/>
      <c r="Z61" s="244"/>
      <c r="AA61" s="244"/>
      <c r="AB61" s="257">
        <v>-955.14700000000005</v>
      </c>
      <c r="AC61" s="258"/>
    </row>
    <row r="62" spans="1:30" ht="16.5" customHeight="1" x14ac:dyDescent="0.2">
      <c r="A62" s="486" t="s">
        <v>143</v>
      </c>
      <c r="B62" s="487"/>
      <c r="C62" s="495" t="s">
        <v>131</v>
      </c>
      <c r="D62" s="242" t="s">
        <v>121</v>
      </c>
      <c r="E62" s="260">
        <v>44927.775000000001</v>
      </c>
      <c r="F62" s="260">
        <v>45091.974999999999</v>
      </c>
      <c r="G62" s="260">
        <v>45782.775000000001</v>
      </c>
      <c r="H62" s="260">
        <v>44991.974999999999</v>
      </c>
      <c r="I62" s="260">
        <v>44542.055</v>
      </c>
      <c r="J62" s="260">
        <v>45511.974999999999</v>
      </c>
      <c r="K62" s="260">
        <v>46689.18</v>
      </c>
      <c r="L62" s="260">
        <v>45686.974999999999</v>
      </c>
      <c r="M62" s="260">
        <v>45037.055</v>
      </c>
      <c r="N62" s="260">
        <v>46476.974999999999</v>
      </c>
      <c r="O62" s="260">
        <v>45602.055</v>
      </c>
      <c r="P62" s="260">
        <v>46476.974999999999</v>
      </c>
      <c r="Q62" s="244"/>
      <c r="R62" s="245">
        <v>135802.52499999999</v>
      </c>
      <c r="S62" s="253">
        <v>135046.005</v>
      </c>
      <c r="T62" s="253">
        <v>137413.21</v>
      </c>
      <c r="U62" s="254">
        <v>138556.005</v>
      </c>
      <c r="V62" s="244"/>
      <c r="W62" s="245">
        <v>270848.53000000003</v>
      </c>
      <c r="X62" s="254">
        <v>275969.21499999997</v>
      </c>
      <c r="Y62" s="244"/>
      <c r="Z62" s="244"/>
      <c r="AA62" s="244"/>
      <c r="AB62" s="253">
        <v>475365.6</v>
      </c>
      <c r="AC62" s="245"/>
    </row>
    <row r="63" spans="1:30" ht="16.5" customHeight="1" x14ac:dyDescent="0.2">
      <c r="A63" s="486"/>
      <c r="B63" s="487"/>
      <c r="C63" s="496"/>
      <c r="D63" s="247" t="s">
        <v>122</v>
      </c>
      <c r="E63" s="248">
        <v>52985.222999999998</v>
      </c>
      <c r="F63" s="248">
        <v>43235.188000000002</v>
      </c>
      <c r="G63" s="248">
        <v>53392.120999999999</v>
      </c>
      <c r="H63" s="248">
        <v>56557.741999999998</v>
      </c>
      <c r="I63" s="248">
        <v>44047.637999999999</v>
      </c>
      <c r="J63" s="248">
        <v>45511.974999999999</v>
      </c>
      <c r="K63" s="248">
        <v>46267.294999999998</v>
      </c>
      <c r="L63" s="248">
        <v>46235.214999999997</v>
      </c>
      <c r="M63" s="248">
        <v>52557.834999999999</v>
      </c>
      <c r="N63" s="248">
        <v>49590.165000000001</v>
      </c>
      <c r="O63" s="248">
        <v>52192.284999999996</v>
      </c>
      <c r="P63" s="248">
        <v>52355.165000000001</v>
      </c>
      <c r="Q63" s="244"/>
      <c r="R63" s="250">
        <v>149612.53200000001</v>
      </c>
      <c r="S63" s="251">
        <v>146117.35500000001</v>
      </c>
      <c r="T63" s="251">
        <v>145060.345</v>
      </c>
      <c r="U63" s="252">
        <v>154137.61499999999</v>
      </c>
      <c r="V63" s="244"/>
      <c r="W63" s="250">
        <v>295729.88699999999</v>
      </c>
      <c r="X63" s="252">
        <v>299197.95999999996</v>
      </c>
      <c r="Y63" s="244"/>
      <c r="Z63" s="244"/>
      <c r="AA63" s="244"/>
      <c r="AB63" s="251">
        <v>596657.65899999999</v>
      </c>
      <c r="AC63" s="250"/>
    </row>
    <row r="64" spans="1:30" ht="16.5" customHeight="1" x14ac:dyDescent="0.2">
      <c r="A64" s="486"/>
      <c r="B64" s="487"/>
      <c r="C64" s="495" t="s">
        <v>139</v>
      </c>
      <c r="D64" s="242" t="s">
        <v>121</v>
      </c>
      <c r="E64" s="260">
        <v>-8910.0642438646446</v>
      </c>
      <c r="F64" s="260">
        <v>-8901.8542438646527</v>
      </c>
      <c r="G64" s="260">
        <v>-8867.3142438646446</v>
      </c>
      <c r="H64" s="260">
        <v>-6875</v>
      </c>
      <c r="I64" s="260">
        <v>-6875</v>
      </c>
      <c r="J64" s="260">
        <v>-8880.8542438646527</v>
      </c>
      <c r="K64" s="260">
        <v>-8821.9939938646548</v>
      </c>
      <c r="L64" s="260">
        <v>-8872.1042438646527</v>
      </c>
      <c r="M64" s="260">
        <v>-8904.6002438646519</v>
      </c>
      <c r="N64" s="260">
        <v>-8832.6042438646527</v>
      </c>
      <c r="O64" s="260">
        <v>-8876.3502438646519</v>
      </c>
      <c r="P64" s="260">
        <v>-8832.6042438646527</v>
      </c>
      <c r="Q64" s="244"/>
      <c r="R64" s="245">
        <v>-26679.23273159394</v>
      </c>
      <c r="S64" s="253">
        <v>-22630.854243864655</v>
      </c>
      <c r="T64" s="253">
        <v>-26598.698481593958</v>
      </c>
      <c r="U64" s="254">
        <v>-26541.558731593956</v>
      </c>
      <c r="V64" s="244"/>
      <c r="W64" s="245">
        <v>-49310.086975458595</v>
      </c>
      <c r="X64" s="254">
        <v>-53140.257213187913</v>
      </c>
      <c r="Y64" s="244"/>
      <c r="Z64" s="244"/>
      <c r="AA64" s="244"/>
      <c r="AB64" s="253">
        <v>-54695.16</v>
      </c>
      <c r="AC64" s="245"/>
    </row>
    <row r="65" spans="1:30" ht="16.5" customHeight="1" x14ac:dyDescent="0.2">
      <c r="A65" s="486"/>
      <c r="B65" s="487"/>
      <c r="C65" s="496"/>
      <c r="D65" s="255" t="s">
        <v>122</v>
      </c>
      <c r="E65" s="256">
        <v>-7736.3950000000041</v>
      </c>
      <c r="F65" s="256">
        <v>-9231.9279999999872</v>
      </c>
      <c r="G65" s="256">
        <v>-5002.9340000000102</v>
      </c>
      <c r="H65" s="256">
        <v>-7486.984000000004</v>
      </c>
      <c r="I65" s="256">
        <v>-6827.2009999999955</v>
      </c>
      <c r="J65" s="256">
        <v>-6593</v>
      </c>
      <c r="K65" s="256">
        <v>-6593</v>
      </c>
      <c r="L65" s="256">
        <v>-6593</v>
      </c>
      <c r="M65" s="256">
        <v>-6593</v>
      </c>
      <c r="N65" s="256">
        <v>-6593</v>
      </c>
      <c r="O65" s="256">
        <v>-6593</v>
      </c>
      <c r="P65" s="256">
        <v>-6593</v>
      </c>
      <c r="Q65" s="244"/>
      <c r="R65" s="258">
        <v>-21971.256999999998</v>
      </c>
      <c r="S65" s="257">
        <v>-20907.184999999998</v>
      </c>
      <c r="T65" s="257">
        <v>-19779</v>
      </c>
      <c r="U65" s="259">
        <v>-19779</v>
      </c>
      <c r="V65" s="244"/>
      <c r="W65" s="258">
        <v>-42878.441999999995</v>
      </c>
      <c r="X65" s="259">
        <v>-39558</v>
      </c>
      <c r="Y65" s="244"/>
      <c r="Z65" s="244"/>
      <c r="AA65" s="244"/>
      <c r="AB65" s="257">
        <v>-82105.129000000015</v>
      </c>
      <c r="AC65" s="258"/>
    </row>
    <row r="66" spans="1:30" ht="16.5" customHeight="1" x14ac:dyDescent="0.2">
      <c r="A66" s="486" t="s">
        <v>144</v>
      </c>
      <c r="B66" s="487"/>
      <c r="C66" s="495" t="s">
        <v>131</v>
      </c>
      <c r="D66" s="242" t="s">
        <v>121</v>
      </c>
      <c r="E66" s="260">
        <v>305888.85042000003</v>
      </c>
      <c r="F66" s="260">
        <v>307110.85042000003</v>
      </c>
      <c r="G66" s="260">
        <v>304786.85042000003</v>
      </c>
      <c r="H66" s="260">
        <v>324635.61242000002</v>
      </c>
      <c r="I66" s="260">
        <v>326192.26042000001</v>
      </c>
      <c r="J66" s="260">
        <v>323863.26042000001</v>
      </c>
      <c r="K66" s="260">
        <v>326529.76042000001</v>
      </c>
      <c r="L66" s="260">
        <v>332113.26042000001</v>
      </c>
      <c r="M66" s="260">
        <v>330927.76042000001</v>
      </c>
      <c r="N66" s="260">
        <v>315725.78380000003</v>
      </c>
      <c r="O66" s="260">
        <v>319343.14562000002</v>
      </c>
      <c r="P66" s="260">
        <v>318131.77422000002</v>
      </c>
      <c r="Q66" s="244"/>
      <c r="R66" s="245">
        <v>917786.55126000009</v>
      </c>
      <c r="S66" s="253">
        <v>974691.13326000003</v>
      </c>
      <c r="T66" s="253">
        <v>989570.78126000008</v>
      </c>
      <c r="U66" s="254">
        <v>953200.70364000008</v>
      </c>
      <c r="V66" s="244"/>
      <c r="W66" s="245">
        <v>1892477.6845200001</v>
      </c>
      <c r="X66" s="254">
        <v>1942771.4849</v>
      </c>
      <c r="Y66" s="244"/>
      <c r="Z66" s="244"/>
      <c r="AA66" s="244"/>
      <c r="AB66" s="253">
        <v>3236670.3493000004</v>
      </c>
      <c r="AC66" s="245"/>
    </row>
    <row r="67" spans="1:30" ht="16.5" customHeight="1" x14ac:dyDescent="0.2">
      <c r="A67" s="486"/>
      <c r="B67" s="487"/>
      <c r="C67" s="496"/>
      <c r="D67" s="247" t="s">
        <v>122</v>
      </c>
      <c r="E67" s="248">
        <v>293300.38909000001</v>
      </c>
      <c r="F67" s="248">
        <v>305618.26500000001</v>
      </c>
      <c r="G67" s="248">
        <v>289163.18199999997</v>
      </c>
      <c r="H67" s="248">
        <v>323741.68399999995</v>
      </c>
      <c r="I67" s="248">
        <v>334377.77899999998</v>
      </c>
      <c r="J67" s="248">
        <v>327885.27675000002</v>
      </c>
      <c r="K67" s="248">
        <v>340579.85174999997</v>
      </c>
      <c r="L67" s="248">
        <v>341994.91775000002</v>
      </c>
      <c r="M67" s="248">
        <v>339171.84275000001</v>
      </c>
      <c r="N67" s="248">
        <v>331484.80524999998</v>
      </c>
      <c r="O67" s="248">
        <v>324257.34924999997</v>
      </c>
      <c r="P67" s="248">
        <v>323511.23024999996</v>
      </c>
      <c r="Q67" s="244"/>
      <c r="R67" s="250">
        <v>888081.83609000011</v>
      </c>
      <c r="S67" s="251">
        <v>986004.73974999995</v>
      </c>
      <c r="T67" s="251">
        <v>1021746.61225</v>
      </c>
      <c r="U67" s="252">
        <v>979253.38474999997</v>
      </c>
      <c r="V67" s="244"/>
      <c r="W67" s="250">
        <v>1874086.5758400001</v>
      </c>
      <c r="X67" s="252">
        <v>2000999.997</v>
      </c>
      <c r="Y67" s="244"/>
      <c r="Z67" s="244"/>
      <c r="AA67" s="244"/>
      <c r="AB67" s="251">
        <v>2952301.3032372994</v>
      </c>
      <c r="AC67" s="250"/>
    </row>
    <row r="68" spans="1:30" ht="16.5" customHeight="1" x14ac:dyDescent="0.2">
      <c r="A68" s="486"/>
      <c r="B68" s="487"/>
      <c r="C68" s="497" t="s">
        <v>124</v>
      </c>
      <c r="D68" s="242" t="s">
        <v>121</v>
      </c>
      <c r="E68" s="266">
        <v>41319.352250000004</v>
      </c>
      <c r="F68" s="266">
        <v>41014.592250000002</v>
      </c>
      <c r="G68" s="266">
        <v>41319.352250000004</v>
      </c>
      <c r="H68" s="266">
        <v>40919.592250000002</v>
      </c>
      <c r="I68" s="266">
        <v>41414.352250000004</v>
      </c>
      <c r="J68" s="266">
        <v>41413.592250000002</v>
      </c>
      <c r="K68" s="266">
        <v>42577.271000000001</v>
      </c>
      <c r="L68" s="266">
        <v>41082.992250000003</v>
      </c>
      <c r="M68" s="266">
        <v>41387.752249999998</v>
      </c>
      <c r="N68" s="266">
        <v>41025.992250000003</v>
      </c>
      <c r="O68" s="266">
        <v>41520.752249999998</v>
      </c>
      <c r="P68" s="266">
        <v>41025.992250000003</v>
      </c>
      <c r="Q68" s="244"/>
      <c r="R68" s="250">
        <v>123653.29675000001</v>
      </c>
      <c r="S68" s="251">
        <v>123747.53675000001</v>
      </c>
      <c r="T68" s="251">
        <v>125048.01550000001</v>
      </c>
      <c r="U68" s="252">
        <v>123572.73675000001</v>
      </c>
      <c r="V68" s="244"/>
      <c r="W68" s="250"/>
      <c r="X68" s="252"/>
      <c r="Y68" s="244"/>
      <c r="Z68" s="244"/>
      <c r="AA68" s="244"/>
      <c r="AB68" s="251">
        <v>368458.18700000003</v>
      </c>
      <c r="AC68" s="250"/>
    </row>
    <row r="69" spans="1:30" ht="16.5" customHeight="1" x14ac:dyDescent="0.2">
      <c r="A69" s="486"/>
      <c r="B69" s="487"/>
      <c r="C69" s="496"/>
      <c r="D69" s="247" t="s">
        <v>122</v>
      </c>
      <c r="E69" s="248">
        <v>45454.655709999985</v>
      </c>
      <c r="F69" s="248">
        <v>46776.6</v>
      </c>
      <c r="G69" s="248">
        <v>40247.625</v>
      </c>
      <c r="H69" s="248">
        <v>36475.063000000002</v>
      </c>
      <c r="I69" s="248">
        <v>41938.798999999999</v>
      </c>
      <c r="J69" s="248">
        <v>41413.592250000002</v>
      </c>
      <c r="K69" s="248">
        <v>42013.19425</v>
      </c>
      <c r="L69" s="248">
        <v>42362.718249999998</v>
      </c>
      <c r="M69" s="248">
        <v>48576.47825</v>
      </c>
      <c r="N69" s="248">
        <v>45202.695749999999</v>
      </c>
      <c r="O69" s="248">
        <v>48229.205750000001</v>
      </c>
      <c r="P69" s="248">
        <v>47829.445749999999</v>
      </c>
      <c r="Q69" s="244"/>
      <c r="R69" s="250">
        <v>132478.88071</v>
      </c>
      <c r="S69" s="251">
        <v>119827.45425</v>
      </c>
      <c r="T69" s="251">
        <v>132952.39075000002</v>
      </c>
      <c r="U69" s="252">
        <v>141261.34724999999</v>
      </c>
      <c r="V69" s="244"/>
      <c r="W69" s="250">
        <v>252306.33496000001</v>
      </c>
      <c r="X69" s="252"/>
      <c r="Y69" s="244"/>
      <c r="Z69" s="244"/>
      <c r="AA69" s="244"/>
      <c r="AB69" s="251">
        <v>512705.13954270008</v>
      </c>
      <c r="AC69" s="250"/>
    </row>
    <row r="70" spans="1:30" ht="16.5" customHeight="1" x14ac:dyDescent="0.2">
      <c r="A70" s="486"/>
      <c r="B70" s="487"/>
      <c r="C70" s="495" t="s">
        <v>139</v>
      </c>
      <c r="D70" s="242" t="s">
        <v>121</v>
      </c>
      <c r="E70" s="260">
        <v>61743.928581353583</v>
      </c>
      <c r="F70" s="260">
        <v>65333.251355124841</v>
      </c>
      <c r="G70" s="260">
        <v>55700.489444824678</v>
      </c>
      <c r="H70" s="260">
        <v>78838.730989540752</v>
      </c>
      <c r="I70" s="260">
        <v>79108.431577207695</v>
      </c>
      <c r="J70" s="260">
        <v>76457.649371038686</v>
      </c>
      <c r="K70" s="260">
        <v>84484.595203008765</v>
      </c>
      <c r="L70" s="260">
        <v>86544.25999383803</v>
      </c>
      <c r="M70" s="260">
        <v>83145.115841008723</v>
      </c>
      <c r="N70" s="260">
        <v>80952.155950949847</v>
      </c>
      <c r="O70" s="260">
        <v>82695.113189895696</v>
      </c>
      <c r="P70" s="260">
        <v>82147.604824919763</v>
      </c>
      <c r="Q70" s="244"/>
      <c r="R70" s="245">
        <v>182777.6693813031</v>
      </c>
      <c r="S70" s="253">
        <v>234404.81193778713</v>
      </c>
      <c r="T70" s="253">
        <v>254173.97103785552</v>
      </c>
      <c r="U70" s="254">
        <v>245794.87396576529</v>
      </c>
      <c r="V70" s="244"/>
      <c r="W70" s="245">
        <v>417182.48131909024</v>
      </c>
      <c r="X70" s="254">
        <v>499968.84500362084</v>
      </c>
      <c r="Y70" s="244"/>
      <c r="Z70" s="244"/>
      <c r="AA70" s="244"/>
      <c r="AB70" s="253">
        <v>574088.0684235415</v>
      </c>
      <c r="AC70" s="245"/>
    </row>
    <row r="71" spans="1:30" ht="16.5" customHeight="1" x14ac:dyDescent="0.2">
      <c r="A71" s="486"/>
      <c r="B71" s="487"/>
      <c r="C71" s="496"/>
      <c r="D71" s="255" t="s">
        <v>122</v>
      </c>
      <c r="E71" s="264">
        <v>52512.663379691476</v>
      </c>
      <c r="F71" s="264">
        <v>50474.204224569105</v>
      </c>
      <c r="G71" s="264">
        <v>48601.08307483713</v>
      </c>
      <c r="H71" s="264">
        <v>71795.279191196547</v>
      </c>
      <c r="I71" s="264">
        <v>58797.406256032853</v>
      </c>
      <c r="J71" s="264">
        <v>54570.92</v>
      </c>
      <c r="K71" s="264">
        <v>69436.89</v>
      </c>
      <c r="L71" s="264">
        <v>64941.27</v>
      </c>
      <c r="M71" s="264">
        <v>64161.01</v>
      </c>
      <c r="N71" s="264">
        <v>70876.27</v>
      </c>
      <c r="O71" s="264">
        <v>68428.12</v>
      </c>
      <c r="P71" s="264">
        <v>69690.67</v>
      </c>
      <c r="Q71" s="244"/>
      <c r="R71" s="258">
        <v>151587.9506790977</v>
      </c>
      <c r="S71" s="257">
        <v>185163.60544722941</v>
      </c>
      <c r="T71" s="257">
        <v>198539.17</v>
      </c>
      <c r="U71" s="259">
        <v>208995.06</v>
      </c>
      <c r="V71" s="244"/>
      <c r="W71" s="258">
        <v>336751.55612632714</v>
      </c>
      <c r="X71" s="259">
        <v>407534.23</v>
      </c>
      <c r="Y71" s="244"/>
      <c r="Z71" s="244"/>
      <c r="AA71" s="244"/>
      <c r="AB71" s="257">
        <v>460150.67283654131</v>
      </c>
      <c r="AC71" s="258"/>
    </row>
    <row r="72" spans="1:30" ht="16.5" customHeight="1" x14ac:dyDescent="0.2">
      <c r="A72" s="486" t="s">
        <v>125</v>
      </c>
      <c r="B72" s="487"/>
      <c r="C72" s="495" t="s">
        <v>131</v>
      </c>
      <c r="D72" s="242" t="s">
        <v>121</v>
      </c>
      <c r="E72" s="260">
        <v>350816.62542000005</v>
      </c>
      <c r="F72" s="260">
        <v>352202.82542000001</v>
      </c>
      <c r="G72" s="260">
        <v>350569.62542000005</v>
      </c>
      <c r="H72" s="261">
        <v>369627.58742</v>
      </c>
      <c r="I72" s="261">
        <v>370734.31542</v>
      </c>
      <c r="J72" s="261">
        <v>369375.23541999998</v>
      </c>
      <c r="K72" s="261">
        <v>373218.94042</v>
      </c>
      <c r="L72" s="261">
        <v>377800.23541999998</v>
      </c>
      <c r="M72" s="261">
        <v>375964.81542</v>
      </c>
      <c r="N72" s="261">
        <v>362202.75880000001</v>
      </c>
      <c r="O72" s="261">
        <v>364945.20062000002</v>
      </c>
      <c r="P72" s="261">
        <v>364608.74922</v>
      </c>
      <c r="Q72" s="244"/>
      <c r="R72" s="245">
        <v>1053589.07626</v>
      </c>
      <c r="S72" s="253">
        <v>1109737.1382599999</v>
      </c>
      <c r="T72" s="253">
        <v>1126983.99126</v>
      </c>
      <c r="U72" s="254">
        <v>1091756.7086399999</v>
      </c>
      <c r="V72" s="244"/>
      <c r="W72" s="245">
        <v>2163326.2145199999</v>
      </c>
      <c r="X72" s="254">
        <v>2218740.6998999999</v>
      </c>
      <c r="Y72" s="244"/>
      <c r="Z72" s="244"/>
      <c r="AA72" s="244"/>
      <c r="AB72" s="253">
        <v>3712035.9493</v>
      </c>
      <c r="AC72" s="245"/>
    </row>
    <row r="73" spans="1:30" ht="16.5" customHeight="1" x14ac:dyDescent="0.2">
      <c r="A73" s="486"/>
      <c r="B73" s="487"/>
      <c r="C73" s="496"/>
      <c r="D73" s="247" t="s">
        <v>122</v>
      </c>
      <c r="E73" s="271">
        <v>346285.61209000001</v>
      </c>
      <c r="F73" s="271">
        <v>348853.45300000004</v>
      </c>
      <c r="G73" s="271">
        <v>342555.30299999996</v>
      </c>
      <c r="H73" s="296">
        <v>380299.42599999998</v>
      </c>
      <c r="I73" s="296">
        <v>378425.41699999996</v>
      </c>
      <c r="J73" s="296">
        <v>373397.25175</v>
      </c>
      <c r="K73" s="296">
        <v>386847.14674999996</v>
      </c>
      <c r="L73" s="296">
        <v>388230.13274999999</v>
      </c>
      <c r="M73" s="296">
        <v>391729.67775000003</v>
      </c>
      <c r="N73" s="296">
        <v>381074.97024999995</v>
      </c>
      <c r="O73" s="296">
        <v>376449.63424999994</v>
      </c>
      <c r="P73" s="296">
        <v>375866.39524999994</v>
      </c>
      <c r="Q73" s="244"/>
      <c r="R73" s="250">
        <v>1037694.36809</v>
      </c>
      <c r="S73" s="251">
        <v>1132122.0947499999</v>
      </c>
      <c r="T73" s="251">
        <v>1166806.95725</v>
      </c>
      <c r="U73" s="252">
        <v>1133390.99975</v>
      </c>
      <c r="V73" s="244"/>
      <c r="W73" s="250">
        <v>2169816.4628400002</v>
      </c>
      <c r="X73" s="252">
        <v>2300197.9569999999</v>
      </c>
      <c r="Y73" s="244"/>
      <c r="Z73" s="244"/>
      <c r="AA73" s="244"/>
      <c r="AB73" s="251">
        <v>3549259.3422372998</v>
      </c>
      <c r="AC73" s="250"/>
    </row>
    <row r="74" spans="1:30" ht="16.5" customHeight="1" x14ac:dyDescent="0.2">
      <c r="A74" s="486"/>
      <c r="B74" s="487"/>
      <c r="C74" s="495" t="s">
        <v>139</v>
      </c>
      <c r="D74" s="242" t="s">
        <v>121</v>
      </c>
      <c r="E74" s="260">
        <v>52833.864337488936</v>
      </c>
      <c r="F74" s="260">
        <v>56431.397111260187</v>
      </c>
      <c r="G74" s="260">
        <v>46833.175200960031</v>
      </c>
      <c r="H74" s="261">
        <v>71963.730989540752</v>
      </c>
      <c r="I74" s="261">
        <v>72233.431577207695</v>
      </c>
      <c r="J74" s="261">
        <v>67576.795127174031</v>
      </c>
      <c r="K74" s="261">
        <v>75662.601209144108</v>
      </c>
      <c r="L74" s="261">
        <v>77672.155749973375</v>
      </c>
      <c r="M74" s="261">
        <v>74240.515597144069</v>
      </c>
      <c r="N74" s="261">
        <v>72119.551707085193</v>
      </c>
      <c r="O74" s="261">
        <v>73818.762946031042</v>
      </c>
      <c r="P74" s="261">
        <v>73315.000581055108</v>
      </c>
      <c r="Q74" s="244"/>
      <c r="R74" s="245">
        <v>156098.43664970915</v>
      </c>
      <c r="S74" s="253">
        <v>211773.95769392248</v>
      </c>
      <c r="T74" s="253">
        <v>227575.27255626157</v>
      </c>
      <c r="U74" s="254">
        <v>219253.31523417134</v>
      </c>
      <c r="V74" s="244"/>
      <c r="W74" s="245">
        <v>367872.39434363163</v>
      </c>
      <c r="X74" s="254">
        <v>446828.58779043291</v>
      </c>
      <c r="Y74" s="244"/>
      <c r="Z74" s="244"/>
      <c r="AA74" s="244"/>
      <c r="AB74" s="253">
        <v>519392.90842354152</v>
      </c>
      <c r="AC74" s="245"/>
    </row>
    <row r="75" spans="1:30" ht="16.5" customHeight="1" x14ac:dyDescent="0.2">
      <c r="A75" s="486"/>
      <c r="B75" s="487"/>
      <c r="C75" s="498"/>
      <c r="D75" s="255" t="s">
        <v>122</v>
      </c>
      <c r="E75" s="274">
        <v>44776.268379691472</v>
      </c>
      <c r="F75" s="274">
        <v>41242.276224569119</v>
      </c>
      <c r="G75" s="274">
        <v>43598.149074837122</v>
      </c>
      <c r="H75" s="274">
        <v>64308.295191196543</v>
      </c>
      <c r="I75" s="274">
        <v>51970.205256032859</v>
      </c>
      <c r="J75" s="274">
        <v>47977.919999999998</v>
      </c>
      <c r="K75" s="274">
        <v>62843.89</v>
      </c>
      <c r="L75" s="274">
        <v>58348.27</v>
      </c>
      <c r="M75" s="274">
        <v>57568.01</v>
      </c>
      <c r="N75" s="274">
        <v>64283.270000000004</v>
      </c>
      <c r="O75" s="274">
        <v>61835.119999999995</v>
      </c>
      <c r="P75" s="274">
        <v>63097.67</v>
      </c>
      <c r="Q75" s="244"/>
      <c r="R75" s="258">
        <v>129616.69367909772</v>
      </c>
      <c r="S75" s="257">
        <v>164256.42044722941</v>
      </c>
      <c r="T75" s="257">
        <v>178760.17</v>
      </c>
      <c r="U75" s="259">
        <v>189216.06</v>
      </c>
      <c r="V75" s="244"/>
      <c r="W75" s="258">
        <v>293873.1141263271</v>
      </c>
      <c r="X75" s="259">
        <v>367976.23</v>
      </c>
      <c r="Y75" s="244"/>
      <c r="Z75" s="244"/>
      <c r="AA75" s="244"/>
      <c r="AB75" s="257">
        <v>377090.3968365413</v>
      </c>
      <c r="AC75" s="258"/>
    </row>
    <row r="76" spans="1:30" ht="16.5" customHeight="1" x14ac:dyDescent="0.2">
      <c r="A76" s="486"/>
      <c r="B76" s="487"/>
      <c r="C76" s="496"/>
      <c r="D76" s="275" t="s">
        <v>126</v>
      </c>
      <c r="E76" s="276">
        <v>0.12930444354717824</v>
      </c>
      <c r="F76" s="276">
        <v>0.11822235345501687</v>
      </c>
      <c r="G76" s="276">
        <v>0.12727331526622762</v>
      </c>
      <c r="H76" s="302">
        <v>0.13662909393925823</v>
      </c>
      <c r="I76" s="302">
        <v>0.14561732517031223</v>
      </c>
      <c r="J76" s="302">
        <v>0.12180804702454535</v>
      </c>
      <c r="K76" s="302">
        <v>0.16370331416952608</v>
      </c>
      <c r="L76" s="302">
        <v>0.15543355579474918</v>
      </c>
      <c r="M76" s="302">
        <v>0.16518595264895014</v>
      </c>
      <c r="N76" s="302">
        <v>0.16474259634216951</v>
      </c>
      <c r="O76" s="302">
        <v>0.15667099827976527</v>
      </c>
      <c r="P76" s="302">
        <v>0.17080827339538546</v>
      </c>
      <c r="Q76" s="244"/>
      <c r="R76" s="276">
        <v>0.14815874629587358</v>
      </c>
      <c r="S76" s="276">
        <v>0.19083254078165854</v>
      </c>
      <c r="T76" s="276">
        <v>0.20193301264361879</v>
      </c>
      <c r="U76" s="276">
        <v>0.20082616712957502</v>
      </c>
      <c r="V76" s="244"/>
      <c r="W76" s="276">
        <v>0.17004943215429735</v>
      </c>
      <c r="X76" s="276">
        <v>0.20138837666365059</v>
      </c>
      <c r="Y76" s="244"/>
      <c r="Z76" s="244"/>
      <c r="AA76" s="244"/>
      <c r="AB76" s="276">
        <v>0.13992130343497519</v>
      </c>
      <c r="AC76" s="258"/>
    </row>
    <row r="77" spans="1:30" s="285" customFormat="1" ht="16.5" customHeight="1" x14ac:dyDescent="0.2">
      <c r="A77" s="490" t="s">
        <v>127</v>
      </c>
      <c r="B77" s="277"/>
      <c r="C77" s="495" t="s">
        <v>131</v>
      </c>
      <c r="D77" s="278" t="s">
        <v>121</v>
      </c>
      <c r="E77" s="279">
        <v>132526.391</v>
      </c>
      <c r="F77" s="279">
        <v>154076.27100000001</v>
      </c>
      <c r="G77" s="279">
        <v>146437.74100000001</v>
      </c>
      <c r="H77" s="280">
        <v>150904.03100000002</v>
      </c>
      <c r="I77" s="280">
        <v>143869.35500000001</v>
      </c>
      <c r="J77" s="280">
        <v>154651.291</v>
      </c>
      <c r="K77" s="280">
        <v>152369.52500000002</v>
      </c>
      <c r="L77" s="280">
        <v>151521.541</v>
      </c>
      <c r="M77" s="280">
        <v>145337.10500000001</v>
      </c>
      <c r="N77" s="280">
        <v>151090.68099999998</v>
      </c>
      <c r="O77" s="280">
        <v>147312.755</v>
      </c>
      <c r="P77" s="280">
        <v>148999.141</v>
      </c>
      <c r="Q77" s="281"/>
      <c r="R77" s="282">
        <v>433040.40300000005</v>
      </c>
      <c r="S77" s="246">
        <v>449424.67700000003</v>
      </c>
      <c r="T77" s="246">
        <v>449228.17099999997</v>
      </c>
      <c r="U77" s="283">
        <v>447402.57699999999</v>
      </c>
      <c r="V77" s="281"/>
      <c r="W77" s="282">
        <v>882465.08000000007</v>
      </c>
      <c r="X77" s="283">
        <v>896630.74799999991</v>
      </c>
      <c r="Y77" s="281"/>
      <c r="Z77" s="281"/>
      <c r="AA77" s="281"/>
      <c r="AB77" s="246">
        <v>1608163.4063577983</v>
      </c>
      <c r="AC77" s="245"/>
      <c r="AD77" s="284"/>
    </row>
    <row r="78" spans="1:30" ht="16.5" customHeight="1" x14ac:dyDescent="0.2">
      <c r="A78" s="491"/>
      <c r="B78" s="286"/>
      <c r="C78" s="496"/>
      <c r="D78" s="247" t="s">
        <v>122</v>
      </c>
      <c r="E78" s="248">
        <v>153556.11173800004</v>
      </c>
      <c r="F78" s="248">
        <v>156091.94</v>
      </c>
      <c r="G78" s="248">
        <v>164692.12821999998</v>
      </c>
      <c r="H78" s="249">
        <v>175190.03100000002</v>
      </c>
      <c r="I78" s="249">
        <v>170016.272</v>
      </c>
      <c r="J78" s="249">
        <v>208699.63800577997</v>
      </c>
      <c r="K78" s="249">
        <v>232998.55302000002</v>
      </c>
      <c r="L78" s="249">
        <v>234661.49185999998</v>
      </c>
      <c r="M78" s="249">
        <v>226378.39323999998</v>
      </c>
      <c r="N78" s="249">
        <v>214249.82530000003</v>
      </c>
      <c r="O78" s="249">
        <v>216683.60019999999</v>
      </c>
      <c r="P78" s="249">
        <v>217081.80753999998</v>
      </c>
      <c r="Q78" s="244"/>
      <c r="R78" s="250">
        <v>474340.17995799996</v>
      </c>
      <c r="S78" s="251">
        <v>553905.94100578001</v>
      </c>
      <c r="T78" s="251">
        <v>694038.43811999995</v>
      </c>
      <c r="U78" s="252">
        <v>648015.23303999996</v>
      </c>
      <c r="V78" s="244"/>
      <c r="W78" s="250">
        <v>1028246.12096378</v>
      </c>
      <c r="X78" s="252">
        <v>1342053.6711599999</v>
      </c>
      <c r="Y78" s="244"/>
      <c r="Z78" s="244"/>
      <c r="AA78" s="244"/>
      <c r="AB78" s="251">
        <v>1926616.6576538</v>
      </c>
      <c r="AC78" s="250"/>
    </row>
    <row r="79" spans="1:30" ht="16.5" customHeight="1" x14ac:dyDescent="0.2">
      <c r="A79" s="491"/>
      <c r="B79" s="286"/>
      <c r="C79" s="497" t="s">
        <v>124</v>
      </c>
      <c r="D79" s="278" t="s">
        <v>121</v>
      </c>
      <c r="E79" s="266">
        <v>1362.0340000000001</v>
      </c>
      <c r="F79" s="266">
        <v>1822.7840000000001</v>
      </c>
      <c r="G79" s="266">
        <v>2174.2840000000001</v>
      </c>
      <c r="H79" s="303">
        <v>1822.7840000000001</v>
      </c>
      <c r="I79" s="303">
        <v>900.6</v>
      </c>
      <c r="J79" s="303">
        <v>1822.7840000000001</v>
      </c>
      <c r="K79" s="303">
        <v>1777.45</v>
      </c>
      <c r="L79" s="303">
        <v>2319.634</v>
      </c>
      <c r="M79" s="303">
        <v>1397.45</v>
      </c>
      <c r="N79" s="303">
        <v>3127.134</v>
      </c>
      <c r="O79" s="303">
        <v>1801.2</v>
      </c>
      <c r="P79" s="303">
        <v>3127.134</v>
      </c>
      <c r="Q79" s="244"/>
      <c r="R79" s="250">
        <v>5359.1020000000008</v>
      </c>
      <c r="S79" s="251">
        <v>4546.1679999999997</v>
      </c>
      <c r="T79" s="251">
        <v>5494.5339999999997</v>
      </c>
      <c r="U79" s="252">
        <v>8055.4679999999998</v>
      </c>
      <c r="V79" s="244"/>
      <c r="W79" s="250"/>
      <c r="X79" s="252"/>
      <c r="Y79" s="244"/>
      <c r="Z79" s="244"/>
      <c r="AA79" s="244"/>
      <c r="AB79" s="251">
        <v>8827.5730000000003</v>
      </c>
      <c r="AC79" s="250"/>
    </row>
    <row r="80" spans="1:30" ht="16.5" customHeight="1" x14ac:dyDescent="0.2">
      <c r="A80" s="491"/>
      <c r="B80" s="286"/>
      <c r="C80" s="496"/>
      <c r="D80" s="247" t="s">
        <v>122</v>
      </c>
      <c r="E80" s="248">
        <v>487.85738600000002</v>
      </c>
      <c r="F80" s="248">
        <v>1040.325</v>
      </c>
      <c r="G80" s="248">
        <v>151.93778</v>
      </c>
      <c r="H80" s="249">
        <v>927.06100000000004</v>
      </c>
      <c r="I80" s="249">
        <v>2910.2530000000002</v>
      </c>
      <c r="J80" s="249">
        <v>1822.7840000000001</v>
      </c>
      <c r="K80" s="249">
        <v>2042.88</v>
      </c>
      <c r="L80" s="249">
        <v>1642.88</v>
      </c>
      <c r="M80" s="249">
        <v>1424.7</v>
      </c>
      <c r="N80" s="249">
        <v>2008.38</v>
      </c>
      <c r="O80" s="249">
        <v>1424.7</v>
      </c>
      <c r="P80" s="249">
        <v>2008.38</v>
      </c>
      <c r="Q80" s="244"/>
      <c r="R80" s="250">
        <v>1680.1201659999999</v>
      </c>
      <c r="S80" s="251">
        <v>5660.098</v>
      </c>
      <c r="T80" s="251">
        <v>5110.46</v>
      </c>
      <c r="U80" s="252">
        <v>5441.46</v>
      </c>
      <c r="V80" s="244"/>
      <c r="W80" s="250">
        <v>7340.2181659999997</v>
      </c>
      <c r="X80" s="252"/>
      <c r="Y80" s="244"/>
      <c r="Z80" s="244"/>
      <c r="AA80" s="244"/>
      <c r="AB80" s="251">
        <v>13073.0603051</v>
      </c>
      <c r="AC80" s="250"/>
    </row>
    <row r="81" spans="1:30" s="285" customFormat="1" ht="16.5" customHeight="1" x14ac:dyDescent="0.2">
      <c r="A81" s="491"/>
      <c r="B81" s="277"/>
      <c r="C81" s="495" t="s">
        <v>139</v>
      </c>
      <c r="D81" s="278" t="s">
        <v>121</v>
      </c>
      <c r="E81" s="279">
        <v>21898.884527837919</v>
      </c>
      <c r="F81" s="279">
        <v>33116.848888025386</v>
      </c>
      <c r="G81" s="279">
        <v>29077.548788375061</v>
      </c>
      <c r="H81" s="280">
        <v>31857.184733377006</v>
      </c>
      <c r="I81" s="280">
        <v>27910.409444947742</v>
      </c>
      <c r="J81" s="280">
        <v>33387.53857329028</v>
      </c>
      <c r="K81" s="280">
        <v>31002.625682096877</v>
      </c>
      <c r="L81" s="280">
        <v>32194.397699689285</v>
      </c>
      <c r="M81" s="280">
        <v>27528.227989408857</v>
      </c>
      <c r="N81" s="280">
        <v>31981.959433780823</v>
      </c>
      <c r="O81" s="280">
        <v>30009.396899712701</v>
      </c>
      <c r="P81" s="280">
        <v>30547.50425971084</v>
      </c>
      <c r="Q81" s="281"/>
      <c r="R81" s="282">
        <v>84093.282204238363</v>
      </c>
      <c r="S81" s="246">
        <v>93155.13275161502</v>
      </c>
      <c r="T81" s="246">
        <v>90725.251371195016</v>
      </c>
      <c r="U81" s="283">
        <v>92538.860593204357</v>
      </c>
      <c r="V81" s="281"/>
      <c r="W81" s="282">
        <v>177248.41495585337</v>
      </c>
      <c r="X81" s="283">
        <v>183264.11196439937</v>
      </c>
      <c r="Y81" s="281"/>
      <c r="Z81" s="281"/>
      <c r="AA81" s="281"/>
      <c r="AB81" s="246">
        <v>461044.86993641517</v>
      </c>
      <c r="AC81" s="245"/>
      <c r="AD81" s="284"/>
    </row>
    <row r="82" spans="1:30" ht="16.5" customHeight="1" x14ac:dyDescent="0.2">
      <c r="A82" s="491"/>
      <c r="B82" s="287"/>
      <c r="C82" s="498"/>
      <c r="D82" s="255" t="s">
        <v>122</v>
      </c>
      <c r="E82" s="264">
        <v>44855.943831043805</v>
      </c>
      <c r="F82" s="264">
        <v>40652.410181958068</v>
      </c>
      <c r="G82" s="264">
        <v>41353.202115787644</v>
      </c>
      <c r="H82" s="264">
        <v>45589.477525375274</v>
      </c>
      <c r="I82" s="264">
        <v>57510.858778037938</v>
      </c>
      <c r="J82" s="264">
        <v>54222.770955994267</v>
      </c>
      <c r="K82" s="264">
        <v>67404.68049007612</v>
      </c>
      <c r="L82" s="264">
        <v>68738.544660789368</v>
      </c>
      <c r="M82" s="264">
        <v>62152.89719181486</v>
      </c>
      <c r="N82" s="264">
        <v>56420.698570322005</v>
      </c>
      <c r="O82" s="264">
        <v>59387.732974363476</v>
      </c>
      <c r="P82" s="264">
        <v>59942.948417016443</v>
      </c>
      <c r="Q82" s="244">
        <v>69317.386365095692</v>
      </c>
      <c r="R82" s="258">
        <v>126861.55612878951</v>
      </c>
      <c r="S82" s="257">
        <v>157323.10725940746</v>
      </c>
      <c r="T82" s="257">
        <v>198296.12234268035</v>
      </c>
      <c r="U82" s="259">
        <v>175751.37996170192</v>
      </c>
      <c r="V82" s="244"/>
      <c r="W82" s="258">
        <v>284184.66338819696</v>
      </c>
      <c r="X82" s="259">
        <v>374047.50230438227</v>
      </c>
      <c r="Y82" s="244"/>
      <c r="Z82" s="244"/>
      <c r="AA82" s="244"/>
      <c r="AB82" s="257">
        <v>473173.03103518172</v>
      </c>
      <c r="AC82" s="258"/>
    </row>
    <row r="83" spans="1:30" ht="16.5" customHeight="1" x14ac:dyDescent="0.2">
      <c r="A83" s="491"/>
      <c r="B83" s="287"/>
      <c r="C83" s="496"/>
      <c r="D83" s="275" t="s">
        <v>126</v>
      </c>
      <c r="E83" s="276">
        <v>0.29118922399965125</v>
      </c>
      <c r="F83" s="276">
        <v>0.25871459424299692</v>
      </c>
      <c r="G83" s="276">
        <v>0.25086254615794085</v>
      </c>
      <c r="H83" s="302">
        <v>0.2688088331597025</v>
      </c>
      <c r="I83" s="302">
        <v>0.26552075223855909</v>
      </c>
      <c r="J83" s="302">
        <v>0.2630428627430188</v>
      </c>
      <c r="K83" s="302">
        <v>0.27642610519885485</v>
      </c>
      <c r="L83" s="302">
        <v>0.2804866289145827</v>
      </c>
      <c r="M83" s="302">
        <v>0.26440014459487093</v>
      </c>
      <c r="N83" s="302">
        <v>0.25701600590468787</v>
      </c>
      <c r="O83" s="302">
        <v>0.26321874372373599</v>
      </c>
      <c r="P83" s="302">
        <v>0.26298722943261427</v>
      </c>
      <c r="Q83" s="244"/>
      <c r="R83" s="276">
        <v>0.19181883475036851</v>
      </c>
      <c r="S83" s="276">
        <v>0.20520069466490742</v>
      </c>
      <c r="T83" s="276">
        <v>0.19951775087015949</v>
      </c>
      <c r="U83" s="276">
        <v>0.20317757389312194</v>
      </c>
      <c r="V83" s="244"/>
      <c r="W83" s="276">
        <v>0.20085601002574896</v>
      </c>
      <c r="X83" s="276">
        <v>0.20439195552147113</v>
      </c>
      <c r="Y83" s="244"/>
      <c r="Z83" s="244"/>
      <c r="AA83" s="244"/>
      <c r="AB83" s="276">
        <v>0.28512519601038405</v>
      </c>
      <c r="AC83" s="258"/>
    </row>
    <row r="84" spans="1:30" ht="16.5" customHeight="1" x14ac:dyDescent="0.2">
      <c r="A84" s="492" t="s">
        <v>128</v>
      </c>
      <c r="B84" s="288"/>
      <c r="C84" s="495" t="s">
        <v>131</v>
      </c>
      <c r="D84" s="278" t="s">
        <v>121</v>
      </c>
      <c r="E84" s="289">
        <v>483343.01642000006</v>
      </c>
      <c r="F84" s="289">
        <v>506279.09642000002</v>
      </c>
      <c r="G84" s="289">
        <v>497007.36642000009</v>
      </c>
      <c r="H84" s="289">
        <v>520531.61842000001</v>
      </c>
      <c r="I84" s="289">
        <v>514603.67041999998</v>
      </c>
      <c r="J84" s="289">
        <v>524026.52642000001</v>
      </c>
      <c r="K84" s="289">
        <v>525588.46542000002</v>
      </c>
      <c r="L84" s="289">
        <v>529321.77642000001</v>
      </c>
      <c r="M84" s="289">
        <v>521301.92041999998</v>
      </c>
      <c r="N84" s="289">
        <v>513293.43979999999</v>
      </c>
      <c r="O84" s="289">
        <v>512257.95562000002</v>
      </c>
      <c r="P84" s="289">
        <v>513607.89022</v>
      </c>
      <c r="Q84" s="281"/>
      <c r="R84" s="282">
        <v>1486629.4792600002</v>
      </c>
      <c r="S84" s="246">
        <v>1559161.8152600001</v>
      </c>
      <c r="T84" s="246">
        <v>1576212.1622600001</v>
      </c>
      <c r="U84" s="283">
        <v>1539159.2856399999</v>
      </c>
      <c r="V84" s="281"/>
      <c r="W84" s="282">
        <v>3045791.29452</v>
      </c>
      <c r="X84" s="283">
        <v>3115371.4479</v>
      </c>
      <c r="Y84" s="281"/>
      <c r="Z84" s="281"/>
      <c r="AA84" s="281"/>
      <c r="AB84" s="246">
        <v>5320199.3556577982</v>
      </c>
      <c r="AC84" s="245"/>
      <c r="AD84" s="221"/>
    </row>
    <row r="85" spans="1:30" ht="16.5" customHeight="1" x14ac:dyDescent="0.2">
      <c r="A85" s="493"/>
      <c r="B85" s="286"/>
      <c r="C85" s="496"/>
      <c r="D85" s="247" t="s">
        <v>122</v>
      </c>
      <c r="E85" s="248">
        <v>499841.72382800002</v>
      </c>
      <c r="F85" s="248">
        <v>504945.39300000004</v>
      </c>
      <c r="G85" s="248">
        <v>507247.43121999991</v>
      </c>
      <c r="H85" s="248">
        <v>555489.45699999994</v>
      </c>
      <c r="I85" s="248">
        <v>548441.68900000001</v>
      </c>
      <c r="J85" s="248">
        <v>582096.88975577999</v>
      </c>
      <c r="K85" s="248">
        <v>619845.69976999995</v>
      </c>
      <c r="L85" s="248">
        <v>622891.62460999994</v>
      </c>
      <c r="M85" s="248">
        <v>618108.07099000004</v>
      </c>
      <c r="N85" s="248">
        <v>595324.79554999992</v>
      </c>
      <c r="O85" s="248">
        <v>593133.23444999987</v>
      </c>
      <c r="P85" s="248">
        <v>592948.20278999989</v>
      </c>
      <c r="Q85" s="244"/>
      <c r="R85" s="250">
        <v>1512034.5480479999</v>
      </c>
      <c r="S85" s="251">
        <v>1686028.0357557801</v>
      </c>
      <c r="T85" s="252">
        <v>1860845.39537</v>
      </c>
      <c r="U85" s="252">
        <v>1781406.2327899998</v>
      </c>
      <c r="V85" s="244"/>
      <c r="W85" s="250">
        <v>3198062.5838037799</v>
      </c>
      <c r="X85" s="252">
        <v>3642251.6281599998</v>
      </c>
      <c r="Y85" s="244"/>
      <c r="Z85" s="244"/>
      <c r="AA85" s="244"/>
      <c r="AB85" s="251">
        <v>5475875.9998910995</v>
      </c>
      <c r="AC85" s="250"/>
    </row>
    <row r="86" spans="1:30" ht="16.5" customHeight="1" x14ac:dyDescent="0.2">
      <c r="A86" s="493"/>
      <c r="B86" s="277"/>
      <c r="C86" s="495" t="s">
        <v>139</v>
      </c>
      <c r="D86" s="278" t="s">
        <v>121</v>
      </c>
      <c r="E86" s="279">
        <v>74732.748865326852</v>
      </c>
      <c r="F86" s="279">
        <v>89548.245999285573</v>
      </c>
      <c r="G86" s="279">
        <v>75910.723989335092</v>
      </c>
      <c r="H86" s="279">
        <v>103820.91572291777</v>
      </c>
      <c r="I86" s="279">
        <v>100143.84102215544</v>
      </c>
      <c r="J86" s="279">
        <v>100964.33370046431</v>
      </c>
      <c r="K86" s="279">
        <v>106665.22689124098</v>
      </c>
      <c r="L86" s="279">
        <v>109866.55344966266</v>
      </c>
      <c r="M86" s="279">
        <v>101768.74358655293</v>
      </c>
      <c r="N86" s="279">
        <v>104101.51114086602</v>
      </c>
      <c r="O86" s="279">
        <v>103828.15984574374</v>
      </c>
      <c r="P86" s="279">
        <v>103862.50484076595</v>
      </c>
      <c r="Q86" s="281"/>
      <c r="R86" s="282">
        <v>240191.7188539475</v>
      </c>
      <c r="S86" s="246">
        <v>304929.09044553747</v>
      </c>
      <c r="T86" s="246">
        <v>318300.52392745658</v>
      </c>
      <c r="U86" s="283">
        <v>311792.17582737573</v>
      </c>
      <c r="V86" s="281"/>
      <c r="W86" s="282">
        <v>545120.80929948494</v>
      </c>
      <c r="X86" s="283">
        <v>630092.69975483231</v>
      </c>
      <c r="Y86" s="281"/>
      <c r="Z86" s="281"/>
      <c r="AA86" s="281"/>
      <c r="AB86" s="246">
        <v>980437.77835995669</v>
      </c>
      <c r="AC86" s="245"/>
    </row>
    <row r="87" spans="1:30" ht="16.5" customHeight="1" x14ac:dyDescent="0.2">
      <c r="A87" s="494"/>
      <c r="B87" s="287"/>
      <c r="C87" s="496"/>
      <c r="D87" s="255" t="s">
        <v>122</v>
      </c>
      <c r="E87" s="256">
        <v>89632.212210735277</v>
      </c>
      <c r="F87" s="256">
        <v>81894.68640652718</v>
      </c>
      <c r="G87" s="256">
        <v>84951.351190624759</v>
      </c>
      <c r="H87" s="256">
        <v>109897.77271657181</v>
      </c>
      <c r="I87" s="256">
        <v>109481.06403407079</v>
      </c>
      <c r="J87" s="256">
        <v>102200.69095599427</v>
      </c>
      <c r="K87" s="256">
        <v>130248.57049007612</v>
      </c>
      <c r="L87" s="256">
        <v>127086.81466078936</v>
      </c>
      <c r="M87" s="256">
        <v>119720.90719181485</v>
      </c>
      <c r="N87" s="256">
        <v>120703.968570322</v>
      </c>
      <c r="O87" s="256">
        <v>121222.85297436347</v>
      </c>
      <c r="P87" s="256">
        <v>123040.61841701643</v>
      </c>
      <c r="Q87" s="244"/>
      <c r="R87" s="258">
        <v>256478.24980788722</v>
      </c>
      <c r="S87" s="257">
        <v>321579.52770663687</v>
      </c>
      <c r="T87" s="257">
        <v>377056.29234268033</v>
      </c>
      <c r="U87" s="259">
        <v>364967.43996170186</v>
      </c>
      <c r="V87" s="244"/>
      <c r="W87" s="258">
        <v>578057.77751452406</v>
      </c>
      <c r="X87" s="259">
        <v>742023.73230438214</v>
      </c>
      <c r="Y87" s="244"/>
      <c r="Z87" s="244"/>
      <c r="AA87" s="244"/>
      <c r="AB87" s="257">
        <v>850263.42787172296</v>
      </c>
      <c r="AC87" s="258"/>
    </row>
    <row r="89" spans="1:30" x14ac:dyDescent="0.2">
      <c r="D89" s="222" t="s">
        <v>0</v>
      </c>
      <c r="E89" s="291">
        <f>+E86/E84</f>
        <v>0.15461638283067269</v>
      </c>
      <c r="F89" s="291">
        <f t="shared" ref="F89:X89" si="9">+F86/F84</f>
        <v>0.17687525839502163</v>
      </c>
      <c r="G89" s="291">
        <f t="shared" si="9"/>
        <v>0.15273561141785194</v>
      </c>
      <c r="H89" s="291">
        <f t="shared" si="9"/>
        <v>0.19945169908804281</v>
      </c>
      <c r="I89" s="291">
        <f t="shared" si="9"/>
        <v>0.19460382188961425</v>
      </c>
      <c r="J89" s="291">
        <f t="shared" si="9"/>
        <v>0.19267027261048</v>
      </c>
      <c r="K89" s="291">
        <f t="shared" si="9"/>
        <v>0.20294438312302826</v>
      </c>
      <c r="L89" s="291">
        <f t="shared" si="9"/>
        <v>0.20756099284773624</v>
      </c>
      <c r="M89" s="291">
        <f t="shared" si="9"/>
        <v>0.19522035043446681</v>
      </c>
      <c r="N89" s="291">
        <f t="shared" si="9"/>
        <v>0.20281091295736839</v>
      </c>
      <c r="O89" s="291">
        <f t="shared" si="9"/>
        <v>0.20268725689204306</v>
      </c>
      <c r="P89" s="291">
        <f t="shared" si="9"/>
        <v>0.20222139655268387</v>
      </c>
      <c r="Q89" s="291"/>
      <c r="R89" s="291">
        <f t="shared" si="9"/>
        <v>0.16156797790227312</v>
      </c>
      <c r="S89" s="291">
        <f t="shared" si="9"/>
        <v>0.19557244633693688</v>
      </c>
      <c r="T89" s="291">
        <f t="shared" si="9"/>
        <v>0.20194015218806066</v>
      </c>
      <c r="U89" s="291">
        <f t="shared" si="9"/>
        <v>0.20257304018909844</v>
      </c>
      <c r="V89" s="291"/>
      <c r="W89" s="291">
        <f t="shared" si="9"/>
        <v>0.17897510255553903</v>
      </c>
      <c r="X89" s="291">
        <f t="shared" si="9"/>
        <v>0.20225283254090398</v>
      </c>
      <c r="Y89" s="291"/>
      <c r="Z89" s="291"/>
      <c r="AA89" s="291"/>
      <c r="AB89" s="291">
        <v>0.18428590975962286</v>
      </c>
      <c r="AC89" s="291" t="e">
        <v>#DIV/0!</v>
      </c>
    </row>
    <row r="90" spans="1:30" x14ac:dyDescent="0.2">
      <c r="D90" s="222" t="s">
        <v>129</v>
      </c>
      <c r="E90" s="291">
        <f>+E87/E85</f>
        <v>0.17932118896416602</v>
      </c>
      <c r="F90" s="291">
        <f t="shared" ref="F90:X90" si="10">+F87/F85</f>
        <v>0.16218523337735882</v>
      </c>
      <c r="G90" s="291">
        <f t="shared" si="10"/>
        <v>0.16747517278954979</v>
      </c>
      <c r="H90" s="291">
        <f t="shared" si="10"/>
        <v>0.19783952932264531</v>
      </c>
      <c r="I90" s="291">
        <f t="shared" si="10"/>
        <v>0.19962206781488995</v>
      </c>
      <c r="J90" s="291">
        <f t="shared" si="10"/>
        <v>0.17557333281556065</v>
      </c>
      <c r="K90" s="291">
        <f t="shared" si="10"/>
        <v>0.2101306349925573</v>
      </c>
      <c r="L90" s="291">
        <f t="shared" si="10"/>
        <v>0.20402716883592706</v>
      </c>
      <c r="M90" s="291">
        <f t="shared" si="10"/>
        <v>0.19368927993459537</v>
      </c>
      <c r="N90" s="291">
        <f t="shared" si="10"/>
        <v>0.20275313488128408</v>
      </c>
      <c r="O90" s="291">
        <f t="shared" si="10"/>
        <v>0.20437710438999579</v>
      </c>
      <c r="P90" s="291">
        <f t="shared" si="10"/>
        <v>0.20750652053260851</v>
      </c>
      <c r="Q90" s="291"/>
      <c r="R90" s="291">
        <f t="shared" si="10"/>
        <v>0.16962459630237581</v>
      </c>
      <c r="S90" s="291">
        <f t="shared" si="10"/>
        <v>0.1907320168389047</v>
      </c>
      <c r="T90" s="291">
        <f t="shared" si="10"/>
        <v>0.20262634030792687</v>
      </c>
      <c r="U90" s="291">
        <f t="shared" si="10"/>
        <v>0.20487603177973493</v>
      </c>
      <c r="V90" s="291"/>
      <c r="W90" s="291">
        <f t="shared" si="10"/>
        <v>0.1807524907242376</v>
      </c>
      <c r="X90" s="291">
        <f t="shared" si="10"/>
        <v>0.20372665264734585</v>
      </c>
      <c r="AB90" s="291">
        <v>0.15527441232939396</v>
      </c>
      <c r="AC90" s="291">
        <v>-2.844120306873146E-2</v>
      </c>
    </row>
    <row r="92" spans="1:30" x14ac:dyDescent="0.2">
      <c r="X92" s="294">
        <v>0.20366528266416584</v>
      </c>
    </row>
    <row r="93" spans="1:30" x14ac:dyDescent="0.2">
      <c r="E93" s="295">
        <v>43191</v>
      </c>
      <c r="F93" s="295">
        <v>43221</v>
      </c>
      <c r="G93" s="295">
        <v>43252</v>
      </c>
      <c r="H93" s="295">
        <v>43282</v>
      </c>
      <c r="I93" s="295">
        <v>43313</v>
      </c>
      <c r="J93" s="295">
        <v>43344</v>
      </c>
      <c r="K93" s="295">
        <v>43374</v>
      </c>
      <c r="L93" s="295">
        <v>43405</v>
      </c>
      <c r="M93" s="295">
        <v>43435</v>
      </c>
      <c r="N93" s="295">
        <v>43466</v>
      </c>
      <c r="O93" s="295">
        <v>43497</v>
      </c>
      <c r="P93" s="295">
        <v>43525</v>
      </c>
    </row>
    <row r="94" spans="1:30" ht="16.5" customHeight="1" x14ac:dyDescent="0.2">
      <c r="A94" s="486" t="s">
        <v>130</v>
      </c>
      <c r="B94" s="487"/>
      <c r="C94" s="495" t="s">
        <v>131</v>
      </c>
      <c r="D94" s="242" t="s">
        <v>121</v>
      </c>
      <c r="E94" s="260">
        <v>33836</v>
      </c>
      <c r="F94" s="260">
        <v>34523</v>
      </c>
      <c r="G94" s="260">
        <v>34509</v>
      </c>
      <c r="H94" s="260">
        <v>33803</v>
      </c>
      <c r="I94" s="260">
        <v>33824</v>
      </c>
      <c r="J94" s="260">
        <v>34011</v>
      </c>
      <c r="K94" s="260">
        <v>33449</v>
      </c>
      <c r="L94" s="260">
        <v>38592</v>
      </c>
      <c r="M94" s="260">
        <v>35024</v>
      </c>
      <c r="N94" s="260">
        <v>36422</v>
      </c>
      <c r="O94" s="260">
        <v>34571</v>
      </c>
      <c r="P94" s="260">
        <v>35419</v>
      </c>
      <c r="Q94" s="244"/>
      <c r="R94" s="245">
        <v>102868</v>
      </c>
      <c r="S94" s="253">
        <v>101638</v>
      </c>
      <c r="T94" s="253">
        <v>107065</v>
      </c>
      <c r="U94" s="254">
        <v>106412</v>
      </c>
      <c r="V94" s="244"/>
      <c r="W94" s="245">
        <v>204506</v>
      </c>
      <c r="X94" s="254">
        <v>213477</v>
      </c>
      <c r="Y94" s="244"/>
      <c r="Z94" s="244"/>
      <c r="AA94" s="244"/>
      <c r="AB94" s="253">
        <v>391744.75200000004</v>
      </c>
      <c r="AC94" s="245"/>
    </row>
    <row r="95" spans="1:30" ht="16.5" customHeight="1" x14ac:dyDescent="0.2">
      <c r="A95" s="486"/>
      <c r="B95" s="487"/>
      <c r="C95" s="496"/>
      <c r="D95" s="247" t="s">
        <v>122</v>
      </c>
      <c r="E95" s="248">
        <v>40531.811432999995</v>
      </c>
      <c r="F95" s="248">
        <v>42072.564918800002</v>
      </c>
      <c r="G95" s="248">
        <v>40174.258024999996</v>
      </c>
      <c r="H95" s="249">
        <v>43802.344813499993</v>
      </c>
      <c r="I95" s="249">
        <v>41958.693010989002</v>
      </c>
      <c r="J95" s="249">
        <v>41958.692999999999</v>
      </c>
      <c r="K95" s="249">
        <v>37926.601020728289</v>
      </c>
      <c r="L95" s="249">
        <v>38592</v>
      </c>
      <c r="M95" s="249">
        <v>35024</v>
      </c>
      <c r="N95" s="249">
        <v>36422</v>
      </c>
      <c r="O95" s="249">
        <v>34571</v>
      </c>
      <c r="P95" s="249">
        <v>35419</v>
      </c>
      <c r="Q95" s="244"/>
      <c r="R95" s="250">
        <v>122778.63437679998</v>
      </c>
      <c r="S95" s="251">
        <v>127719.730824489</v>
      </c>
      <c r="T95" s="251">
        <v>111542.6010207283</v>
      </c>
      <c r="U95" s="252">
        <v>106412</v>
      </c>
      <c r="V95" s="244"/>
      <c r="W95" s="250">
        <v>250498.36520128898</v>
      </c>
      <c r="X95" s="252">
        <v>217954.6010207283</v>
      </c>
      <c r="Y95" s="244"/>
      <c r="Z95" s="244"/>
      <c r="AA95" s="244"/>
      <c r="AB95" s="251">
        <v>417809.64804297895</v>
      </c>
      <c r="AC95" s="250"/>
    </row>
    <row r="96" spans="1:30" ht="16.5" customHeight="1" x14ac:dyDescent="0.2">
      <c r="A96" s="486"/>
      <c r="B96" s="487"/>
      <c r="C96" s="495" t="s">
        <v>139</v>
      </c>
      <c r="D96" s="242" t="s">
        <v>121</v>
      </c>
      <c r="E96" s="260">
        <v>4955.2000000000025</v>
      </c>
      <c r="F96" s="260">
        <v>5356.2000000000044</v>
      </c>
      <c r="G96" s="260">
        <v>5420.2</v>
      </c>
      <c r="H96" s="261">
        <v>5000.1999999999971</v>
      </c>
      <c r="I96" s="261">
        <v>5125.2000000000016</v>
      </c>
      <c r="J96" s="261">
        <v>5234.1999999999971</v>
      </c>
      <c r="K96" s="261">
        <v>4620.2</v>
      </c>
      <c r="L96" s="261">
        <v>7371.2000000000044</v>
      </c>
      <c r="M96" s="261">
        <v>6013.199999999998</v>
      </c>
      <c r="N96" s="261">
        <v>6371.199999999998</v>
      </c>
      <c r="O96" s="261">
        <v>5690.2000000000016</v>
      </c>
      <c r="P96" s="261">
        <v>6278.2</v>
      </c>
      <c r="Q96" s="244"/>
      <c r="R96" s="245">
        <v>15731.600000000006</v>
      </c>
      <c r="S96" s="253">
        <v>15359.599999999995</v>
      </c>
      <c r="T96" s="253">
        <v>18004.600000000002</v>
      </c>
      <c r="U96" s="254">
        <v>18339.599999999999</v>
      </c>
      <c r="V96" s="244"/>
      <c r="W96" s="245">
        <v>31091.200000000001</v>
      </c>
      <c r="X96" s="254">
        <v>36344.199999999997</v>
      </c>
      <c r="Y96" s="244"/>
      <c r="Z96" s="244"/>
      <c r="AA96" s="244"/>
      <c r="AB96" s="253">
        <v>83900.461572500004</v>
      </c>
      <c r="AC96" s="245">
        <v>0</v>
      </c>
    </row>
    <row r="97" spans="1:30" ht="16.5" customHeight="1" x14ac:dyDescent="0.2">
      <c r="A97" s="486"/>
      <c r="B97" s="487"/>
      <c r="C97" s="498"/>
      <c r="D97" s="255" t="s">
        <v>122</v>
      </c>
      <c r="E97" s="304">
        <v>9874.9907418006223</v>
      </c>
      <c r="F97" s="304">
        <v>9687.2204297508069</v>
      </c>
      <c r="G97" s="304">
        <v>7938.1784926809069</v>
      </c>
      <c r="H97" s="304">
        <v>10514.303552787798</v>
      </c>
      <c r="I97" s="304">
        <v>7334.6532719770858</v>
      </c>
      <c r="J97" s="304">
        <v>7411.576</v>
      </c>
      <c r="K97" s="304">
        <v>7257.7905728098076</v>
      </c>
      <c r="L97" s="304">
        <v>7371.2000000000044</v>
      </c>
      <c r="M97" s="304">
        <v>6013.199999999998</v>
      </c>
      <c r="N97" s="304">
        <v>6371.199999999998</v>
      </c>
      <c r="O97" s="304">
        <v>5690.2000000000016</v>
      </c>
      <c r="P97" s="304">
        <v>6278.2</v>
      </c>
      <c r="Q97" s="244"/>
      <c r="R97" s="258">
        <v>27500.389664232338</v>
      </c>
      <c r="S97" s="257">
        <v>25260.532824764887</v>
      </c>
      <c r="T97" s="257">
        <v>20642.19057280981</v>
      </c>
      <c r="U97" s="259">
        <v>18339.599999999999</v>
      </c>
      <c r="V97" s="244"/>
      <c r="W97" s="258">
        <v>52760.922488997225</v>
      </c>
      <c r="X97" s="259">
        <v>38981.790572809812</v>
      </c>
      <c r="Y97" s="244"/>
      <c r="Z97" s="244"/>
      <c r="AA97" s="244"/>
      <c r="AB97" s="257">
        <v>78034.88874540331</v>
      </c>
      <c r="AC97" s="258"/>
    </row>
    <row r="98" spans="1:30" ht="16.5" customHeight="1" x14ac:dyDescent="0.2">
      <c r="A98" s="486"/>
      <c r="B98" s="487"/>
      <c r="C98" s="496"/>
      <c r="D98" s="275" t="s">
        <v>126</v>
      </c>
      <c r="E98" s="276">
        <v>0.24363556408339179</v>
      </c>
      <c r="F98" s="276">
        <v>0.2302502937115227</v>
      </c>
      <c r="G98" s="276">
        <v>0.19759365531383472</v>
      </c>
      <c r="H98" s="302">
        <v>0.24259873367897958</v>
      </c>
      <c r="I98" s="302">
        <v>0.19872823816664167</v>
      </c>
      <c r="J98" s="302">
        <v>0.2005615379868958</v>
      </c>
      <c r="K98" s="302">
        <v>0.1913114806074622</v>
      </c>
      <c r="L98" s="302">
        <v>0.19100331674958551</v>
      </c>
      <c r="M98" s="302">
        <v>0.17168798538145266</v>
      </c>
      <c r="N98" s="302">
        <v>0.17492724177694793</v>
      </c>
      <c r="O98" s="302">
        <v>0.16459460241242665</v>
      </c>
      <c r="P98" s="302">
        <v>0.17725514554335242</v>
      </c>
      <c r="Q98" s="244"/>
      <c r="R98" s="276">
        <v>0.15292996850332471</v>
      </c>
      <c r="S98" s="276">
        <v>0.15112064385367671</v>
      </c>
      <c r="T98" s="276">
        <v>0.16816513333021998</v>
      </c>
      <c r="U98" s="276">
        <v>0.17234522422283199</v>
      </c>
      <c r="V98" s="244"/>
      <c r="W98" s="276">
        <v>0.15203074726413895</v>
      </c>
      <c r="X98" s="276">
        <v>0.17024878558345863</v>
      </c>
      <c r="Y98" s="244"/>
      <c r="Z98" s="244"/>
      <c r="AA98" s="244"/>
      <c r="AB98" s="276">
        <v>0.2141712458026751</v>
      </c>
      <c r="AC98" s="258"/>
    </row>
    <row r="99" spans="1:30" s="285" customFormat="1" ht="16.5" customHeight="1" x14ac:dyDescent="0.2">
      <c r="A99" s="490" t="s">
        <v>140</v>
      </c>
      <c r="B99" s="277"/>
      <c r="C99" s="495" t="s">
        <v>131</v>
      </c>
      <c r="D99" s="278" t="s">
        <v>121</v>
      </c>
      <c r="E99" s="289">
        <v>30543.684990128</v>
      </c>
      <c r="F99" s="289">
        <v>31187.041669018501</v>
      </c>
      <c r="G99" s="289">
        <v>30898.281669018499</v>
      </c>
      <c r="H99" s="297">
        <v>28112.593669018501</v>
      </c>
      <c r="I99" s="297">
        <v>28268.723669018498</v>
      </c>
      <c r="J99" s="297">
        <v>28703.041669018501</v>
      </c>
      <c r="K99" s="297">
        <v>29874.191669018503</v>
      </c>
      <c r="L99" s="297">
        <v>30186.503669018501</v>
      </c>
      <c r="M99" s="297">
        <v>30498.789669018501</v>
      </c>
      <c r="N99" s="297">
        <v>28689.493669018499</v>
      </c>
      <c r="O99" s="297">
        <v>28815.423669010503</v>
      </c>
      <c r="P99" s="297">
        <v>28802.101669018499</v>
      </c>
      <c r="Q99" s="281"/>
      <c r="R99" s="282">
        <v>92629.008328165</v>
      </c>
      <c r="S99" s="246">
        <v>85084.359007055493</v>
      </c>
      <c r="T99" s="246">
        <v>90559.485007055511</v>
      </c>
      <c r="U99" s="283">
        <v>86307.019007047493</v>
      </c>
      <c r="V99" s="281"/>
      <c r="W99" s="282">
        <v>177713.36733522051</v>
      </c>
      <c r="X99" s="283">
        <v>176866.504014103</v>
      </c>
      <c r="Y99" s="281"/>
      <c r="Z99" s="281"/>
      <c r="AA99" s="281"/>
      <c r="AB99" s="246">
        <v>352954.85</v>
      </c>
      <c r="AC99" s="245"/>
      <c r="AD99" s="284"/>
    </row>
    <row r="100" spans="1:30" ht="16.5" customHeight="1" x14ac:dyDescent="0.2">
      <c r="A100" s="491"/>
      <c r="B100" s="286"/>
      <c r="C100" s="496"/>
      <c r="D100" s="247" t="s">
        <v>122</v>
      </c>
      <c r="E100" s="248">
        <v>33269.302722</v>
      </c>
      <c r="F100" s="248">
        <v>31767.708668799991</v>
      </c>
      <c r="G100" s="248">
        <v>32903.127125000006</v>
      </c>
      <c r="H100" s="249">
        <v>33950.041693400002</v>
      </c>
      <c r="I100" s="249">
        <v>33796.848351648347</v>
      </c>
      <c r="J100" s="249">
        <v>33796.847999999998</v>
      </c>
      <c r="K100" s="249">
        <v>34547.994672549015</v>
      </c>
      <c r="L100" s="249">
        <v>30186.503669018501</v>
      </c>
      <c r="M100" s="249">
        <v>30498.789669018501</v>
      </c>
      <c r="N100" s="249">
        <v>28689.493669018499</v>
      </c>
      <c r="O100" s="249">
        <v>28815.423669010503</v>
      </c>
      <c r="P100" s="249">
        <v>28802.101669018499</v>
      </c>
      <c r="Q100" s="244"/>
      <c r="R100" s="250">
        <v>97940.138515800005</v>
      </c>
      <c r="S100" s="251">
        <v>101543.73804504835</v>
      </c>
      <c r="T100" s="251">
        <v>95233.288010586024</v>
      </c>
      <c r="U100" s="252">
        <v>86307.019007047493</v>
      </c>
      <c r="V100" s="244"/>
      <c r="W100" s="250">
        <v>199483.87656084835</v>
      </c>
      <c r="X100" s="252">
        <v>181540.30701763352</v>
      </c>
      <c r="Y100" s="244"/>
      <c r="Z100" s="244"/>
      <c r="AA100" s="244"/>
      <c r="AB100" s="251">
        <v>370206.06341307954</v>
      </c>
      <c r="AC100" s="250"/>
    </row>
    <row r="101" spans="1:30" s="285" customFormat="1" ht="16.5" customHeight="1" x14ac:dyDescent="0.2">
      <c r="A101" s="491"/>
      <c r="B101" s="277"/>
      <c r="C101" s="495" t="s">
        <v>139</v>
      </c>
      <c r="D101" s="278" t="s">
        <v>121</v>
      </c>
      <c r="E101" s="289">
        <v>-1284.0099501701388</v>
      </c>
      <c r="F101" s="289">
        <v>-899.10256114957292</v>
      </c>
      <c r="G101" s="289">
        <v>-1032.8597838568865</v>
      </c>
      <c r="H101" s="297">
        <v>-1631.7193684336912</v>
      </c>
      <c r="I101" s="297">
        <v>-1776.985835114353</v>
      </c>
      <c r="J101" s="297">
        <v>-1517.2666563690075</v>
      </c>
      <c r="K101" s="297">
        <v>-1380.8734847792327</v>
      </c>
      <c r="L101" s="297">
        <v>-1176.6972712518502</v>
      </c>
      <c r="M101" s="297">
        <v>-811.39321565369335</v>
      </c>
      <c r="N101" s="297">
        <v>-1381.9678962573616</v>
      </c>
      <c r="O101" s="297">
        <v>-1440.4324961655277</v>
      </c>
      <c r="P101" s="297">
        <v>-1285.8510338989138</v>
      </c>
      <c r="Q101" s="281"/>
      <c r="R101" s="282">
        <v>-3215.972295176598</v>
      </c>
      <c r="S101" s="246">
        <v>-4925.9718599170519</v>
      </c>
      <c r="T101" s="246">
        <v>-3368.9639716847764</v>
      </c>
      <c r="U101" s="283">
        <v>-4108.2514263218027</v>
      </c>
      <c r="V101" s="281"/>
      <c r="W101" s="282">
        <v>-8141.9441550936499</v>
      </c>
      <c r="X101" s="283">
        <v>-7477.2153980065796</v>
      </c>
      <c r="Y101" s="281"/>
      <c r="Z101" s="281"/>
      <c r="AA101" s="281"/>
      <c r="AB101" s="246">
        <v>11850.312875497693</v>
      </c>
      <c r="AC101" s="245"/>
      <c r="AD101" s="284"/>
    </row>
    <row r="102" spans="1:30" ht="16.5" customHeight="1" x14ac:dyDescent="0.2">
      <c r="A102" s="491"/>
      <c r="B102" s="287"/>
      <c r="C102" s="498"/>
      <c r="D102" s="255" t="s">
        <v>122</v>
      </c>
      <c r="E102" s="264">
        <v>1135.9022013805541</v>
      </c>
      <c r="F102" s="264">
        <v>1048.4137019387663</v>
      </c>
      <c r="G102" s="264">
        <v>91.874820630709294</v>
      </c>
      <c r="H102" s="264">
        <v>713.54379899940079</v>
      </c>
      <c r="I102" s="264">
        <v>-71.287067977573727</v>
      </c>
      <c r="J102" s="264">
        <v>5.6360000000000001</v>
      </c>
      <c r="K102" s="264">
        <v>-115.18307231860049</v>
      </c>
      <c r="L102" s="264">
        <v>-1176.6972712518502</v>
      </c>
      <c r="M102" s="264">
        <v>-811.39321565369335</v>
      </c>
      <c r="N102" s="264">
        <v>-1381.9678962573616</v>
      </c>
      <c r="O102" s="264">
        <v>-1440.4324961655277</v>
      </c>
      <c r="P102" s="264">
        <v>-1285.8510338989138</v>
      </c>
      <c r="Q102" s="244"/>
      <c r="R102" s="258">
        <v>2276.1907239500297</v>
      </c>
      <c r="S102" s="257">
        <v>647.89273102182699</v>
      </c>
      <c r="T102" s="257">
        <v>-2103.2735592241443</v>
      </c>
      <c r="U102" s="259">
        <v>-4108.2514263218027</v>
      </c>
      <c r="V102" s="244"/>
      <c r="W102" s="258">
        <v>2924.0834549718566</v>
      </c>
      <c r="X102" s="259">
        <v>-6211.5249855459469</v>
      </c>
      <c r="Y102" s="244"/>
      <c r="Z102" s="244"/>
      <c r="AA102" s="244"/>
      <c r="AB102" s="257">
        <v>-18474.748680134762</v>
      </c>
      <c r="AC102" s="258"/>
    </row>
    <row r="103" spans="1:30" ht="16.5" customHeight="1" x14ac:dyDescent="0.2">
      <c r="A103" s="491"/>
      <c r="B103" s="287"/>
      <c r="C103" s="496"/>
      <c r="D103" s="275" t="s">
        <v>126</v>
      </c>
      <c r="E103" s="276">
        <v>3.4142651286448986E-2</v>
      </c>
      <c r="F103" s="276">
        <v>3.3002496745018456E-2</v>
      </c>
      <c r="G103" s="276">
        <v>2.7922823347967499E-3</v>
      </c>
      <c r="H103" s="302">
        <v>2.7427100355006572E-2</v>
      </c>
      <c r="I103" s="302">
        <v>2.2328063196761856E-3</v>
      </c>
      <c r="J103" s="302">
        <v>4.508852423160882E-3</v>
      </c>
      <c r="K103" s="302">
        <v>-3.4275336155183823E-3</v>
      </c>
      <c r="L103" s="302">
        <v>-3.898090630679886E-2</v>
      </c>
      <c r="M103" s="302">
        <v>-2.6604111981464257E-2</v>
      </c>
      <c r="N103" s="302">
        <v>-4.8169825239883376E-2</v>
      </c>
      <c r="O103" s="302">
        <v>-4.9988246319440321E-2</v>
      </c>
      <c r="P103" s="302">
        <v>-4.4644347439480869E-2</v>
      </c>
      <c r="Q103" s="244"/>
      <c r="R103" s="276">
        <v>-3.471884621481737E-2</v>
      </c>
      <c r="S103" s="276">
        <v>-5.7895151557862394E-2</v>
      </c>
      <c r="T103" s="276">
        <v>-3.7201668841450451E-2</v>
      </c>
      <c r="U103" s="276">
        <v>-4.7600432428170636E-2</v>
      </c>
      <c r="V103" s="244"/>
      <c r="W103" s="276">
        <v>-4.5815035059999232E-2</v>
      </c>
      <c r="X103" s="276">
        <v>-4.2276039997999622E-2</v>
      </c>
      <c r="Y103" s="244"/>
      <c r="Z103" s="244"/>
      <c r="AA103" s="244"/>
      <c r="AB103" s="276">
        <v>3.357458574516739E-2</v>
      </c>
      <c r="AC103" s="258"/>
    </row>
    <row r="104" spans="1:30" ht="16.5" customHeight="1" x14ac:dyDescent="0.2">
      <c r="A104" s="492" t="s">
        <v>141</v>
      </c>
      <c r="B104" s="288"/>
      <c r="C104" s="495" t="s">
        <v>131</v>
      </c>
      <c r="D104" s="278" t="s">
        <v>121</v>
      </c>
      <c r="E104" s="289">
        <v>547722.70141012804</v>
      </c>
      <c r="F104" s="289">
        <v>571989.13808901852</v>
      </c>
      <c r="G104" s="289">
        <v>562414.64808901865</v>
      </c>
      <c r="H104" s="289">
        <v>582447.21208901855</v>
      </c>
      <c r="I104" s="289">
        <v>576696.39408901846</v>
      </c>
      <c r="J104" s="289">
        <v>586740.56808901846</v>
      </c>
      <c r="K104" s="289">
        <v>588911.6570890185</v>
      </c>
      <c r="L104" s="289">
        <v>598100.28008901852</v>
      </c>
      <c r="M104" s="289">
        <v>586824.71008901845</v>
      </c>
      <c r="N104" s="289">
        <v>578404.93346901843</v>
      </c>
      <c r="O104" s="289">
        <v>575644.37928901054</v>
      </c>
      <c r="P104" s="289">
        <v>577828.99188901845</v>
      </c>
      <c r="Q104" s="289"/>
      <c r="R104" s="282">
        <v>1682126.4875881653</v>
      </c>
      <c r="S104" s="246">
        <v>1745884.1742670555</v>
      </c>
      <c r="T104" s="246">
        <v>1773836.6472670557</v>
      </c>
      <c r="U104" s="283">
        <v>1731878.3046470475</v>
      </c>
      <c r="V104" s="281"/>
      <c r="W104" s="282">
        <v>3428010.6618552208</v>
      </c>
      <c r="X104" s="283">
        <v>3505714.9519141032</v>
      </c>
      <c r="Y104" s="281"/>
      <c r="Z104" s="281"/>
      <c r="AA104" s="281"/>
      <c r="AB104" s="246">
        <v>6064898.9576577973</v>
      </c>
      <c r="AC104" s="245"/>
      <c r="AD104" s="221"/>
    </row>
    <row r="105" spans="1:30" ht="16.5" customHeight="1" x14ac:dyDescent="0.2">
      <c r="A105" s="493"/>
      <c r="B105" s="286"/>
      <c r="C105" s="496"/>
      <c r="D105" s="247" t="s">
        <v>122</v>
      </c>
      <c r="E105" s="271">
        <v>573642.83798299998</v>
      </c>
      <c r="F105" s="271">
        <v>578785.66658760002</v>
      </c>
      <c r="G105" s="271">
        <v>580324.8163699999</v>
      </c>
      <c r="H105" s="271">
        <v>633241.8435068999</v>
      </c>
      <c r="I105" s="271">
        <v>624197.23036263732</v>
      </c>
      <c r="J105" s="271">
        <v>657852.43075577996</v>
      </c>
      <c r="K105" s="271">
        <v>692320.29546327726</v>
      </c>
      <c r="L105" s="271">
        <v>691670.12827901845</v>
      </c>
      <c r="M105" s="271">
        <v>683630.86065901851</v>
      </c>
      <c r="N105" s="271">
        <v>660436.28921901842</v>
      </c>
      <c r="O105" s="271">
        <v>656519.65811901039</v>
      </c>
      <c r="P105" s="271">
        <v>657169.3044590184</v>
      </c>
      <c r="Q105" s="244"/>
      <c r="R105" s="250">
        <v>1732753.3209406</v>
      </c>
      <c r="S105" s="251">
        <v>1915291.5046253172</v>
      </c>
      <c r="T105" s="252">
        <v>2067621.2844013143</v>
      </c>
      <c r="U105" s="252">
        <v>1974125.2517970472</v>
      </c>
      <c r="V105" s="244"/>
      <c r="W105" s="250">
        <v>3648044.8255659174</v>
      </c>
      <c r="X105" s="252">
        <v>4041746.5361983618</v>
      </c>
      <c r="Y105" s="244"/>
      <c r="Z105" s="244"/>
      <c r="AA105" s="244"/>
      <c r="AB105" s="251">
        <v>6263891.711347159</v>
      </c>
      <c r="AC105" s="250"/>
    </row>
    <row r="106" spans="1:30" ht="16.5" customHeight="1" x14ac:dyDescent="0.2">
      <c r="A106" s="493"/>
      <c r="B106" s="277"/>
      <c r="C106" s="495" t="s">
        <v>139</v>
      </c>
      <c r="D106" s="278" t="s">
        <v>121</v>
      </c>
      <c r="E106" s="289">
        <v>78403.938915156716</v>
      </c>
      <c r="F106" s="289">
        <v>94005.343438135998</v>
      </c>
      <c r="G106" s="289">
        <v>80298.064205478207</v>
      </c>
      <c r="H106" s="289">
        <v>107189.39635448407</v>
      </c>
      <c r="I106" s="289">
        <v>103492.05518704109</v>
      </c>
      <c r="J106" s="289">
        <v>104681.26704409529</v>
      </c>
      <c r="K106" s="289">
        <v>109904.55340646174</v>
      </c>
      <c r="L106" s="289">
        <v>116061.05617841081</v>
      </c>
      <c r="M106" s="289">
        <v>106970.55037089923</v>
      </c>
      <c r="N106" s="289">
        <v>109090.74324460865</v>
      </c>
      <c r="O106" s="289">
        <v>108077.92734957821</v>
      </c>
      <c r="P106" s="289">
        <v>108854.85380686703</v>
      </c>
      <c r="Q106" s="281"/>
      <c r="R106" s="282">
        <v>252707.34655877092</v>
      </c>
      <c r="S106" s="246">
        <v>315362.7185856204</v>
      </c>
      <c r="T106" s="246">
        <v>332936.15995577176</v>
      </c>
      <c r="U106" s="283">
        <v>326023.5244010539</v>
      </c>
      <c r="V106" s="281"/>
      <c r="W106" s="282">
        <v>568070.06514439126</v>
      </c>
      <c r="X106" s="283">
        <v>658959.68435682566</v>
      </c>
      <c r="Y106" s="281"/>
      <c r="Z106" s="281"/>
      <c r="AA106" s="281"/>
      <c r="AB106" s="246">
        <v>1076188.5528079544</v>
      </c>
      <c r="AC106" s="245"/>
    </row>
    <row r="107" spans="1:30" ht="16.5" customHeight="1" x14ac:dyDescent="0.2">
      <c r="A107" s="493"/>
      <c r="B107" s="287"/>
      <c r="C107" s="498"/>
      <c r="D107" s="255" t="s">
        <v>122</v>
      </c>
      <c r="E107" s="274">
        <v>100643.10515391645</v>
      </c>
      <c r="F107" s="274">
        <v>92630.320538216751</v>
      </c>
      <c r="G107" s="274">
        <v>92981.40450393637</v>
      </c>
      <c r="H107" s="274">
        <v>121125.62006835901</v>
      </c>
      <c r="I107" s="274">
        <v>116744.4302380703</v>
      </c>
      <c r="J107" s="274">
        <v>109617.90295599427</v>
      </c>
      <c r="K107" s="274">
        <v>137391.17799056732</v>
      </c>
      <c r="L107" s="274">
        <v>133281.31738953752</v>
      </c>
      <c r="M107" s="274">
        <v>124922.71397616116</v>
      </c>
      <c r="N107" s="274">
        <v>125693.20067406463</v>
      </c>
      <c r="O107" s="274">
        <v>125472.62047819795</v>
      </c>
      <c r="P107" s="274">
        <v>128032.96738311752</v>
      </c>
      <c r="Q107" s="244"/>
      <c r="R107" s="258">
        <v>286254.83019606955</v>
      </c>
      <c r="S107" s="257">
        <v>347487.95326242363</v>
      </c>
      <c r="T107" s="257">
        <v>395595.20935626602</v>
      </c>
      <c r="U107" s="259">
        <v>379198.7885353801</v>
      </c>
      <c r="V107" s="244"/>
      <c r="W107" s="258">
        <v>633742.78345849318</v>
      </c>
      <c r="X107" s="259">
        <v>774793.99789164611</v>
      </c>
      <c r="Y107" s="244"/>
      <c r="Z107" s="244"/>
      <c r="AA107" s="244"/>
      <c r="AB107" s="257">
        <v>909823.56793699146</v>
      </c>
      <c r="AC107" s="258"/>
    </row>
    <row r="108" spans="1:30" ht="16.5" customHeight="1" x14ac:dyDescent="0.2">
      <c r="A108" s="494"/>
      <c r="B108" s="287"/>
      <c r="C108" s="496"/>
      <c r="D108" s="275" t="s">
        <v>126</v>
      </c>
      <c r="E108" s="276">
        <v>0.17544558824754128</v>
      </c>
      <c r="F108" s="276">
        <v>0.16004252676875338</v>
      </c>
      <c r="G108" s="276">
        <v>0.16022303696324069</v>
      </c>
      <c r="H108" s="276">
        <v>0.19127861070829444</v>
      </c>
      <c r="I108" s="276">
        <v>0.1870313172813115</v>
      </c>
      <c r="J108" s="276">
        <v>0.16662992767247012</v>
      </c>
      <c r="K108" s="276">
        <v>0.19845031106394159</v>
      </c>
      <c r="L108" s="276">
        <v>0.19269491617508758</v>
      </c>
      <c r="M108" s="276">
        <v>0.18273416424726052</v>
      </c>
      <c r="N108" s="276">
        <v>0.19031843453469194</v>
      </c>
      <c r="O108" s="276">
        <v>0.19111784228622891</v>
      </c>
      <c r="P108" s="276">
        <v>0.19482493554459945</v>
      </c>
      <c r="Q108" s="244"/>
      <c r="R108" s="276">
        <v>0.16520229783237714</v>
      </c>
      <c r="S108" s="276">
        <v>0.18142823294692245</v>
      </c>
      <c r="T108" s="276">
        <v>0.1913286598182857</v>
      </c>
      <c r="U108" s="276">
        <v>0.19208446282230332</v>
      </c>
      <c r="V108" s="244"/>
      <c r="W108" s="276">
        <v>0.17372121609283717</v>
      </c>
      <c r="X108" s="276">
        <v>0.19169781948286443</v>
      </c>
      <c r="Y108" s="244"/>
      <c r="Z108" s="244"/>
      <c r="AA108" s="244"/>
      <c r="AB108" s="276">
        <v>0.14524892987674559</v>
      </c>
      <c r="AC108" s="258"/>
    </row>
    <row r="110" spans="1:30" x14ac:dyDescent="0.2">
      <c r="A110" s="227" t="s">
        <v>126</v>
      </c>
      <c r="C110" s="222" t="s">
        <v>0</v>
      </c>
      <c r="E110" s="291">
        <f>+E106/E104</f>
        <v>0.14314531552791859</v>
      </c>
      <c r="F110" s="291">
        <f t="shared" ref="F110:X110" si="11">+F106/F104</f>
        <v>0.16434812687562952</v>
      </c>
      <c r="G110" s="291">
        <f t="shared" si="11"/>
        <v>0.14277377816939199</v>
      </c>
      <c r="H110" s="291">
        <f t="shared" si="11"/>
        <v>0.18403280869014055</v>
      </c>
      <c r="I110" s="291">
        <f t="shared" si="11"/>
        <v>0.17945674057928326</v>
      </c>
      <c r="J110" s="291">
        <f t="shared" si="11"/>
        <v>0.17841150371626149</v>
      </c>
      <c r="K110" s="291">
        <f t="shared" si="11"/>
        <v>0.18662315830139667</v>
      </c>
      <c r="L110" s="291">
        <f t="shared" si="11"/>
        <v>0.19404949310696998</v>
      </c>
      <c r="M110" s="291">
        <f t="shared" si="11"/>
        <v>0.18228705869368098</v>
      </c>
      <c r="N110" s="291">
        <f t="shared" si="11"/>
        <v>0.18860617697420101</v>
      </c>
      <c r="O110" s="291">
        <f t="shared" si="11"/>
        <v>0.18775120758247885</v>
      </c>
      <c r="P110" s="291">
        <f t="shared" si="11"/>
        <v>0.18838593309588453</v>
      </c>
      <c r="Q110" s="291"/>
      <c r="R110" s="291">
        <f t="shared" si="11"/>
        <v>0.1502308824118827</v>
      </c>
      <c r="S110" s="291">
        <f t="shared" si="11"/>
        <v>0.18063209646654466</v>
      </c>
      <c r="T110" s="291">
        <f t="shared" si="11"/>
        <v>0.18769268324043559</v>
      </c>
      <c r="U110" s="291">
        <f t="shared" si="11"/>
        <v>0.18824851811253371</v>
      </c>
      <c r="V110" s="291"/>
      <c r="W110" s="291">
        <f t="shared" si="11"/>
        <v>0.1657142060453671</v>
      </c>
      <c r="X110" s="291">
        <f t="shared" si="11"/>
        <v>0.18796727440633385</v>
      </c>
      <c r="Y110" s="291"/>
    </row>
    <row r="111" spans="1:30" x14ac:dyDescent="0.2">
      <c r="C111" s="222" t="s">
        <v>1</v>
      </c>
      <c r="E111" s="291">
        <f>+E107/E105</f>
        <v>0.17544558824754128</v>
      </c>
      <c r="F111" s="291">
        <f t="shared" ref="F111:X111" si="12">+F107/F105</f>
        <v>0.16004252676875338</v>
      </c>
      <c r="G111" s="291">
        <f t="shared" si="12"/>
        <v>0.16022303696324069</v>
      </c>
      <c r="H111" s="291">
        <f t="shared" si="12"/>
        <v>0.19127861070829444</v>
      </c>
      <c r="I111" s="291">
        <f t="shared" si="12"/>
        <v>0.1870313172813115</v>
      </c>
      <c r="J111" s="291">
        <f t="shared" si="12"/>
        <v>0.16662992767247012</v>
      </c>
      <c r="K111" s="291">
        <f t="shared" si="12"/>
        <v>0.19845031106394159</v>
      </c>
      <c r="L111" s="291">
        <f t="shared" si="12"/>
        <v>0.19269491617508758</v>
      </c>
      <c r="M111" s="291">
        <f t="shared" si="12"/>
        <v>0.18273416424726052</v>
      </c>
      <c r="N111" s="291">
        <f t="shared" si="12"/>
        <v>0.19031843453469194</v>
      </c>
      <c r="O111" s="291">
        <f t="shared" si="12"/>
        <v>0.19111784228622891</v>
      </c>
      <c r="P111" s="291">
        <f t="shared" si="12"/>
        <v>0.19482493554459945</v>
      </c>
      <c r="Q111" s="291"/>
      <c r="R111" s="291">
        <f t="shared" si="12"/>
        <v>0.16520229783237714</v>
      </c>
      <c r="S111" s="291">
        <f t="shared" si="12"/>
        <v>0.18142823294692245</v>
      </c>
      <c r="T111" s="291">
        <f t="shared" si="12"/>
        <v>0.1913286598182857</v>
      </c>
      <c r="U111" s="291">
        <f t="shared" si="12"/>
        <v>0.19208446282230332</v>
      </c>
      <c r="V111" s="291"/>
      <c r="W111" s="291">
        <f t="shared" si="12"/>
        <v>0.17372121609283717</v>
      </c>
      <c r="X111" s="291">
        <f t="shared" si="12"/>
        <v>0.19169781948286443</v>
      </c>
      <c r="Y111" s="291"/>
    </row>
    <row r="116" spans="5:16" ht="15.75" x14ac:dyDescent="0.25">
      <c r="E116"/>
      <c r="F116"/>
      <c r="G116"/>
      <c r="H116"/>
      <c r="I116"/>
      <c r="J116"/>
      <c r="K116"/>
      <c r="L116"/>
      <c r="M116"/>
      <c r="N116"/>
      <c r="O116"/>
      <c r="P116"/>
    </row>
    <row r="118" spans="5:16" x14ac:dyDescent="0.2"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</row>
    <row r="119" spans="5:16" x14ac:dyDescent="0.2"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</row>
    <row r="120" spans="5:16" ht="15.75" x14ac:dyDescent="0.25">
      <c r="E120"/>
      <c r="F120"/>
      <c r="G120"/>
      <c r="H120"/>
      <c r="I120"/>
      <c r="J120"/>
      <c r="K120"/>
      <c r="L120"/>
      <c r="M120"/>
      <c r="N120"/>
      <c r="O120"/>
      <c r="P120"/>
    </row>
    <row r="121" spans="5:16" x14ac:dyDescent="0.2"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0"/>
    </row>
    <row r="122" spans="5:16" x14ac:dyDescent="0.2"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</row>
    <row r="123" spans="5:16" x14ac:dyDescent="0.2"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</row>
    <row r="125" spans="5:16" x14ac:dyDescent="0.2"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0"/>
      <c r="P125" s="290"/>
    </row>
    <row r="126" spans="5:16" ht="15.75" x14ac:dyDescent="0.25">
      <c r="E126"/>
      <c r="F126"/>
      <c r="G126"/>
      <c r="H126"/>
      <c r="I126"/>
      <c r="J126"/>
      <c r="K126"/>
      <c r="L126"/>
      <c r="M126"/>
      <c r="N126"/>
      <c r="O126"/>
      <c r="P126"/>
    </row>
    <row r="128" spans="5:16" x14ac:dyDescent="0.2"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</row>
    <row r="129" spans="5:16" x14ac:dyDescent="0.2"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</row>
    <row r="130" spans="5:16" x14ac:dyDescent="0.2"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291"/>
      <c r="P130" s="291"/>
    </row>
    <row r="137" spans="5:16" x14ac:dyDescent="0.2">
      <c r="F137" s="290"/>
      <c r="G137" s="290"/>
    </row>
    <row r="138" spans="5:16" x14ac:dyDescent="0.2">
      <c r="F138" s="290"/>
      <c r="G138" s="290"/>
    </row>
    <row r="140" spans="5:16" x14ac:dyDescent="0.2">
      <c r="F140" s="290"/>
      <c r="G140" s="290"/>
    </row>
    <row r="141" spans="5:16" x14ac:dyDescent="0.2">
      <c r="F141" s="290"/>
      <c r="G141" s="290"/>
    </row>
    <row r="144" spans="5:16" x14ac:dyDescent="0.2">
      <c r="F144" s="290"/>
      <c r="G144" s="290"/>
    </row>
    <row r="145" spans="6:7" x14ac:dyDescent="0.2">
      <c r="F145" s="290"/>
      <c r="G145" s="290"/>
    </row>
  </sheetData>
  <mergeCells count="59">
    <mergeCell ref="A84:A87"/>
    <mergeCell ref="C84:C85"/>
    <mergeCell ref="C86:C87"/>
    <mergeCell ref="A104:A108"/>
    <mergeCell ref="C104:C105"/>
    <mergeCell ref="C106:C108"/>
    <mergeCell ref="A94:B98"/>
    <mergeCell ref="C94:C95"/>
    <mergeCell ref="C96:C98"/>
    <mergeCell ref="A99:A103"/>
    <mergeCell ref="C99:C100"/>
    <mergeCell ref="C101:C103"/>
    <mergeCell ref="A72:B76"/>
    <mergeCell ref="C72:C73"/>
    <mergeCell ref="C74:C76"/>
    <mergeCell ref="A77:A83"/>
    <mergeCell ref="C77:C78"/>
    <mergeCell ref="C79:C80"/>
    <mergeCell ref="C81:C83"/>
    <mergeCell ref="A62:B65"/>
    <mergeCell ref="C62:C63"/>
    <mergeCell ref="C64:C65"/>
    <mergeCell ref="A66:B71"/>
    <mergeCell ref="C66:C67"/>
    <mergeCell ref="C68:C69"/>
    <mergeCell ref="C70:C71"/>
    <mergeCell ref="A51:A55"/>
    <mergeCell ref="C51:C52"/>
    <mergeCell ref="C53:C55"/>
    <mergeCell ref="A58:B61"/>
    <mergeCell ref="C58:C59"/>
    <mergeCell ref="C60:C61"/>
    <mergeCell ref="A41:B45"/>
    <mergeCell ref="C41:C42"/>
    <mergeCell ref="C43:C45"/>
    <mergeCell ref="A46:A50"/>
    <mergeCell ref="C46:C47"/>
    <mergeCell ref="C48:C50"/>
    <mergeCell ref="A24:A30"/>
    <mergeCell ref="C24:C25"/>
    <mergeCell ref="C26:C27"/>
    <mergeCell ref="C28:C30"/>
    <mergeCell ref="A31:A34"/>
    <mergeCell ref="C31:C32"/>
    <mergeCell ref="C33:C34"/>
    <mergeCell ref="A13:B18"/>
    <mergeCell ref="C13:C14"/>
    <mergeCell ref="C15:C16"/>
    <mergeCell ref="C17:C18"/>
    <mergeCell ref="A19:B23"/>
    <mergeCell ref="C19:C20"/>
    <mergeCell ref="C21:C23"/>
    <mergeCell ref="G2:I2"/>
    <mergeCell ref="A5:B8"/>
    <mergeCell ref="C5:C6"/>
    <mergeCell ref="C7:C8"/>
    <mergeCell ref="A9:B12"/>
    <mergeCell ref="C9:C10"/>
    <mergeCell ref="C11:C12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5" sqref="L5"/>
    </sheetView>
  </sheetViews>
  <sheetFormatPr defaultRowHeight="15.75" x14ac:dyDescent="0.25"/>
  <sheetData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5</vt:i4>
      </vt:variant>
    </vt:vector>
  </HeadingPairs>
  <TitlesOfParts>
    <vt:vector size="13" baseType="lpstr">
      <vt:lpstr>【データ入力】</vt:lpstr>
      <vt:lpstr>発表書式</vt:lpstr>
      <vt:lpstr>発表書式 (2)</vt:lpstr>
      <vt:lpstr>発表書式 (3)</vt:lpstr>
      <vt:lpstr>発表資料</vt:lpstr>
      <vt:lpstr>実績見込予算</vt:lpstr>
      <vt:lpstr>Sheet3</vt:lpstr>
      <vt:lpstr>Sheet1</vt:lpstr>
      <vt:lpstr>【データ入力】!Print_Area</vt:lpstr>
      <vt:lpstr>発表資料!Print_Area</vt:lpstr>
      <vt:lpstr>発表書式!Print_Area</vt:lpstr>
      <vt:lpstr>'発表書式 (2)'!Print_Area</vt:lpstr>
      <vt:lpstr>'発表書式 (3)'!Print_Area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MARUWA</dc:creator>
  <cp:lastModifiedBy>ogawa</cp:lastModifiedBy>
  <cp:lastPrinted>2018-09-20T22:32:33Z</cp:lastPrinted>
  <dcterms:created xsi:type="dcterms:W3CDTF">2004-06-30T11:15:55Z</dcterms:created>
  <dcterms:modified xsi:type="dcterms:W3CDTF">2018-09-20T22:33:28Z</dcterms:modified>
</cp:coreProperties>
</file>