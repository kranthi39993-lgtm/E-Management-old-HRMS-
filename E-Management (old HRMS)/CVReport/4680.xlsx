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tsuda\MY Documents\panasonic\FEB 1 2019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1" i="1" l="1"/>
  <c r="K150" i="1"/>
  <c r="K145" i="1" l="1"/>
  <c r="K146" i="1"/>
  <c r="K132" i="1" l="1"/>
  <c r="K137" i="1"/>
  <c r="K138" i="1"/>
  <c r="H136" i="1" l="1"/>
  <c r="H135" i="1"/>
  <c r="H137" i="1"/>
  <c r="H138" i="1"/>
  <c r="H139" i="1"/>
  <c r="H140" i="1"/>
  <c r="H141" i="1"/>
  <c r="H142" i="1"/>
  <c r="H143" i="1"/>
  <c r="H144" i="1"/>
  <c r="H145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34" i="1"/>
  <c r="K133" i="1" l="1"/>
  <c r="K123" i="1" l="1"/>
  <c r="H126" i="1"/>
  <c r="I126" i="1"/>
  <c r="H127" i="1"/>
  <c r="I127" i="1" s="1"/>
  <c r="H128" i="1"/>
  <c r="I128" i="1"/>
  <c r="H129" i="1"/>
  <c r="I129" i="1"/>
  <c r="H130" i="1"/>
  <c r="I130" i="1" s="1"/>
  <c r="H131" i="1"/>
  <c r="I131" i="1" s="1"/>
  <c r="H132" i="1"/>
  <c r="I132" i="1"/>
  <c r="H133" i="1"/>
  <c r="I133" i="1" s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H125" i="1"/>
  <c r="I125" i="1" s="1"/>
  <c r="I170" i="1"/>
  <c r="I171" i="1"/>
  <c r="I172" i="1"/>
  <c r="I173" i="1"/>
  <c r="I174" i="1"/>
  <c r="K116" i="1" l="1"/>
  <c r="H107" i="1"/>
  <c r="I107" i="1" s="1"/>
  <c r="H108" i="1"/>
  <c r="I108" i="1" s="1"/>
  <c r="H109" i="1"/>
  <c r="I109" i="1" s="1"/>
  <c r="H110" i="1"/>
  <c r="I110" i="1"/>
  <c r="H111" i="1"/>
  <c r="I111" i="1" s="1"/>
  <c r="H112" i="1"/>
  <c r="I112" i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/>
  <c r="H119" i="1"/>
  <c r="I119" i="1" s="1"/>
  <c r="H120" i="1"/>
  <c r="I120" i="1" s="1"/>
  <c r="H121" i="1"/>
  <c r="I121" i="1" s="1"/>
  <c r="H122" i="1"/>
  <c r="I122" i="1"/>
  <c r="H65" i="1" l="1"/>
  <c r="I65" i="1"/>
  <c r="H66" i="1"/>
  <c r="I66" i="1" s="1"/>
  <c r="H67" i="1"/>
  <c r="I67" i="1"/>
  <c r="H68" i="1"/>
  <c r="I68" i="1"/>
  <c r="H69" i="1"/>
  <c r="I69" i="1" s="1"/>
  <c r="H70" i="1"/>
  <c r="I70" i="1" s="1"/>
  <c r="H71" i="1"/>
  <c r="I71" i="1"/>
  <c r="H72" i="1"/>
  <c r="I72" i="1" s="1"/>
  <c r="H73" i="1"/>
  <c r="I73" i="1"/>
  <c r="H74" i="1"/>
  <c r="I74" i="1"/>
  <c r="H75" i="1"/>
  <c r="I75" i="1" s="1"/>
  <c r="H76" i="1"/>
  <c r="I76" i="1"/>
  <c r="H77" i="1"/>
  <c r="I77" i="1" s="1"/>
  <c r="H78" i="1"/>
  <c r="I78" i="1" s="1"/>
  <c r="H79" i="1"/>
  <c r="I79" i="1"/>
  <c r="H80" i="1"/>
  <c r="I80" i="1"/>
  <c r="H81" i="1"/>
  <c r="I81" i="1" s="1"/>
  <c r="H82" i="1"/>
  <c r="I82" i="1"/>
  <c r="H83" i="1"/>
  <c r="I83" i="1" s="1"/>
  <c r="H84" i="1"/>
  <c r="I84" i="1" s="1"/>
  <c r="H85" i="1"/>
  <c r="I85" i="1"/>
  <c r="H86" i="1"/>
  <c r="I86" i="1" s="1"/>
  <c r="H87" i="1"/>
  <c r="I87" i="1" s="1"/>
  <c r="H88" i="1"/>
  <c r="I88" i="1"/>
  <c r="H89" i="1"/>
  <c r="I89" i="1"/>
  <c r="H90" i="1"/>
  <c r="I90" i="1" s="1"/>
  <c r="H91" i="1"/>
  <c r="I91" i="1"/>
  <c r="H92" i="1"/>
  <c r="I92" i="1" s="1"/>
  <c r="H93" i="1"/>
  <c r="I93" i="1" s="1"/>
  <c r="H94" i="1"/>
  <c r="I94" i="1"/>
  <c r="H95" i="1"/>
  <c r="I95" i="1"/>
  <c r="H96" i="1"/>
  <c r="I96" i="1" s="1"/>
  <c r="H97" i="1"/>
  <c r="I97" i="1" s="1"/>
  <c r="H98" i="1"/>
  <c r="I98" i="1"/>
  <c r="H99" i="1"/>
  <c r="I99" i="1" s="1"/>
  <c r="H100" i="1"/>
  <c r="I100" i="1"/>
  <c r="H101" i="1"/>
  <c r="I101" i="1"/>
  <c r="H102" i="1"/>
  <c r="I102" i="1" s="1"/>
  <c r="H103" i="1"/>
  <c r="I103" i="1" s="1"/>
  <c r="H104" i="1"/>
  <c r="I104" i="1"/>
  <c r="H22" i="1" l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/>
  <c r="H30" i="1"/>
  <c r="I30" i="1" s="1"/>
  <c r="H31" i="1"/>
  <c r="I31" i="1"/>
  <c r="H32" i="1"/>
  <c r="I32" i="1" s="1"/>
  <c r="H33" i="1"/>
  <c r="I33" i="1" s="1"/>
  <c r="H34" i="1"/>
  <c r="I34" i="1" s="1"/>
  <c r="H35" i="1"/>
  <c r="I35" i="1"/>
  <c r="H36" i="1"/>
  <c r="I36" i="1" s="1"/>
  <c r="H37" i="1"/>
  <c r="I37" i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105" i="1"/>
  <c r="I105" i="1" s="1"/>
  <c r="H106" i="1"/>
  <c r="I106" i="1" s="1"/>
  <c r="H123" i="1"/>
  <c r="I123" i="1" s="1"/>
  <c r="I175" i="1"/>
  <c r="I176" i="1"/>
  <c r="I177" i="1"/>
  <c r="I178" i="1"/>
  <c r="J183" i="1" l="1"/>
  <c r="G183" i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I179" i="1"/>
  <c r="I180" i="1"/>
  <c r="I181" i="1"/>
  <c r="H6" i="1"/>
  <c r="I6" i="1"/>
  <c r="H7" i="1" l="1"/>
  <c r="I7" i="1" l="1"/>
  <c r="H12" i="1"/>
  <c r="I12" i="1" s="1"/>
  <c r="H10" i="1"/>
  <c r="I10" i="1" s="1"/>
  <c r="H11" i="1"/>
  <c r="I11" i="1" s="1"/>
  <c r="H13" i="1"/>
  <c r="I13" i="1" s="1"/>
  <c r="H9" i="1"/>
  <c r="I9" i="1" s="1"/>
  <c r="H183" i="1" l="1"/>
  <c r="I183" i="1"/>
</calcChain>
</file>

<file path=xl/sharedStrings.xml><?xml version="1.0" encoding="utf-8"?>
<sst xmlns="http://schemas.openxmlformats.org/spreadsheetml/2006/main" count="752" uniqueCount="608">
  <si>
    <t>ＡＬＴ８ＧＫＢ　板厚選別結果</t>
    <rPh sb="8" eb="9">
      <t>イタ</t>
    </rPh>
    <rPh sb="9" eb="10">
      <t>アツ</t>
    </rPh>
    <rPh sb="10" eb="12">
      <t>センベツ</t>
    </rPh>
    <rPh sb="12" eb="14">
      <t>ケッカ</t>
    </rPh>
    <phoneticPr fontId="1"/>
  </si>
  <si>
    <t>検査日</t>
    <rPh sb="0" eb="3">
      <t>ケンサビ</t>
    </rPh>
    <phoneticPr fontId="1"/>
  </si>
  <si>
    <t>品番</t>
    <rPh sb="0" eb="2">
      <t>ヒンバン</t>
    </rPh>
    <phoneticPr fontId="1"/>
  </si>
  <si>
    <t>前半ロット№</t>
    <rPh sb="0" eb="2">
      <t>ゼンハン</t>
    </rPh>
    <phoneticPr fontId="1"/>
  </si>
  <si>
    <t>ランク</t>
    <phoneticPr fontId="1"/>
  </si>
  <si>
    <t>不良数量</t>
    <rPh sb="0" eb="2">
      <t>フリョウ</t>
    </rPh>
    <rPh sb="2" eb="4">
      <t>スウリョウ</t>
    </rPh>
    <phoneticPr fontId="1"/>
  </si>
  <si>
    <t>備考</t>
    <rPh sb="0" eb="2">
      <t>ビコウ</t>
    </rPh>
    <phoneticPr fontId="1"/>
  </si>
  <si>
    <t>抵抗体Ｌｏｔ．NO</t>
    <rPh sb="0" eb="2">
      <t>テイコウ</t>
    </rPh>
    <rPh sb="2" eb="3">
      <t>タイ</t>
    </rPh>
    <phoneticPr fontId="1"/>
  </si>
  <si>
    <t>検査前数量</t>
    <rPh sb="0" eb="2">
      <t>ケンサ</t>
    </rPh>
    <rPh sb="2" eb="3">
      <t>マエ</t>
    </rPh>
    <rPh sb="3" eb="5">
      <t>スウリョウ</t>
    </rPh>
    <phoneticPr fontId="1"/>
  </si>
  <si>
    <t>例</t>
    <rPh sb="0" eb="1">
      <t>レイ</t>
    </rPh>
    <phoneticPr fontId="1"/>
  </si>
  <si>
    <t>ゲージ数量</t>
    <rPh sb="3" eb="5">
      <t>スウリョウ</t>
    </rPh>
    <phoneticPr fontId="1"/>
  </si>
  <si>
    <t>検査重量</t>
    <rPh sb="0" eb="2">
      <t>ケンサ</t>
    </rPh>
    <rPh sb="2" eb="4">
      <t>ジュウリョウ</t>
    </rPh>
    <phoneticPr fontId="1"/>
  </si>
  <si>
    <t>439126225</t>
  </si>
  <si>
    <t>6RPYJ103A</t>
  </si>
  <si>
    <t>9117-2414</t>
  </si>
  <si>
    <t>14</t>
  </si>
  <si>
    <t>電極Ｌｏｔ</t>
    <rPh sb="0" eb="2">
      <t>デンキョク</t>
    </rPh>
    <rPh sb="2" eb="3">
      <t>コウタイ</t>
    </rPh>
    <phoneticPr fontId="1"/>
  </si>
  <si>
    <t>2F91HA18</t>
    <phoneticPr fontId="1"/>
  </si>
  <si>
    <t>合計</t>
    <rPh sb="0" eb="2">
      <t>ゴウケイ</t>
    </rPh>
    <phoneticPr fontId="1"/>
  </si>
  <si>
    <t>7RNF3090A</t>
    <phoneticPr fontId="1"/>
  </si>
  <si>
    <t>439126184</t>
    <phoneticPr fontId="1"/>
  </si>
  <si>
    <t>9142-2608</t>
    <phoneticPr fontId="1"/>
  </si>
  <si>
    <t>43</t>
    <phoneticPr fontId="1"/>
  </si>
  <si>
    <t>2F91JB01</t>
    <phoneticPr fontId="1"/>
  </si>
  <si>
    <t>7RMJ152A</t>
    <phoneticPr fontId="1"/>
  </si>
  <si>
    <t>439121127</t>
    <phoneticPr fontId="1"/>
  </si>
  <si>
    <t>9141-2107</t>
    <phoneticPr fontId="1"/>
  </si>
  <si>
    <t>2F91GB02,03</t>
    <phoneticPr fontId="1"/>
  </si>
  <si>
    <t>全数検査</t>
    <rPh sb="0" eb="2">
      <t>ゼンスウ</t>
    </rPh>
    <rPh sb="2" eb="4">
      <t>ケンサ</t>
    </rPh>
    <phoneticPr fontId="1"/>
  </si>
  <si>
    <t>7RNF12R7A</t>
    <phoneticPr fontId="1"/>
  </si>
  <si>
    <t>4L9118150</t>
    <phoneticPr fontId="1"/>
  </si>
  <si>
    <t>2F91CB04</t>
    <phoneticPr fontId="1"/>
  </si>
  <si>
    <t>9141-1809</t>
    <phoneticPr fontId="1"/>
  </si>
  <si>
    <t>53</t>
    <phoneticPr fontId="1"/>
  </si>
  <si>
    <t>4RNF1963A</t>
    <phoneticPr fontId="1"/>
  </si>
  <si>
    <t>439115197</t>
    <phoneticPr fontId="1"/>
  </si>
  <si>
    <t>9141-1518</t>
    <phoneticPr fontId="1"/>
  </si>
  <si>
    <t>2F91AB02</t>
    <phoneticPr fontId="1"/>
  </si>
  <si>
    <t>7RMJ204A</t>
    <phoneticPr fontId="1"/>
  </si>
  <si>
    <t>439115133</t>
    <phoneticPr fontId="1"/>
  </si>
  <si>
    <t>9141-1515</t>
    <phoneticPr fontId="1"/>
  </si>
  <si>
    <t>2F91AB01</t>
    <phoneticPr fontId="1"/>
  </si>
  <si>
    <t>7RNF11ROA</t>
    <phoneticPr fontId="1"/>
  </si>
  <si>
    <t>439118066</t>
    <phoneticPr fontId="1"/>
  </si>
  <si>
    <t>9141-1803</t>
    <phoneticPr fontId="1"/>
  </si>
  <si>
    <t>2F91CB02</t>
    <phoneticPr fontId="1"/>
  </si>
  <si>
    <t>7RMJ182A</t>
    <phoneticPr fontId="1"/>
  </si>
  <si>
    <t>439121199</t>
    <phoneticPr fontId="1"/>
  </si>
  <si>
    <t>9141-2114</t>
    <phoneticPr fontId="1"/>
  </si>
  <si>
    <t>2F91GB05</t>
    <phoneticPr fontId="1"/>
  </si>
  <si>
    <t>7RMJ152P</t>
    <phoneticPr fontId="1"/>
  </si>
  <si>
    <t>439121131</t>
    <phoneticPr fontId="1"/>
  </si>
  <si>
    <t>9141-2109</t>
    <phoneticPr fontId="1"/>
  </si>
  <si>
    <t>43</t>
    <phoneticPr fontId="1"/>
  </si>
  <si>
    <t>2F91GB03</t>
    <phoneticPr fontId="1"/>
  </si>
  <si>
    <t>7RMJ910A</t>
    <phoneticPr fontId="1"/>
  </si>
  <si>
    <t>439118211</t>
    <phoneticPr fontId="1"/>
  </si>
  <si>
    <t>9141-1812</t>
    <phoneticPr fontId="1"/>
  </si>
  <si>
    <t>53</t>
    <phoneticPr fontId="1"/>
  </si>
  <si>
    <t>2F91CB04</t>
    <phoneticPr fontId="1"/>
  </si>
  <si>
    <t>7RNF1580A</t>
    <phoneticPr fontId="1"/>
  </si>
  <si>
    <t>439125143</t>
    <phoneticPr fontId="1"/>
  </si>
  <si>
    <t>9142-2410</t>
    <phoneticPr fontId="1"/>
  </si>
  <si>
    <t>54</t>
    <phoneticPr fontId="1"/>
  </si>
  <si>
    <t>2F91CB06</t>
    <phoneticPr fontId="1"/>
  </si>
  <si>
    <t>7RNF2871P</t>
    <phoneticPr fontId="1"/>
  </si>
  <si>
    <t>439121180</t>
    <phoneticPr fontId="1"/>
  </si>
  <si>
    <t>9142-2106</t>
    <phoneticPr fontId="1"/>
  </si>
  <si>
    <t>2F91AC01,03</t>
    <phoneticPr fontId="1"/>
  </si>
  <si>
    <t>439116062</t>
    <phoneticPr fontId="1"/>
  </si>
  <si>
    <t>9141-1521</t>
    <phoneticPr fontId="1"/>
  </si>
  <si>
    <t>2F91AB02</t>
    <phoneticPr fontId="1"/>
  </si>
  <si>
    <t>7RNF2003A</t>
    <phoneticPr fontId="1"/>
  </si>
  <si>
    <t>7RNF5113A</t>
    <phoneticPr fontId="1"/>
  </si>
  <si>
    <t>439115159</t>
    <phoneticPr fontId="1"/>
  </si>
  <si>
    <t>9141-1516</t>
    <phoneticPr fontId="1"/>
  </si>
  <si>
    <t>2F91AB01,02</t>
    <phoneticPr fontId="1"/>
  </si>
  <si>
    <t>U07F2202A</t>
    <phoneticPr fontId="1"/>
  </si>
  <si>
    <t>439124019</t>
    <phoneticPr fontId="1"/>
  </si>
  <si>
    <t>91G6-2215Z</t>
    <phoneticPr fontId="1"/>
  </si>
  <si>
    <t>44</t>
    <phoneticPr fontId="1"/>
  </si>
  <si>
    <t>2F91BA18</t>
    <phoneticPr fontId="1"/>
  </si>
  <si>
    <t>7RMJ390A</t>
    <phoneticPr fontId="1"/>
  </si>
  <si>
    <t>439106080</t>
    <phoneticPr fontId="1"/>
  </si>
  <si>
    <t>8L41-2903</t>
    <phoneticPr fontId="1"/>
  </si>
  <si>
    <t>2F8DPB01</t>
    <phoneticPr fontId="1"/>
  </si>
  <si>
    <t>7RMJ271A</t>
    <phoneticPr fontId="1"/>
  </si>
  <si>
    <t>439117077</t>
    <phoneticPr fontId="1"/>
  </si>
  <si>
    <t>9141-1604</t>
    <phoneticPr fontId="1"/>
  </si>
  <si>
    <t>2F91AB03</t>
    <phoneticPr fontId="1"/>
  </si>
  <si>
    <t>7RNF3900P</t>
    <phoneticPr fontId="1"/>
  </si>
  <si>
    <t>439121015</t>
    <phoneticPr fontId="1"/>
  </si>
  <si>
    <t>9146-2005</t>
    <phoneticPr fontId="1"/>
  </si>
  <si>
    <t>2F91FA22</t>
    <phoneticPr fontId="1"/>
  </si>
  <si>
    <t>7RNF4221A</t>
    <phoneticPr fontId="1"/>
  </si>
  <si>
    <t>439121118</t>
    <phoneticPr fontId="1"/>
  </si>
  <si>
    <t>9117-2004</t>
    <phoneticPr fontId="1"/>
  </si>
  <si>
    <t>33</t>
    <phoneticPr fontId="1"/>
  </si>
  <si>
    <t>2F918A09</t>
    <phoneticPr fontId="1"/>
  </si>
  <si>
    <t>7RNF3403A</t>
    <phoneticPr fontId="1"/>
  </si>
  <si>
    <t>439114066</t>
    <phoneticPr fontId="1"/>
  </si>
  <si>
    <t>9141-1405</t>
    <phoneticPr fontId="1"/>
  </si>
  <si>
    <t>2F917B01,02</t>
    <phoneticPr fontId="1"/>
  </si>
  <si>
    <t>7RNF3922A</t>
    <phoneticPr fontId="1"/>
  </si>
  <si>
    <t>439122085</t>
    <phoneticPr fontId="1"/>
  </si>
  <si>
    <t>2F91AC05</t>
    <phoneticPr fontId="1"/>
  </si>
  <si>
    <t>9142-2118</t>
    <phoneticPr fontId="1"/>
  </si>
  <si>
    <t>7RNF3832P</t>
    <phoneticPr fontId="1"/>
  </si>
  <si>
    <t>439122058</t>
    <phoneticPr fontId="1"/>
  </si>
  <si>
    <t>9142-2115</t>
    <phoneticPr fontId="1"/>
  </si>
  <si>
    <t>7RNF1873A</t>
    <phoneticPr fontId="1"/>
  </si>
  <si>
    <t>439115223</t>
    <phoneticPr fontId="1"/>
  </si>
  <si>
    <t>9141-1517</t>
    <phoneticPr fontId="1"/>
  </si>
  <si>
    <t>7RNF1372A</t>
    <phoneticPr fontId="1"/>
  </si>
  <si>
    <t>439115051</t>
    <phoneticPr fontId="1"/>
  </si>
  <si>
    <t>9141-1504</t>
    <phoneticPr fontId="1"/>
  </si>
  <si>
    <t>2F917B06</t>
    <phoneticPr fontId="1"/>
  </si>
  <si>
    <t>7RNF1201A</t>
    <phoneticPr fontId="1"/>
  </si>
  <si>
    <t>439114167</t>
    <phoneticPr fontId="1"/>
  </si>
  <si>
    <t>9141-1406</t>
    <phoneticPr fontId="1"/>
  </si>
  <si>
    <t>2F917B02</t>
    <phoneticPr fontId="1"/>
  </si>
  <si>
    <t>7RMJ110A</t>
    <phoneticPr fontId="1"/>
  </si>
  <si>
    <t>439118073</t>
    <phoneticPr fontId="1"/>
  </si>
  <si>
    <t>9141-1801</t>
    <phoneticPr fontId="1"/>
  </si>
  <si>
    <t>2F91CB02</t>
    <phoneticPr fontId="1"/>
  </si>
  <si>
    <t>7RNF1302A</t>
    <phoneticPr fontId="1"/>
  </si>
  <si>
    <t>439115083</t>
    <phoneticPr fontId="1"/>
  </si>
  <si>
    <t>9141-1502</t>
    <phoneticPr fontId="1"/>
  </si>
  <si>
    <t>7RNF13R0A</t>
    <phoneticPr fontId="1"/>
  </si>
  <si>
    <t>439118236</t>
    <phoneticPr fontId="1"/>
  </si>
  <si>
    <t>9141-1810</t>
    <phoneticPr fontId="1"/>
  </si>
  <si>
    <t>7RNF3832A</t>
    <phoneticPr fontId="1"/>
  </si>
  <si>
    <t>439122070</t>
    <phoneticPr fontId="1"/>
  </si>
  <si>
    <t>9141-2114</t>
    <phoneticPr fontId="1"/>
  </si>
  <si>
    <t>54</t>
    <phoneticPr fontId="1"/>
  </si>
  <si>
    <t>2F91AC05</t>
    <phoneticPr fontId="1"/>
  </si>
  <si>
    <t>7RNF82R5A</t>
    <phoneticPr fontId="1"/>
  </si>
  <si>
    <t>439121094</t>
    <phoneticPr fontId="1"/>
  </si>
  <si>
    <t>91G3-2103</t>
    <phoneticPr fontId="1"/>
  </si>
  <si>
    <t>43</t>
    <phoneticPr fontId="1"/>
  </si>
  <si>
    <t>2F91FA23</t>
    <phoneticPr fontId="1"/>
  </si>
  <si>
    <t>7RQFR39D</t>
    <phoneticPr fontId="1"/>
  </si>
  <si>
    <t>439117125</t>
    <phoneticPr fontId="1"/>
  </si>
  <si>
    <t>91G4-1705Z</t>
    <phoneticPr fontId="1"/>
  </si>
  <si>
    <t>53</t>
    <phoneticPr fontId="1"/>
  </si>
  <si>
    <t>2F8DRA27</t>
    <phoneticPr fontId="1"/>
  </si>
  <si>
    <t>7RMJ821A</t>
    <phoneticPr fontId="1"/>
  </si>
  <si>
    <t>439124038</t>
    <phoneticPr fontId="1"/>
  </si>
  <si>
    <t>91G5-2307</t>
    <phoneticPr fontId="1"/>
  </si>
  <si>
    <t>2F91FA20</t>
    <phoneticPr fontId="1"/>
  </si>
  <si>
    <t>439121157</t>
    <phoneticPr fontId="1"/>
  </si>
  <si>
    <t>9142-2104</t>
    <phoneticPr fontId="1"/>
  </si>
  <si>
    <t>2F91AC01</t>
    <phoneticPr fontId="1"/>
  </si>
  <si>
    <t>7RNF3401A</t>
    <phoneticPr fontId="1"/>
  </si>
  <si>
    <t>439122048</t>
    <phoneticPr fontId="1"/>
  </si>
  <si>
    <t>9142-2113</t>
    <phoneticPr fontId="1"/>
  </si>
  <si>
    <t>439117128</t>
    <phoneticPr fontId="1"/>
  </si>
  <si>
    <t>91G4-1707Z</t>
    <phoneticPr fontId="1"/>
  </si>
  <si>
    <t>2F8DRA26</t>
    <phoneticPr fontId="1"/>
  </si>
  <si>
    <t>7RNF9530P</t>
    <phoneticPr fontId="1"/>
  </si>
  <si>
    <t>439128035</t>
    <phoneticPr fontId="1"/>
  </si>
  <si>
    <t>9142-2717</t>
    <phoneticPr fontId="1"/>
  </si>
  <si>
    <t>2F91IB05</t>
    <phoneticPr fontId="1"/>
  </si>
  <si>
    <t>7RNF9530A</t>
    <phoneticPr fontId="1"/>
  </si>
  <si>
    <t>439128026</t>
    <phoneticPr fontId="1"/>
  </si>
  <si>
    <t>9142-2718</t>
    <phoneticPr fontId="1"/>
  </si>
  <si>
    <t>7RNF8200P</t>
    <phoneticPr fontId="1"/>
  </si>
  <si>
    <t>439123204</t>
    <phoneticPr fontId="1"/>
  </si>
  <si>
    <t>91G5-2305</t>
    <phoneticPr fontId="1"/>
  </si>
  <si>
    <t>7RNF2741A</t>
    <phoneticPr fontId="1"/>
  </si>
  <si>
    <t>439121144</t>
    <phoneticPr fontId="1"/>
  </si>
  <si>
    <t>9142-2103</t>
    <phoneticPr fontId="1"/>
  </si>
  <si>
    <t>2F91AC01</t>
    <phoneticPr fontId="1"/>
  </si>
  <si>
    <t>7RQF9R1D</t>
    <phoneticPr fontId="1"/>
  </si>
  <si>
    <t>439117090</t>
    <phoneticPr fontId="1"/>
  </si>
  <si>
    <t>91G4-1627Z</t>
    <phoneticPr fontId="1"/>
  </si>
  <si>
    <t>7RNF11R3A</t>
    <phoneticPr fontId="1"/>
  </si>
  <si>
    <t>439118067</t>
    <phoneticPr fontId="1"/>
  </si>
  <si>
    <t>9141-1802</t>
    <phoneticPr fontId="1"/>
  </si>
  <si>
    <t>2F91CB02</t>
    <phoneticPr fontId="1"/>
  </si>
  <si>
    <t>7RNF9321A</t>
    <phoneticPr fontId="1"/>
  </si>
  <si>
    <t>4L9115107</t>
    <phoneticPr fontId="1"/>
  </si>
  <si>
    <t>9141-1508</t>
    <phoneticPr fontId="1"/>
  </si>
  <si>
    <t>2F91AB01</t>
    <phoneticPr fontId="1"/>
  </si>
  <si>
    <t>7RNF38R3A</t>
    <phoneticPr fontId="1"/>
  </si>
  <si>
    <t>439118134</t>
    <phoneticPr fontId="1"/>
  </si>
  <si>
    <t>9141-1807</t>
    <phoneticPr fontId="1"/>
  </si>
  <si>
    <t>2F91CB03</t>
    <phoneticPr fontId="1"/>
  </si>
  <si>
    <t>7RNF4703A</t>
    <phoneticPr fontId="1"/>
  </si>
  <si>
    <t>439120222</t>
    <phoneticPr fontId="1"/>
  </si>
  <si>
    <t>91G3-2009</t>
    <phoneticPr fontId="1"/>
  </si>
  <si>
    <t>2F91FA21</t>
    <phoneticPr fontId="1"/>
  </si>
  <si>
    <t>7RMJ1R5A</t>
    <phoneticPr fontId="1"/>
  </si>
  <si>
    <t>439128170</t>
    <phoneticPr fontId="1"/>
  </si>
  <si>
    <t>9142-2810</t>
    <phoneticPr fontId="1"/>
  </si>
  <si>
    <t>2F91IB02</t>
    <phoneticPr fontId="1"/>
  </si>
  <si>
    <t>7RNF2871P</t>
    <phoneticPr fontId="1"/>
  </si>
  <si>
    <t>439122015</t>
    <phoneticPr fontId="1"/>
  </si>
  <si>
    <t>9142-2108</t>
    <phoneticPr fontId="1"/>
  </si>
  <si>
    <t>2F91AC03</t>
    <phoneticPr fontId="1"/>
  </si>
  <si>
    <t>7RNF1580A</t>
    <phoneticPr fontId="1"/>
  </si>
  <si>
    <t>439125189</t>
    <phoneticPr fontId="1"/>
  </si>
  <si>
    <t>9142-2409</t>
    <phoneticPr fontId="1"/>
  </si>
  <si>
    <t>2F91CB06</t>
    <phoneticPr fontId="1"/>
  </si>
  <si>
    <t>7RMJ820A</t>
    <phoneticPr fontId="1"/>
  </si>
  <si>
    <t>439126229</t>
    <phoneticPr fontId="1"/>
  </si>
  <si>
    <t>9142-2414</t>
    <phoneticPr fontId="1"/>
  </si>
  <si>
    <t>2F91CB07</t>
    <phoneticPr fontId="1"/>
  </si>
  <si>
    <t>7RMJ152P</t>
    <phoneticPr fontId="1"/>
  </si>
  <si>
    <t>439121163</t>
    <phoneticPr fontId="1"/>
  </si>
  <si>
    <t>9141-2111</t>
    <phoneticPr fontId="1"/>
  </si>
  <si>
    <t>3F91GB04</t>
    <phoneticPr fontId="1"/>
  </si>
  <si>
    <t>7RQFR75D</t>
    <phoneticPr fontId="1"/>
  </si>
  <si>
    <t>439201049</t>
    <phoneticPr fontId="1"/>
  </si>
  <si>
    <t>91G7-3102Z</t>
    <phoneticPr fontId="1"/>
  </si>
  <si>
    <t>44</t>
    <phoneticPr fontId="1"/>
  </si>
  <si>
    <t>2F919A07</t>
    <phoneticPr fontId="1"/>
  </si>
  <si>
    <t>7RNF1101A</t>
    <phoneticPr fontId="1"/>
  </si>
  <si>
    <t>439121175</t>
    <phoneticPr fontId="1"/>
  </si>
  <si>
    <t>91G3-2106</t>
    <phoneticPr fontId="1"/>
  </si>
  <si>
    <t>2F91FA24</t>
    <phoneticPr fontId="1"/>
  </si>
  <si>
    <t>7RNF1371A</t>
    <phoneticPr fontId="1"/>
  </si>
  <si>
    <t>439128072</t>
    <phoneticPr fontId="1"/>
  </si>
  <si>
    <t>9142-2806</t>
    <phoneticPr fontId="1"/>
  </si>
  <si>
    <t>2F91IB01</t>
    <phoneticPr fontId="1"/>
  </si>
  <si>
    <t>7RNF1431A</t>
    <phoneticPr fontId="1"/>
  </si>
  <si>
    <t>439121027</t>
    <phoneticPr fontId="1"/>
  </si>
  <si>
    <t>9141-2101</t>
    <phoneticPr fontId="1"/>
  </si>
  <si>
    <t>2F91GB01</t>
    <phoneticPr fontId="1"/>
  </si>
  <si>
    <t>U07F68R0A</t>
    <phoneticPr fontId="1"/>
  </si>
  <si>
    <t>329128166</t>
    <phoneticPr fontId="1"/>
  </si>
  <si>
    <t>9117-2507</t>
    <phoneticPr fontId="1"/>
  </si>
  <si>
    <t>2F91BA16</t>
    <phoneticPr fontId="1"/>
  </si>
  <si>
    <t>UO7F182A</t>
    <phoneticPr fontId="1"/>
  </si>
  <si>
    <t>439128167</t>
    <phoneticPr fontId="1"/>
  </si>
  <si>
    <t>9117-2602</t>
    <phoneticPr fontId="1"/>
  </si>
  <si>
    <t>7RNF2493A</t>
    <phoneticPr fontId="1"/>
  </si>
  <si>
    <t>439117107</t>
    <phoneticPr fontId="1"/>
  </si>
  <si>
    <t>9141-1320</t>
    <phoneticPr fontId="1"/>
  </si>
  <si>
    <t>2F911B06,05</t>
    <phoneticPr fontId="1"/>
  </si>
  <si>
    <t>239121113</t>
    <phoneticPr fontId="1"/>
  </si>
  <si>
    <t>91G3-2011</t>
    <phoneticPr fontId="1"/>
  </si>
  <si>
    <t>7RNF215P</t>
    <phoneticPr fontId="1"/>
  </si>
  <si>
    <t>439115100</t>
    <phoneticPr fontId="1"/>
  </si>
  <si>
    <t>9142-1405</t>
    <phoneticPr fontId="1"/>
  </si>
  <si>
    <t>2F8DQC01,02</t>
    <phoneticPr fontId="1"/>
  </si>
  <si>
    <t>7RNF2151P</t>
    <phoneticPr fontId="1"/>
  </si>
  <si>
    <t>439115045</t>
    <phoneticPr fontId="1"/>
  </si>
  <si>
    <t>9142-1501</t>
    <phoneticPr fontId="1"/>
  </si>
  <si>
    <t>2F8DQC03,04</t>
    <phoneticPr fontId="1"/>
  </si>
  <si>
    <t>7RMJ390A</t>
    <phoneticPr fontId="1"/>
  </si>
  <si>
    <t>439106021</t>
    <phoneticPr fontId="1"/>
  </si>
  <si>
    <t>8L41-2904</t>
    <phoneticPr fontId="1"/>
  </si>
  <si>
    <t>2F8DPB01,02</t>
    <phoneticPr fontId="1"/>
  </si>
  <si>
    <t>439126093</t>
    <phoneticPr fontId="1"/>
  </si>
  <si>
    <t>9142-2412</t>
    <phoneticPr fontId="1"/>
  </si>
  <si>
    <t>2F91CB09</t>
    <phoneticPr fontId="1"/>
  </si>
  <si>
    <t>7RQFR51D</t>
    <phoneticPr fontId="1"/>
  </si>
  <si>
    <t>439201100</t>
    <phoneticPr fontId="1"/>
  </si>
  <si>
    <t>91G7-3103Z</t>
    <phoneticPr fontId="1"/>
  </si>
  <si>
    <t>44</t>
    <phoneticPr fontId="1"/>
  </si>
  <si>
    <t>2F919A07</t>
    <phoneticPr fontId="1"/>
  </si>
  <si>
    <t>7RNF6651A</t>
    <phoneticPr fontId="1"/>
  </si>
  <si>
    <t>439202149</t>
    <phoneticPr fontId="1"/>
  </si>
  <si>
    <t>9242-0205</t>
    <phoneticPr fontId="1"/>
  </si>
  <si>
    <t>43</t>
    <phoneticPr fontId="1"/>
  </si>
  <si>
    <t>2F91PC05</t>
    <phoneticPr fontId="1"/>
  </si>
  <si>
    <t>7RNF2871P</t>
    <phoneticPr fontId="1"/>
  </si>
  <si>
    <t>439201189</t>
    <phoneticPr fontId="1"/>
  </si>
  <si>
    <t>9242-0110</t>
    <phoneticPr fontId="1"/>
  </si>
  <si>
    <t>43</t>
    <phoneticPr fontId="1"/>
  </si>
  <si>
    <t>2F91PC01</t>
    <phoneticPr fontId="1"/>
  </si>
  <si>
    <t>U07F1503A</t>
    <phoneticPr fontId="1"/>
  </si>
  <si>
    <t>439124016</t>
    <phoneticPr fontId="1"/>
  </si>
  <si>
    <t>91G6-2304</t>
    <phoneticPr fontId="1"/>
  </si>
  <si>
    <t>2F91BA17</t>
    <phoneticPr fontId="1"/>
  </si>
  <si>
    <t>7RMJ112A</t>
    <phoneticPr fontId="1"/>
  </si>
  <si>
    <t>439122104</t>
    <phoneticPr fontId="1"/>
  </si>
  <si>
    <t>91G3-2104</t>
    <phoneticPr fontId="1"/>
  </si>
  <si>
    <t>2F91FA24</t>
    <phoneticPr fontId="1"/>
  </si>
  <si>
    <t>U07F6802A</t>
    <phoneticPr fontId="1"/>
  </si>
  <si>
    <t>439124046</t>
    <phoneticPr fontId="1"/>
  </si>
  <si>
    <t>91G6-2303</t>
    <phoneticPr fontId="1"/>
  </si>
  <si>
    <t>7RNF1300P</t>
    <phoneticPr fontId="1"/>
  </si>
  <si>
    <t>439125173</t>
    <phoneticPr fontId="1"/>
  </si>
  <si>
    <t>9142-2408</t>
    <phoneticPr fontId="1"/>
  </si>
  <si>
    <t>54</t>
    <phoneticPr fontId="1"/>
  </si>
  <si>
    <t>2F91CB06</t>
    <phoneticPr fontId="1"/>
  </si>
  <si>
    <t>439116132</t>
    <phoneticPr fontId="1"/>
  </si>
  <si>
    <t>9141-1611</t>
    <phoneticPr fontId="1"/>
  </si>
  <si>
    <t>53</t>
    <phoneticPr fontId="1"/>
  </si>
  <si>
    <t>7RNF1001A</t>
    <phoneticPr fontId="1"/>
  </si>
  <si>
    <t>7RNJ392A</t>
    <phoneticPr fontId="1"/>
  </si>
  <si>
    <t>439124005</t>
    <phoneticPr fontId="1"/>
  </si>
  <si>
    <t>91G3-2111</t>
    <phoneticPr fontId="1"/>
  </si>
  <si>
    <t>2F91FA25</t>
    <phoneticPr fontId="1"/>
  </si>
  <si>
    <t>2f91AB05</t>
    <phoneticPr fontId="1"/>
  </si>
  <si>
    <t>7RNF61R9P</t>
    <phoneticPr fontId="1"/>
  </si>
  <si>
    <t>439126090</t>
    <phoneticPr fontId="1"/>
  </si>
  <si>
    <t>9142-2601</t>
    <phoneticPr fontId="1"/>
  </si>
  <si>
    <t>2F91CB10,11</t>
    <phoneticPr fontId="1"/>
  </si>
  <si>
    <t>7RMJ393P</t>
    <phoneticPr fontId="1"/>
  </si>
  <si>
    <t>439122069</t>
    <phoneticPr fontId="1"/>
  </si>
  <si>
    <t>9142-2116</t>
    <phoneticPr fontId="1"/>
  </si>
  <si>
    <t>2F91AC05</t>
    <phoneticPr fontId="1"/>
  </si>
  <si>
    <t>7RNF1401A</t>
    <phoneticPr fontId="1"/>
  </si>
  <si>
    <t>439128132</t>
    <phoneticPr fontId="1"/>
  </si>
  <si>
    <t>9142-2807</t>
    <phoneticPr fontId="1"/>
  </si>
  <si>
    <t>2F91IB01</t>
    <phoneticPr fontId="1"/>
  </si>
  <si>
    <t>7RNF4021P</t>
    <phoneticPr fontId="1"/>
  </si>
  <si>
    <t>439124001</t>
    <phoneticPr fontId="1"/>
  </si>
  <si>
    <t>9143-2113</t>
    <phoneticPr fontId="1"/>
  </si>
  <si>
    <t>7RMJ202P</t>
    <phoneticPr fontId="1"/>
  </si>
  <si>
    <t>439110236</t>
    <phoneticPr fontId="1"/>
  </si>
  <si>
    <t>9141-1001</t>
    <phoneticPr fontId="1"/>
  </si>
  <si>
    <t>2F8DPB03</t>
    <phoneticPr fontId="1"/>
  </si>
  <si>
    <t>U07F3602A</t>
    <phoneticPr fontId="1"/>
  </si>
  <si>
    <t>439124017</t>
    <phoneticPr fontId="1"/>
  </si>
  <si>
    <t>91G-2217Z</t>
    <phoneticPr fontId="1"/>
  </si>
  <si>
    <t>2F91BA18</t>
    <phoneticPr fontId="1"/>
  </si>
  <si>
    <t>U07F2201A</t>
    <phoneticPr fontId="1"/>
  </si>
  <si>
    <t>439128207</t>
    <phoneticPr fontId="1"/>
  </si>
  <si>
    <t>9117-2603</t>
    <phoneticPr fontId="1"/>
  </si>
  <si>
    <t>2F91BA16</t>
    <phoneticPr fontId="1"/>
  </si>
  <si>
    <t>7RMJ300A</t>
    <phoneticPr fontId="1"/>
  </si>
  <si>
    <t>439110063</t>
    <phoneticPr fontId="1"/>
  </si>
  <si>
    <t>9142-0815</t>
    <phoneticPr fontId="1"/>
  </si>
  <si>
    <t>2F8DQB02</t>
    <phoneticPr fontId="1"/>
  </si>
  <si>
    <t>7RNF8200A</t>
    <phoneticPr fontId="1"/>
  </si>
  <si>
    <t>439126139</t>
    <phoneticPr fontId="1"/>
  </si>
  <si>
    <t>91G5-2308</t>
    <phoneticPr fontId="1"/>
  </si>
  <si>
    <t>2F91FA20</t>
    <phoneticPr fontId="1"/>
  </si>
  <si>
    <t>7RMJ152P</t>
    <phoneticPr fontId="1"/>
  </si>
  <si>
    <t>439121170</t>
    <phoneticPr fontId="1"/>
  </si>
  <si>
    <t>9141-2110</t>
    <phoneticPr fontId="1"/>
  </si>
  <si>
    <t>2F91GB03,04</t>
    <phoneticPr fontId="1"/>
  </si>
  <si>
    <t>7RNF1501P</t>
    <phoneticPr fontId="1"/>
  </si>
  <si>
    <t>439122073</t>
    <phoneticPr fontId="1"/>
  </si>
  <si>
    <t>9141-2010</t>
    <phoneticPr fontId="1"/>
  </si>
  <si>
    <t>2F91GB01</t>
    <phoneticPr fontId="1"/>
  </si>
  <si>
    <t>7RNF1501A</t>
    <phoneticPr fontId="1"/>
  </si>
  <si>
    <t>439121059</t>
    <phoneticPr fontId="1"/>
  </si>
  <si>
    <t>9141-2105</t>
    <phoneticPr fontId="1"/>
  </si>
  <si>
    <t>2F91GB02</t>
    <phoneticPr fontId="1"/>
  </si>
  <si>
    <t>4.9g NG</t>
    <phoneticPr fontId="1"/>
  </si>
  <si>
    <t>7RMJ514A</t>
    <phoneticPr fontId="1"/>
  </si>
  <si>
    <t>439120219</t>
    <phoneticPr fontId="1"/>
  </si>
  <si>
    <t>91G3-2007</t>
    <phoneticPr fontId="1"/>
  </si>
  <si>
    <t>43</t>
    <phoneticPr fontId="1"/>
  </si>
  <si>
    <t>2F91FA21</t>
  </si>
  <si>
    <t>2F91FA21</t>
    <phoneticPr fontId="1"/>
  </si>
  <si>
    <t>7RNF1580A</t>
    <phoneticPr fontId="1"/>
  </si>
  <si>
    <t>439125182</t>
    <phoneticPr fontId="1"/>
  </si>
  <si>
    <t>9142-2413</t>
    <phoneticPr fontId="1"/>
  </si>
  <si>
    <t>54</t>
    <phoneticPr fontId="1"/>
  </si>
  <si>
    <t>2F91CB09,07</t>
    <phoneticPr fontId="1"/>
  </si>
  <si>
    <t>2F91CB04</t>
    <phoneticPr fontId="1"/>
  </si>
  <si>
    <t>7RMJ910A</t>
    <phoneticPr fontId="1"/>
  </si>
  <si>
    <t>439118212</t>
    <phoneticPr fontId="1"/>
  </si>
  <si>
    <t>9141-1811</t>
    <phoneticPr fontId="1"/>
  </si>
  <si>
    <t>53</t>
    <phoneticPr fontId="1"/>
  </si>
  <si>
    <t>439124027</t>
    <phoneticPr fontId="1"/>
  </si>
  <si>
    <t>91G6-2302</t>
    <phoneticPr fontId="1"/>
  </si>
  <si>
    <t>44</t>
    <phoneticPr fontId="1"/>
  </si>
  <si>
    <t>2F91BA17,18</t>
    <phoneticPr fontId="1"/>
  </si>
  <si>
    <t>7RNF8661A</t>
    <phoneticPr fontId="1"/>
  </si>
  <si>
    <t>439111112</t>
    <phoneticPr fontId="1"/>
  </si>
  <si>
    <t>2F8DQB01</t>
    <phoneticPr fontId="1"/>
  </si>
  <si>
    <t>9141-1004</t>
    <phoneticPr fontId="1"/>
  </si>
  <si>
    <t>7RNF8251A</t>
    <phoneticPr fontId="1"/>
  </si>
  <si>
    <t>439111059</t>
    <phoneticPr fontId="1"/>
  </si>
  <si>
    <t>2F91AC01</t>
    <phoneticPr fontId="1"/>
  </si>
  <si>
    <t>7RNF2871A</t>
    <phoneticPr fontId="1"/>
  </si>
  <si>
    <t>439121159</t>
    <phoneticPr fontId="1"/>
  </si>
  <si>
    <t>9142-2105</t>
    <phoneticPr fontId="1"/>
  </si>
  <si>
    <t>7RMJ390A</t>
    <phoneticPr fontId="1"/>
  </si>
  <si>
    <t>438D29139</t>
    <phoneticPr fontId="1"/>
  </si>
  <si>
    <t>8L41-2902</t>
    <phoneticPr fontId="1"/>
  </si>
  <si>
    <t>2F8DPB02</t>
    <phoneticPr fontId="1"/>
  </si>
  <si>
    <t>7RMJ112P</t>
    <phoneticPr fontId="1"/>
  </si>
  <si>
    <t>439121169</t>
    <phoneticPr fontId="1"/>
  </si>
  <si>
    <t>91G3-2105</t>
    <phoneticPr fontId="1"/>
  </si>
  <si>
    <t>2F91FA24</t>
    <phoneticPr fontId="1"/>
  </si>
  <si>
    <t>2F91AC02</t>
  </si>
  <si>
    <t>7RNF7500A</t>
    <phoneticPr fontId="1"/>
  </si>
  <si>
    <t>439121075</t>
    <phoneticPr fontId="1"/>
  </si>
  <si>
    <t>9142-2009</t>
    <phoneticPr fontId="1"/>
  </si>
  <si>
    <t>2F8DJA15</t>
  </si>
  <si>
    <t>U07F2400A</t>
    <phoneticPr fontId="1"/>
  </si>
  <si>
    <t>439111186</t>
    <phoneticPr fontId="1"/>
  </si>
  <si>
    <t>91G7-1009</t>
    <phoneticPr fontId="1"/>
  </si>
  <si>
    <t>2F91IB02</t>
  </si>
  <si>
    <t>7RMJ1R0P</t>
    <phoneticPr fontId="1"/>
  </si>
  <si>
    <t>439128134</t>
    <phoneticPr fontId="1"/>
  </si>
  <si>
    <t>9142-2809</t>
    <phoneticPr fontId="1"/>
  </si>
  <si>
    <t>7RMJ474A</t>
    <phoneticPr fontId="1"/>
  </si>
  <si>
    <t>439121017</t>
    <phoneticPr fontId="1"/>
  </si>
  <si>
    <t>91G3-2008</t>
    <phoneticPr fontId="1"/>
  </si>
  <si>
    <t>2F917B01</t>
  </si>
  <si>
    <t>7RMJ334A</t>
    <phoneticPr fontId="1"/>
  </si>
  <si>
    <t>430114080</t>
    <phoneticPr fontId="1"/>
  </si>
  <si>
    <t>9141-1402</t>
    <phoneticPr fontId="1"/>
  </si>
  <si>
    <t>7RNF4701P</t>
    <phoneticPr fontId="1"/>
  </si>
  <si>
    <t>439202023</t>
    <phoneticPr fontId="1"/>
  </si>
  <si>
    <t>9242-0113</t>
    <phoneticPr fontId="1"/>
  </si>
  <si>
    <t>43</t>
    <phoneticPr fontId="1"/>
  </si>
  <si>
    <t>2F91PC03</t>
    <phoneticPr fontId="1"/>
  </si>
  <si>
    <t>2F919A07</t>
  </si>
  <si>
    <t>7RQF2R15B</t>
    <phoneticPr fontId="1"/>
  </si>
  <si>
    <t>439201040</t>
    <phoneticPr fontId="1"/>
  </si>
  <si>
    <t>91G7-3101</t>
    <phoneticPr fontId="1"/>
  </si>
  <si>
    <t>44</t>
    <phoneticPr fontId="1"/>
  </si>
  <si>
    <t>2F8DRA27</t>
  </si>
  <si>
    <t>7RQFR47D</t>
    <phoneticPr fontId="1"/>
  </si>
  <si>
    <t>439117080</t>
    <phoneticPr fontId="1"/>
  </si>
  <si>
    <t>91G4-1703Z</t>
    <phoneticPr fontId="1"/>
  </si>
  <si>
    <t>53</t>
    <phoneticPr fontId="1"/>
  </si>
  <si>
    <t>2F8DQA53</t>
  </si>
  <si>
    <t>7RQFR39D</t>
    <phoneticPr fontId="1"/>
  </si>
  <si>
    <t>439121008</t>
    <phoneticPr fontId="1"/>
  </si>
  <si>
    <t>91G6-2005Z</t>
    <phoneticPr fontId="1"/>
  </si>
  <si>
    <t>54</t>
    <phoneticPr fontId="1"/>
  </si>
  <si>
    <t>7RQFR30D</t>
    <phoneticPr fontId="1"/>
  </si>
  <si>
    <t>439121023</t>
    <phoneticPr fontId="1"/>
  </si>
  <si>
    <t>91G6-2007Z</t>
    <phoneticPr fontId="1"/>
  </si>
  <si>
    <t>7RNF1211P</t>
    <phoneticPr fontId="1"/>
  </si>
  <si>
    <t>439128164</t>
    <phoneticPr fontId="1"/>
  </si>
  <si>
    <t>9142-2805</t>
    <phoneticPr fontId="1"/>
  </si>
  <si>
    <t>2F91IB03,01</t>
    <phoneticPr fontId="1"/>
  </si>
  <si>
    <t>2F918A09</t>
  </si>
  <si>
    <t>7RNF4221P</t>
    <phoneticPr fontId="1"/>
  </si>
  <si>
    <t>439125007</t>
    <phoneticPr fontId="1"/>
  </si>
  <si>
    <t>9117-2005</t>
    <phoneticPr fontId="1"/>
  </si>
  <si>
    <t>33</t>
    <phoneticPr fontId="1"/>
  </si>
  <si>
    <t>2F91PA46</t>
  </si>
  <si>
    <t>7RMF222A</t>
    <phoneticPr fontId="1"/>
  </si>
  <si>
    <t>439202192</t>
    <phoneticPr fontId="1"/>
  </si>
  <si>
    <t>92G5-0208</t>
    <phoneticPr fontId="1"/>
  </si>
  <si>
    <t>64</t>
    <phoneticPr fontId="1"/>
  </si>
  <si>
    <t>2F91BA16</t>
  </si>
  <si>
    <t>U07F5600A</t>
    <phoneticPr fontId="1"/>
  </si>
  <si>
    <t>439128168</t>
    <phoneticPr fontId="1"/>
  </si>
  <si>
    <t>9117-2601</t>
    <phoneticPr fontId="1"/>
  </si>
  <si>
    <t>2F91PC05</t>
  </si>
  <si>
    <t>7RNF6201A</t>
    <phoneticPr fontId="1"/>
  </si>
  <si>
    <t>439202082</t>
    <phoneticPr fontId="1"/>
  </si>
  <si>
    <t>9242-0204</t>
    <phoneticPr fontId="1"/>
  </si>
  <si>
    <t>U07F101A</t>
    <phoneticPr fontId="1"/>
  </si>
  <si>
    <t>439128205</t>
    <phoneticPr fontId="1"/>
  </si>
  <si>
    <t>91G5-2803Z</t>
    <phoneticPr fontId="1"/>
  </si>
  <si>
    <t>2F91AB02</t>
  </si>
  <si>
    <t>7RNF5233A</t>
    <phoneticPr fontId="1"/>
  </si>
  <si>
    <t>439116055</t>
    <phoneticPr fontId="1"/>
  </si>
  <si>
    <t>9141-1601</t>
    <phoneticPr fontId="1"/>
  </si>
  <si>
    <t>2F91FA22</t>
  </si>
  <si>
    <t>7RNF4020P</t>
    <phoneticPr fontId="1"/>
  </si>
  <si>
    <t>439122012</t>
    <phoneticPr fontId="1"/>
  </si>
  <si>
    <t>9146-2004</t>
    <phoneticPr fontId="1"/>
  </si>
  <si>
    <t>2F91PC02</t>
  </si>
  <si>
    <t>7RNF1821P</t>
    <phoneticPr fontId="1"/>
  </si>
  <si>
    <t>439201181</t>
    <phoneticPr fontId="1"/>
  </si>
  <si>
    <t>9242-0107</t>
    <phoneticPr fontId="1"/>
  </si>
  <si>
    <t>7RQF4R7B</t>
    <phoneticPr fontId="1"/>
  </si>
  <si>
    <t>439206021</t>
    <phoneticPr fontId="1"/>
  </si>
  <si>
    <t>92G7-0504</t>
    <phoneticPr fontId="1"/>
  </si>
  <si>
    <t>2F91LA22</t>
    <phoneticPr fontId="1"/>
  </si>
  <si>
    <t>2F91IB04</t>
  </si>
  <si>
    <t>439128064</t>
    <phoneticPr fontId="1"/>
  </si>
  <si>
    <t>9142-2801</t>
    <phoneticPr fontId="1"/>
  </si>
  <si>
    <t>43</t>
    <phoneticPr fontId="1"/>
  </si>
  <si>
    <t>7RQFR22D</t>
    <phoneticPr fontId="1"/>
  </si>
  <si>
    <t>439201132</t>
    <phoneticPr fontId="1"/>
  </si>
  <si>
    <t>91G7-3104Z</t>
    <phoneticPr fontId="1"/>
  </si>
  <si>
    <t>44</t>
    <phoneticPr fontId="1"/>
  </si>
  <si>
    <t>2F91CB02</t>
  </si>
  <si>
    <t>7RMJ4R7A</t>
    <phoneticPr fontId="1"/>
  </si>
  <si>
    <t>439118030</t>
    <phoneticPr fontId="1"/>
  </si>
  <si>
    <t>9141-1712</t>
    <phoneticPr fontId="1"/>
  </si>
  <si>
    <t>53</t>
    <phoneticPr fontId="1"/>
  </si>
  <si>
    <t>439114037</t>
    <phoneticPr fontId="1"/>
  </si>
  <si>
    <t>9141-1402</t>
    <phoneticPr fontId="1"/>
  </si>
  <si>
    <t>2F917B01</t>
    <phoneticPr fontId="1"/>
  </si>
  <si>
    <t>2F91BA18</t>
  </si>
  <si>
    <t>439123205</t>
    <phoneticPr fontId="1"/>
  </si>
  <si>
    <t>91G6-2301</t>
    <phoneticPr fontId="1"/>
  </si>
  <si>
    <t>U07F6801A</t>
    <phoneticPr fontId="1"/>
  </si>
  <si>
    <t>439129106</t>
    <phoneticPr fontId="1"/>
  </si>
  <si>
    <t>9117-2801</t>
    <phoneticPr fontId="1"/>
  </si>
  <si>
    <t>2F91IB05</t>
  </si>
  <si>
    <t>7RNF1001A</t>
    <phoneticPr fontId="1"/>
  </si>
  <si>
    <t>439128049</t>
    <phoneticPr fontId="1"/>
  </si>
  <si>
    <t>9142-2719</t>
    <phoneticPr fontId="1"/>
  </si>
  <si>
    <t>7RNF2151P</t>
    <phoneticPr fontId="1"/>
  </si>
  <si>
    <t>439115016</t>
    <phoneticPr fontId="1"/>
  </si>
  <si>
    <t>9142-1406</t>
    <phoneticPr fontId="1"/>
  </si>
  <si>
    <t>2F8DQC02</t>
    <phoneticPr fontId="1"/>
  </si>
  <si>
    <t>2019.2.11</t>
    <phoneticPr fontId="1"/>
  </si>
  <si>
    <t>7RNF1601P</t>
    <phoneticPr fontId="1"/>
  </si>
  <si>
    <t>439128221</t>
    <phoneticPr fontId="1"/>
  </si>
  <si>
    <t>9142-2813</t>
    <phoneticPr fontId="1"/>
  </si>
  <si>
    <t>33</t>
    <phoneticPr fontId="1"/>
  </si>
  <si>
    <t>2F91NC01</t>
    <phoneticPr fontId="1"/>
  </si>
  <si>
    <t>検査中</t>
    <rPh sb="0" eb="3">
      <t>ケンサチュウ</t>
    </rPh>
    <phoneticPr fontId="1"/>
  </si>
  <si>
    <t>7RNF6191A</t>
    <phoneticPr fontId="1"/>
  </si>
  <si>
    <t>439202089</t>
    <phoneticPr fontId="1"/>
  </si>
  <si>
    <t>9242-0202</t>
    <phoneticPr fontId="1"/>
  </si>
  <si>
    <t>43</t>
    <phoneticPr fontId="1"/>
  </si>
  <si>
    <t>2F91PC05</t>
    <phoneticPr fontId="1"/>
  </si>
  <si>
    <t>7RNF4421A</t>
    <phoneticPr fontId="1"/>
  </si>
  <si>
    <t>439202001</t>
    <phoneticPr fontId="1"/>
  </si>
  <si>
    <t>9242-0112</t>
    <phoneticPr fontId="1"/>
  </si>
  <si>
    <t>2F91PC03</t>
    <phoneticPr fontId="1"/>
  </si>
  <si>
    <t>2F91CB10</t>
  </si>
  <si>
    <t>7RNF61R9P</t>
    <phoneticPr fontId="1"/>
  </si>
  <si>
    <t>439126074</t>
    <phoneticPr fontId="1"/>
  </si>
  <si>
    <t>9142-2516</t>
    <phoneticPr fontId="1"/>
  </si>
  <si>
    <t>54</t>
    <phoneticPr fontId="1"/>
  </si>
  <si>
    <t>7RNF1001A</t>
    <phoneticPr fontId="1"/>
  </si>
  <si>
    <t>439128052</t>
    <phoneticPr fontId="1"/>
  </si>
  <si>
    <t>9141-2720</t>
    <phoneticPr fontId="1"/>
  </si>
  <si>
    <t>2F91IB05,04</t>
    <phoneticPr fontId="1"/>
  </si>
  <si>
    <t>2F91FA23</t>
  </si>
  <si>
    <t>7RNF82R0A</t>
    <phoneticPr fontId="1"/>
  </si>
  <si>
    <t>439121124</t>
    <phoneticPr fontId="1"/>
  </si>
  <si>
    <t>91G3-2101</t>
    <phoneticPr fontId="1"/>
  </si>
  <si>
    <t>2F91IB03</t>
  </si>
  <si>
    <t>7RNF1211P</t>
    <phoneticPr fontId="1"/>
  </si>
  <si>
    <t>439128141</t>
    <phoneticPr fontId="1"/>
  </si>
  <si>
    <t>9142-2804</t>
    <phoneticPr fontId="1"/>
  </si>
  <si>
    <t>439128163</t>
    <phoneticPr fontId="1"/>
  </si>
  <si>
    <t>9142-2803</t>
    <phoneticPr fontId="1"/>
  </si>
  <si>
    <t>7RNF3303A</t>
    <phoneticPr fontId="1"/>
  </si>
  <si>
    <t>7RNF4701A</t>
    <phoneticPr fontId="1"/>
  </si>
  <si>
    <t>439202057</t>
    <phoneticPr fontId="1"/>
  </si>
  <si>
    <t>9242-0116</t>
    <phoneticPr fontId="1"/>
  </si>
  <si>
    <t>2F91PC04</t>
    <phoneticPr fontId="1"/>
  </si>
  <si>
    <t>7RNF4421P</t>
    <phoneticPr fontId="1"/>
  </si>
  <si>
    <t>439202010</t>
    <phoneticPr fontId="1"/>
  </si>
  <si>
    <t>9242-0111</t>
    <phoneticPr fontId="1"/>
  </si>
  <si>
    <t>43</t>
    <phoneticPr fontId="1"/>
  </si>
  <si>
    <t>2F91PC01,03</t>
    <phoneticPr fontId="1"/>
  </si>
  <si>
    <t>2F91NC01</t>
  </si>
  <si>
    <t>7RNF2001P</t>
    <phoneticPr fontId="1"/>
  </si>
  <si>
    <t>439128198</t>
    <phoneticPr fontId="1"/>
  </si>
  <si>
    <t>9142-2812</t>
    <phoneticPr fontId="1"/>
  </si>
  <si>
    <t>33</t>
    <phoneticPr fontId="1"/>
  </si>
  <si>
    <t>2F917B06</t>
    <phoneticPr fontId="1"/>
  </si>
  <si>
    <t>439115051</t>
    <phoneticPr fontId="1"/>
  </si>
  <si>
    <t>9141-1504</t>
    <phoneticPr fontId="1"/>
  </si>
  <si>
    <t>7RNF4993A</t>
    <phoneticPr fontId="1"/>
  </si>
  <si>
    <t>439116062</t>
    <phoneticPr fontId="1"/>
  </si>
  <si>
    <t>9141-1519</t>
    <phoneticPr fontId="1"/>
  </si>
  <si>
    <t>53</t>
    <phoneticPr fontId="1"/>
  </si>
  <si>
    <t>2F91AB02</t>
    <phoneticPr fontId="1"/>
  </si>
  <si>
    <t>7RNF4701P</t>
    <phoneticPr fontId="1"/>
  </si>
  <si>
    <t>439202060</t>
    <phoneticPr fontId="1"/>
  </si>
  <si>
    <t>9242-0114</t>
    <phoneticPr fontId="1"/>
  </si>
  <si>
    <t>2F91PC03,04</t>
    <phoneticPr fontId="1"/>
  </si>
  <si>
    <t>ゲージ検査数量</t>
    <rPh sb="3" eb="5">
      <t>ケンサ</t>
    </rPh>
    <rPh sb="5" eb="7">
      <t>スウリョウ</t>
    </rPh>
    <phoneticPr fontId="1"/>
  </si>
  <si>
    <t>2F91PC04</t>
  </si>
  <si>
    <t>7RNF4701P</t>
    <phoneticPr fontId="1"/>
  </si>
  <si>
    <t>439202061</t>
    <phoneticPr fontId="1"/>
  </si>
  <si>
    <t>9242-0115</t>
    <phoneticPr fontId="1"/>
  </si>
  <si>
    <t>43</t>
    <phoneticPr fontId="1"/>
  </si>
  <si>
    <t>7RNF3301A</t>
    <phoneticPr fontId="1"/>
  </si>
  <si>
    <t>439122028</t>
    <phoneticPr fontId="1"/>
  </si>
  <si>
    <t>9142-3209</t>
    <phoneticPr fontId="1"/>
  </si>
  <si>
    <t>54</t>
    <phoneticPr fontId="1"/>
  </si>
  <si>
    <t>2F91AC03,04</t>
    <phoneticPr fontId="1"/>
  </si>
  <si>
    <t>2F91LA21</t>
  </si>
  <si>
    <t>7RQF5R1D</t>
    <phoneticPr fontId="1"/>
  </si>
  <si>
    <t>439208132</t>
    <phoneticPr fontId="1"/>
  </si>
  <si>
    <t>92G7-0619</t>
    <phoneticPr fontId="1"/>
  </si>
  <si>
    <t>2F91LA23</t>
  </si>
  <si>
    <t>7RQFR51D</t>
    <phoneticPr fontId="1"/>
  </si>
  <si>
    <t>439208099</t>
    <phoneticPr fontId="1"/>
  </si>
  <si>
    <t>92G6-0713</t>
    <phoneticPr fontId="1"/>
  </si>
  <si>
    <t>7RQF5R11B</t>
    <phoneticPr fontId="1"/>
  </si>
  <si>
    <t>439208136</t>
    <phoneticPr fontId="1"/>
  </si>
  <si>
    <t>92G7-0620</t>
    <phoneticPr fontId="1"/>
  </si>
  <si>
    <t>7RNF1211P</t>
    <phoneticPr fontId="1"/>
  </si>
  <si>
    <t>439128059</t>
    <phoneticPr fontId="1"/>
  </si>
  <si>
    <t>9142-2802</t>
    <phoneticPr fontId="1"/>
  </si>
  <si>
    <t>2F91IB04,03</t>
    <phoneticPr fontId="1"/>
  </si>
  <si>
    <t>7RQF1R0D</t>
    <phoneticPr fontId="1"/>
  </si>
  <si>
    <t>439208155</t>
    <phoneticPr fontId="1"/>
  </si>
  <si>
    <t>92G6-0719</t>
    <phoneticPr fontId="1"/>
  </si>
  <si>
    <t>7RNF1501A</t>
    <phoneticPr fontId="1"/>
  </si>
  <si>
    <t>439121059</t>
    <phoneticPr fontId="1"/>
  </si>
  <si>
    <t>9141-2105</t>
    <phoneticPr fontId="1"/>
  </si>
  <si>
    <t>2F91GB02</t>
    <phoneticPr fontId="1"/>
  </si>
  <si>
    <t>7RQF6R81B</t>
    <phoneticPr fontId="1"/>
  </si>
  <si>
    <t>439208098</t>
    <phoneticPr fontId="1"/>
  </si>
  <si>
    <t>92G7-0618</t>
    <phoneticPr fontId="1"/>
  </si>
  <si>
    <t>43</t>
    <phoneticPr fontId="1"/>
  </si>
  <si>
    <t>7RNF2741P</t>
    <phoneticPr fontId="1"/>
  </si>
  <si>
    <t>439201163</t>
    <phoneticPr fontId="1"/>
  </si>
  <si>
    <t>9242-0108</t>
    <phoneticPr fontId="1"/>
  </si>
  <si>
    <t>U07F80R6A</t>
    <phoneticPr fontId="1"/>
  </si>
  <si>
    <t>439208054</t>
    <phoneticPr fontId="1"/>
  </si>
  <si>
    <t>9245-0608</t>
    <phoneticPr fontId="1"/>
  </si>
  <si>
    <t>44</t>
    <phoneticPr fontId="1"/>
  </si>
  <si>
    <t>7RQF2R0B</t>
    <phoneticPr fontId="1"/>
  </si>
  <si>
    <t>439208134</t>
    <phoneticPr fontId="1"/>
  </si>
  <si>
    <t>92G7-0617</t>
    <phoneticPr fontId="1"/>
  </si>
  <si>
    <t>439201170</t>
    <phoneticPr fontId="1"/>
  </si>
  <si>
    <t>9242-0109</t>
    <phoneticPr fontId="1"/>
  </si>
  <si>
    <t>2F91PC02,01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</si>
</sst>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 "/>
    <numFmt numFmtId="177" formatCode="#,##0.00_ "/>
    <numFmt numFmtId="178" formatCode="#,##0.000_ "/>
  </numFmts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u/>
      <sz val="14"/>
      <color theme="1"/>
      <name val="ＭＳ Ｐゴシック"/>
      <family val="3"/>
      <charset val="128"/>
      <scheme val="minor"/>
    </font>
    <font>
      <b/>
      <u/>
      <sz val="18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theme="1"/>
      <name val="HGPｺﾞｼｯｸE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1" xfId="0" applyFill="1" applyBorder="1">
      <alignment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right" vertical="center"/>
    </xf>
    <xf numFmtId="176" fontId="2" fillId="0" borderId="0" xfId="0" applyNumberFormat="1" applyFont="1" applyFill="1" applyAlignment="1">
      <alignment horizontal="right" vertical="center"/>
    </xf>
    <xf numFmtId="176" fontId="0" fillId="0" borderId="0" xfId="0" applyNumberFormat="1" applyFill="1" applyAlignment="1">
      <alignment horizontal="right" vertical="center"/>
    </xf>
    <xf numFmtId="0" fontId="0" fillId="0" borderId="3" xfId="0" applyFill="1" applyBorder="1">
      <alignment vertical="center"/>
    </xf>
    <xf numFmtId="0" fontId="0" fillId="2" borderId="3" xfId="0" applyFill="1" applyBorder="1">
      <alignment vertical="center"/>
    </xf>
    <xf numFmtId="49" fontId="0" fillId="2" borderId="3" xfId="0" applyNumberForma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9" fontId="0" fillId="0" borderId="0" xfId="0" applyNumberFormat="1" applyFill="1">
      <alignment vertical="center"/>
    </xf>
    <xf numFmtId="177" fontId="0" fillId="0" borderId="0" xfId="0" applyNumberFormat="1" applyFill="1" applyAlignment="1">
      <alignment horizontal="right" vertical="center"/>
    </xf>
    <xf numFmtId="178" fontId="0" fillId="0" borderId="0" xfId="0" applyNumberFormat="1" applyFill="1" applyAlignment="1">
      <alignment horizontal="right" vertical="center"/>
    </xf>
    <xf numFmtId="56" fontId="0" fillId="0" borderId="1" xfId="0" applyNumberFormat="1" applyFill="1" applyBorder="1" applyAlignment="1">
      <alignment vertical="center"/>
    </xf>
    <xf numFmtId="56" fontId="4" fillId="2" borderId="5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right" vertical="center"/>
    </xf>
    <xf numFmtId="176" fontId="0" fillId="0" borderId="1" xfId="0" applyNumberFormat="1" applyFill="1" applyBorder="1">
      <alignment vertical="center"/>
    </xf>
    <xf numFmtId="176" fontId="0" fillId="0" borderId="0" xfId="0" applyNumberFormat="1" applyFill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38" fontId="0" fillId="0" borderId="0" xfId="1" applyFont="1" applyFill="1">
      <alignment vertical="center"/>
    </xf>
    <xf numFmtId="176" fontId="0" fillId="4" borderId="6" xfId="0" applyNumberFormat="1" applyFill="1" applyBorder="1" applyAlignment="1">
      <alignment horizontal="center" vertical="center"/>
    </xf>
    <xf numFmtId="176" fontId="0" fillId="4" borderId="7" xfId="0" applyNumberFormat="1" applyFill="1" applyBorder="1" applyAlignment="1">
      <alignment horizontal="center" vertical="center"/>
    </xf>
    <xf numFmtId="56" fontId="0" fillId="0" borderId="8" xfId="0" applyNumberFormat="1" applyFill="1" applyBorder="1" applyAlignment="1">
      <alignment horizontal="center" vertical="center"/>
    </xf>
    <xf numFmtId="56" fontId="0" fillId="0" borderId="2" xfId="0" applyNumberFormat="1" applyFill="1" applyBorder="1" applyAlignment="1">
      <alignment horizontal="center" vertical="center"/>
    </xf>
    <xf numFmtId="56" fontId="0" fillId="0" borderId="3" xfId="0" applyNumberForma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3"/>
  <sheetViews>
    <sheetView tabSelected="1" zoomScaleNormal="100" workbookViewId="0">
      <pane ySplit="5" topLeftCell="A136" activePane="bottomLeft" state="frozen"/>
      <selection pane="bottomLeft" activeCell="J140" sqref="J140"/>
    </sheetView>
  </sheetViews>
  <sheetFormatPr defaultColWidth="9" defaultRowHeight="13.5" x14ac:dyDescent="0.15"/>
  <cols>
    <col min="1" max="1" width="12.375" style="4" customWidth="1"/>
    <col min="2" max="2" width="18.625" style="5" customWidth="1"/>
    <col min="3" max="3" width="16.625" style="3" customWidth="1"/>
    <col min="4" max="4" width="16.375" style="3" customWidth="1"/>
    <col min="5" max="5" width="10.625" style="3" customWidth="1"/>
    <col min="6" max="6" width="16" style="3" customWidth="1"/>
    <col min="7" max="9" width="10.625" style="9" customWidth="1"/>
    <col min="10" max="10" width="12.625" style="4" customWidth="1"/>
    <col min="11" max="11" width="27.5" style="5" customWidth="1"/>
    <col min="12" max="12" width="9.875" style="5" bestFit="1" customWidth="1"/>
    <col min="13" max="16384" width="9" style="5"/>
  </cols>
  <sheetData>
    <row r="1" spans="1:13" x14ac:dyDescent="0.15">
      <c r="J1" s="5" t="s">
        <v>496</v>
      </c>
    </row>
    <row r="2" spans="1:13" ht="13.5" customHeight="1" x14ac:dyDescent="0.15">
      <c r="B2" s="35" t="s">
        <v>0</v>
      </c>
      <c r="C2" s="35"/>
      <c r="D2" s="35"/>
    </row>
    <row r="3" spans="1:13" ht="13.5" customHeight="1" x14ac:dyDescent="0.15">
      <c r="B3" s="35"/>
      <c r="C3" s="35"/>
      <c r="D3" s="35"/>
      <c r="I3" s="8"/>
    </row>
    <row r="4" spans="1:13" x14ac:dyDescent="0.15">
      <c r="H4" s="16">
        <v>0.05</v>
      </c>
      <c r="I4" s="17">
        <v>8.0000000000000002E-3</v>
      </c>
    </row>
    <row r="5" spans="1:13" ht="17.100000000000001" customHeight="1" thickBot="1" x14ac:dyDescent="0.2">
      <c r="A5" s="20" t="s">
        <v>1</v>
      </c>
      <c r="B5" s="20" t="s">
        <v>2</v>
      </c>
      <c r="C5" s="21" t="s">
        <v>3</v>
      </c>
      <c r="D5" s="21" t="s">
        <v>7</v>
      </c>
      <c r="E5" s="21" t="s">
        <v>4</v>
      </c>
      <c r="F5" s="21" t="s">
        <v>16</v>
      </c>
      <c r="G5" s="22" t="s">
        <v>8</v>
      </c>
      <c r="H5" s="22" t="s">
        <v>10</v>
      </c>
      <c r="I5" s="22" t="s">
        <v>11</v>
      </c>
      <c r="J5" s="20" t="s">
        <v>5</v>
      </c>
      <c r="K5" s="20" t="s">
        <v>6</v>
      </c>
    </row>
    <row r="6" spans="1:13" ht="14.25" thickTop="1" x14ac:dyDescent="0.15">
      <c r="A6" s="19" t="s">
        <v>9</v>
      </c>
      <c r="B6" s="11" t="s">
        <v>13</v>
      </c>
      <c r="C6" s="12" t="s">
        <v>12</v>
      </c>
      <c r="D6" s="12" t="s">
        <v>14</v>
      </c>
      <c r="E6" s="12" t="s">
        <v>15</v>
      </c>
      <c r="F6" s="12" t="s">
        <v>17</v>
      </c>
      <c r="G6" s="13">
        <v>500000</v>
      </c>
      <c r="H6" s="13">
        <f t="shared" ref="H6:H13" si="0">+G6*$H$4</f>
        <v>25000</v>
      </c>
      <c r="I6" s="13">
        <f t="shared" ref="I6:I13" si="1">+H6*$I$4</f>
        <v>200</v>
      </c>
      <c r="J6" s="14">
        <v>0</v>
      </c>
      <c r="K6" s="10"/>
    </row>
    <row r="7" spans="1:13" ht="17.100000000000001" customHeight="1" x14ac:dyDescent="0.15">
      <c r="A7" s="32">
        <v>43500</v>
      </c>
      <c r="B7" s="1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7">
        <v>90188</v>
      </c>
      <c r="H7" s="7">
        <f t="shared" si="0"/>
        <v>4509.4000000000005</v>
      </c>
      <c r="I7" s="7">
        <f t="shared" si="1"/>
        <v>36.075200000000002</v>
      </c>
      <c r="J7" s="6">
        <v>0</v>
      </c>
      <c r="K7" s="1"/>
      <c r="M7" s="15"/>
    </row>
    <row r="8" spans="1:13" ht="17.100000000000001" customHeight="1" x14ac:dyDescent="0.15">
      <c r="A8" s="33"/>
      <c r="B8" s="1" t="s">
        <v>24</v>
      </c>
      <c r="C8" s="2" t="s">
        <v>25</v>
      </c>
      <c r="D8" s="2" t="s">
        <v>26</v>
      </c>
      <c r="E8" s="2" t="s">
        <v>22</v>
      </c>
      <c r="F8" s="2" t="s">
        <v>27</v>
      </c>
      <c r="G8" s="7">
        <v>579672</v>
      </c>
      <c r="H8" s="30" t="s">
        <v>28</v>
      </c>
      <c r="I8" s="31"/>
      <c r="J8" s="6">
        <v>316</v>
      </c>
      <c r="K8" s="1" t="s">
        <v>344</v>
      </c>
    </row>
    <row r="9" spans="1:13" ht="17.100000000000001" customHeight="1" x14ac:dyDescent="0.15">
      <c r="A9" s="33"/>
      <c r="B9" s="1" t="s">
        <v>29</v>
      </c>
      <c r="C9" s="2" t="s">
        <v>30</v>
      </c>
      <c r="D9" s="2" t="s">
        <v>32</v>
      </c>
      <c r="E9" s="2" t="s">
        <v>33</v>
      </c>
      <c r="F9" s="2" t="s">
        <v>31</v>
      </c>
      <c r="G9" s="7">
        <v>240224</v>
      </c>
      <c r="H9" s="7">
        <f t="shared" si="0"/>
        <v>12011.2</v>
      </c>
      <c r="I9" s="7">
        <f t="shared" si="1"/>
        <v>96.089600000000004</v>
      </c>
      <c r="J9" s="6">
        <v>0</v>
      </c>
      <c r="K9" s="1"/>
    </row>
    <row r="10" spans="1:13" ht="17.100000000000001" customHeight="1" x14ac:dyDescent="0.15">
      <c r="A10" s="33"/>
      <c r="B10" s="1" t="s">
        <v>34</v>
      </c>
      <c r="C10" s="2" t="s">
        <v>35</v>
      </c>
      <c r="D10" s="2" t="s">
        <v>36</v>
      </c>
      <c r="E10" s="2" t="s">
        <v>33</v>
      </c>
      <c r="F10" s="2" t="s">
        <v>37</v>
      </c>
      <c r="G10" s="7">
        <v>84940</v>
      </c>
      <c r="H10" s="7">
        <f t="shared" si="0"/>
        <v>4247</v>
      </c>
      <c r="I10" s="7">
        <f t="shared" si="1"/>
        <v>33.975999999999999</v>
      </c>
      <c r="J10" s="6">
        <v>0</v>
      </c>
      <c r="K10" s="1"/>
    </row>
    <row r="11" spans="1:13" ht="17.100000000000001" customHeight="1" x14ac:dyDescent="0.15">
      <c r="A11" s="33"/>
      <c r="B11" s="1" t="s">
        <v>38</v>
      </c>
      <c r="C11" s="2" t="s">
        <v>39</v>
      </c>
      <c r="D11" s="2" t="s">
        <v>40</v>
      </c>
      <c r="E11" s="2" t="s">
        <v>33</v>
      </c>
      <c r="F11" s="2" t="s">
        <v>41</v>
      </c>
      <c r="G11" s="7">
        <v>78678</v>
      </c>
      <c r="H11" s="7">
        <f t="shared" si="0"/>
        <v>3933.9</v>
      </c>
      <c r="I11" s="7">
        <f t="shared" si="1"/>
        <v>31.4712</v>
      </c>
      <c r="J11" s="6">
        <v>0</v>
      </c>
      <c r="K11" s="1"/>
    </row>
    <row r="12" spans="1:13" ht="17.100000000000001" customHeight="1" x14ac:dyDescent="0.15">
      <c r="A12" s="33"/>
      <c r="B12" s="1" t="s">
        <v>42</v>
      </c>
      <c r="C12" s="2" t="s">
        <v>43</v>
      </c>
      <c r="D12" s="2" t="s">
        <v>44</v>
      </c>
      <c r="E12" s="2" t="s">
        <v>33</v>
      </c>
      <c r="F12" s="2" t="s">
        <v>45</v>
      </c>
      <c r="G12" s="7">
        <v>88758</v>
      </c>
      <c r="H12" s="7">
        <f t="shared" si="0"/>
        <v>4437.9000000000005</v>
      </c>
      <c r="I12" s="7">
        <f t="shared" si="1"/>
        <v>35.503200000000007</v>
      </c>
      <c r="J12" s="6">
        <v>0</v>
      </c>
      <c r="K12" s="1"/>
    </row>
    <row r="13" spans="1:13" ht="17.100000000000001" customHeight="1" x14ac:dyDescent="0.15">
      <c r="A13" s="34"/>
      <c r="B13" s="1" t="s">
        <v>46</v>
      </c>
      <c r="C13" s="2" t="s">
        <v>47</v>
      </c>
      <c r="D13" s="2" t="s">
        <v>48</v>
      </c>
      <c r="E13" s="2" t="s">
        <v>22</v>
      </c>
      <c r="F13" s="2" t="s">
        <v>49</v>
      </c>
      <c r="G13" s="7">
        <v>572020</v>
      </c>
      <c r="H13" s="7">
        <f t="shared" si="0"/>
        <v>28601</v>
      </c>
      <c r="I13" s="7">
        <f t="shared" si="1"/>
        <v>228.80799999999999</v>
      </c>
      <c r="J13" s="6">
        <v>0</v>
      </c>
      <c r="K13" s="23"/>
    </row>
    <row r="14" spans="1:13" ht="17.100000000000001" customHeight="1" x14ac:dyDescent="0.15">
      <c r="A14" s="32">
        <v>43501</v>
      </c>
      <c r="B14" s="1" t="s">
        <v>50</v>
      </c>
      <c r="C14" s="2" t="s">
        <v>51</v>
      </c>
      <c r="D14" s="2" t="s">
        <v>52</v>
      </c>
      <c r="E14" s="2" t="s">
        <v>53</v>
      </c>
      <c r="F14" s="2" t="s">
        <v>54</v>
      </c>
      <c r="G14" s="7">
        <v>555766</v>
      </c>
      <c r="H14" s="7">
        <f t="shared" ref="H14:H18" si="2">+G14*$H$4</f>
        <v>27788.300000000003</v>
      </c>
      <c r="I14" s="7">
        <f t="shared" ref="I14:I18" si="3">+H14*$I$4</f>
        <v>222.30640000000002</v>
      </c>
      <c r="J14" s="6">
        <v>0</v>
      </c>
      <c r="K14" s="1"/>
    </row>
    <row r="15" spans="1:13" ht="17.100000000000001" customHeight="1" x14ac:dyDescent="0.15">
      <c r="A15" s="33"/>
      <c r="B15" s="1" t="s">
        <v>55</v>
      </c>
      <c r="C15" s="2" t="s">
        <v>56</v>
      </c>
      <c r="D15" s="2" t="s">
        <v>57</v>
      </c>
      <c r="E15" s="2" t="s">
        <v>58</v>
      </c>
      <c r="F15" s="2" t="s">
        <v>59</v>
      </c>
      <c r="G15" s="7">
        <v>343566</v>
      </c>
      <c r="H15" s="7">
        <f t="shared" si="2"/>
        <v>17178.3</v>
      </c>
      <c r="I15" s="7">
        <f t="shared" si="3"/>
        <v>137.4264</v>
      </c>
      <c r="J15" s="6">
        <v>0</v>
      </c>
      <c r="K15" s="1"/>
    </row>
    <row r="16" spans="1:13" ht="17.100000000000001" customHeight="1" x14ac:dyDescent="0.15">
      <c r="A16" s="33"/>
      <c r="B16" s="1" t="s">
        <v>60</v>
      </c>
      <c r="C16" s="2" t="s">
        <v>61</v>
      </c>
      <c r="D16" s="2" t="s">
        <v>62</v>
      </c>
      <c r="E16" s="2" t="s">
        <v>63</v>
      </c>
      <c r="F16" s="2" t="s">
        <v>64</v>
      </c>
      <c r="G16" s="7">
        <v>592628</v>
      </c>
      <c r="H16" s="7">
        <f t="shared" si="2"/>
        <v>29631.4</v>
      </c>
      <c r="I16" s="7">
        <f t="shared" si="3"/>
        <v>237.05120000000002</v>
      </c>
      <c r="J16" s="6">
        <v>0</v>
      </c>
      <c r="K16" s="1"/>
    </row>
    <row r="17" spans="1:11" ht="17.100000000000001" customHeight="1" x14ac:dyDescent="0.15">
      <c r="A17" s="33"/>
      <c r="B17" s="1" t="s">
        <v>65</v>
      </c>
      <c r="C17" s="2" t="s">
        <v>66</v>
      </c>
      <c r="D17" s="2" t="s">
        <v>67</v>
      </c>
      <c r="E17" s="2" t="s">
        <v>63</v>
      </c>
      <c r="F17" s="2" t="s">
        <v>68</v>
      </c>
      <c r="G17" s="7">
        <v>566500</v>
      </c>
      <c r="H17" s="7">
        <f t="shared" si="2"/>
        <v>28325</v>
      </c>
      <c r="I17" s="7">
        <f t="shared" si="3"/>
        <v>226.6</v>
      </c>
      <c r="J17" s="6">
        <v>0</v>
      </c>
      <c r="K17" s="1"/>
    </row>
    <row r="18" spans="1:11" ht="17.100000000000001" customHeight="1" x14ac:dyDescent="0.15">
      <c r="A18" s="33"/>
      <c r="B18" s="1" t="s">
        <v>73</v>
      </c>
      <c r="C18" s="2" t="s">
        <v>69</v>
      </c>
      <c r="D18" s="2" t="s">
        <v>70</v>
      </c>
      <c r="E18" s="2" t="s">
        <v>58</v>
      </c>
      <c r="F18" s="2" t="s">
        <v>71</v>
      </c>
      <c r="G18" s="7">
        <v>174409</v>
      </c>
      <c r="H18" s="7">
        <f t="shared" si="2"/>
        <v>8720.4500000000007</v>
      </c>
      <c r="I18" s="7">
        <f t="shared" si="3"/>
        <v>69.763600000000011</v>
      </c>
      <c r="J18" s="6">
        <v>0</v>
      </c>
      <c r="K18" s="1"/>
    </row>
    <row r="19" spans="1:11" ht="17.100000000000001" customHeight="1" x14ac:dyDescent="0.15">
      <c r="A19" s="33"/>
      <c r="B19" s="1" t="s">
        <v>72</v>
      </c>
      <c r="C19" s="2" t="s">
        <v>74</v>
      </c>
      <c r="D19" s="2" t="s">
        <v>75</v>
      </c>
      <c r="E19" s="2" t="s">
        <v>58</v>
      </c>
      <c r="F19" s="2" t="s">
        <v>76</v>
      </c>
      <c r="G19" s="7">
        <v>223549</v>
      </c>
      <c r="H19" s="7">
        <f t="shared" ref="H19:H21" si="4">+G19*$H$4</f>
        <v>11177.45</v>
      </c>
      <c r="I19" s="7">
        <f t="shared" ref="I19:I181" si="5">+H19*$I$4</f>
        <v>89.419600000000003</v>
      </c>
      <c r="J19" s="6">
        <v>0</v>
      </c>
      <c r="K19" s="1"/>
    </row>
    <row r="20" spans="1:11" ht="17.100000000000001" customHeight="1" x14ac:dyDescent="0.15">
      <c r="A20" s="33"/>
      <c r="B20" s="1" t="s">
        <v>77</v>
      </c>
      <c r="C20" s="2" t="s">
        <v>78</v>
      </c>
      <c r="D20" s="2" t="s">
        <v>79</v>
      </c>
      <c r="E20" s="2" t="s">
        <v>80</v>
      </c>
      <c r="F20" s="2" t="s">
        <v>81</v>
      </c>
      <c r="G20" s="7">
        <v>33888</v>
      </c>
      <c r="H20" s="7">
        <f t="shared" si="4"/>
        <v>1694.4</v>
      </c>
      <c r="I20" s="7">
        <f t="shared" si="5"/>
        <v>13.555200000000001</v>
      </c>
      <c r="J20" s="6">
        <v>0</v>
      </c>
      <c r="K20" s="1"/>
    </row>
    <row r="21" spans="1:11" ht="17.100000000000001" customHeight="1" x14ac:dyDescent="0.15">
      <c r="A21" s="33"/>
      <c r="B21" s="1" t="s">
        <v>82</v>
      </c>
      <c r="C21" s="2" t="s">
        <v>83</v>
      </c>
      <c r="D21" s="2" t="s">
        <v>84</v>
      </c>
      <c r="E21" s="2" t="s">
        <v>63</v>
      </c>
      <c r="F21" s="2" t="s">
        <v>85</v>
      </c>
      <c r="G21" s="7">
        <v>648694</v>
      </c>
      <c r="H21" s="7">
        <f t="shared" si="4"/>
        <v>32434.7</v>
      </c>
      <c r="I21" s="7">
        <f t="shared" si="5"/>
        <v>259.4776</v>
      </c>
      <c r="J21" s="6">
        <v>0</v>
      </c>
      <c r="K21" s="1"/>
    </row>
    <row r="22" spans="1:11" ht="17.100000000000001" customHeight="1" x14ac:dyDescent="0.15">
      <c r="A22" s="33"/>
      <c r="B22" s="1" t="s">
        <v>86</v>
      </c>
      <c r="C22" s="2" t="s">
        <v>87</v>
      </c>
      <c r="D22" s="2" t="s">
        <v>88</v>
      </c>
      <c r="E22" s="2" t="s">
        <v>58</v>
      </c>
      <c r="F22" s="2" t="s">
        <v>89</v>
      </c>
      <c r="G22" s="7">
        <v>654230</v>
      </c>
      <c r="H22" s="7">
        <f t="shared" ref="H22:H123" si="6">+G22*$H$4</f>
        <v>32711.5</v>
      </c>
      <c r="I22" s="7">
        <f t="shared" ref="I22:I178" si="7">+H22*$I$4</f>
        <v>261.69200000000001</v>
      </c>
      <c r="J22" s="6">
        <v>0</v>
      </c>
      <c r="K22" s="1"/>
    </row>
    <row r="23" spans="1:11" ht="17.100000000000001" customHeight="1" x14ac:dyDescent="0.15">
      <c r="A23" s="33"/>
      <c r="B23" s="1" t="s">
        <v>90</v>
      </c>
      <c r="C23" s="2" t="s">
        <v>91</v>
      </c>
      <c r="D23" s="2" t="s">
        <v>92</v>
      </c>
      <c r="E23" s="2" t="s">
        <v>53</v>
      </c>
      <c r="F23" s="2" t="s">
        <v>93</v>
      </c>
      <c r="G23" s="7">
        <v>88470</v>
      </c>
      <c r="H23" s="7">
        <f t="shared" si="6"/>
        <v>4423.5</v>
      </c>
      <c r="I23" s="7">
        <f t="shared" si="7"/>
        <v>35.387999999999998</v>
      </c>
      <c r="J23" s="6">
        <v>0</v>
      </c>
      <c r="K23" s="1"/>
    </row>
    <row r="24" spans="1:11" ht="17.100000000000001" customHeight="1" x14ac:dyDescent="0.15">
      <c r="A24" s="33"/>
      <c r="B24" s="1" t="s">
        <v>94</v>
      </c>
      <c r="C24" s="2" t="s">
        <v>95</v>
      </c>
      <c r="D24" s="2" t="s">
        <v>96</v>
      </c>
      <c r="E24" s="2" t="s">
        <v>97</v>
      </c>
      <c r="F24" s="2" t="s">
        <v>98</v>
      </c>
      <c r="G24" s="7">
        <v>346344</v>
      </c>
      <c r="H24" s="7">
        <f t="shared" si="6"/>
        <v>17317.2</v>
      </c>
      <c r="I24" s="7">
        <f t="shared" si="7"/>
        <v>138.5376</v>
      </c>
      <c r="J24" s="6">
        <v>0</v>
      </c>
      <c r="K24" s="1"/>
    </row>
    <row r="25" spans="1:11" ht="17.100000000000001" customHeight="1" x14ac:dyDescent="0.15">
      <c r="A25" s="33"/>
      <c r="B25" s="1" t="s">
        <v>99</v>
      </c>
      <c r="C25" s="2" t="s">
        <v>100</v>
      </c>
      <c r="D25" s="2" t="s">
        <v>101</v>
      </c>
      <c r="E25" s="2" t="s">
        <v>53</v>
      </c>
      <c r="F25" s="2" t="s">
        <v>102</v>
      </c>
      <c r="G25" s="7">
        <v>90208</v>
      </c>
      <c r="H25" s="7">
        <f t="shared" si="6"/>
        <v>4510.4000000000005</v>
      </c>
      <c r="I25" s="7">
        <f t="shared" si="7"/>
        <v>36.083200000000005</v>
      </c>
      <c r="J25" s="6">
        <v>0</v>
      </c>
      <c r="K25" s="1"/>
    </row>
    <row r="26" spans="1:11" ht="17.100000000000001" customHeight="1" x14ac:dyDescent="0.15">
      <c r="A26" s="33"/>
      <c r="B26" s="1" t="s">
        <v>103</v>
      </c>
      <c r="C26" s="2" t="s">
        <v>104</v>
      </c>
      <c r="D26" s="2" t="s">
        <v>106</v>
      </c>
      <c r="E26" s="2" t="s">
        <v>63</v>
      </c>
      <c r="F26" s="2" t="s">
        <v>105</v>
      </c>
      <c r="G26" s="7">
        <v>191756</v>
      </c>
      <c r="H26" s="7">
        <f t="shared" si="6"/>
        <v>9587.8000000000011</v>
      </c>
      <c r="I26" s="7">
        <f t="shared" si="7"/>
        <v>76.702400000000011</v>
      </c>
      <c r="J26" s="6">
        <v>0</v>
      </c>
      <c r="K26" s="1"/>
    </row>
    <row r="27" spans="1:11" ht="17.100000000000001" customHeight="1" x14ac:dyDescent="0.15">
      <c r="A27" s="33"/>
      <c r="B27" s="1" t="s">
        <v>107</v>
      </c>
      <c r="C27" s="2" t="s">
        <v>108</v>
      </c>
      <c r="D27" s="2" t="s">
        <v>109</v>
      </c>
      <c r="E27" s="2" t="s">
        <v>63</v>
      </c>
      <c r="F27" s="2" t="s">
        <v>105</v>
      </c>
      <c r="G27" s="7">
        <v>85504</v>
      </c>
      <c r="H27" s="7">
        <f t="shared" si="6"/>
        <v>4275.2</v>
      </c>
      <c r="I27" s="7">
        <f t="shared" si="7"/>
        <v>34.201599999999999</v>
      </c>
      <c r="J27" s="6">
        <v>0</v>
      </c>
      <c r="K27" s="1"/>
    </row>
    <row r="28" spans="1:11" ht="17.100000000000001" customHeight="1" x14ac:dyDescent="0.15">
      <c r="A28" s="33"/>
      <c r="B28" s="1" t="s">
        <v>110</v>
      </c>
      <c r="C28" s="2" t="s">
        <v>111</v>
      </c>
      <c r="D28" s="2" t="s">
        <v>112</v>
      </c>
      <c r="E28" s="2" t="s">
        <v>58</v>
      </c>
      <c r="F28" s="2" t="s">
        <v>71</v>
      </c>
      <c r="G28" s="7">
        <v>115630</v>
      </c>
      <c r="H28" s="7">
        <f t="shared" si="6"/>
        <v>5781.5</v>
      </c>
      <c r="I28" s="7">
        <f t="shared" si="7"/>
        <v>46.252000000000002</v>
      </c>
      <c r="J28" s="6">
        <v>0</v>
      </c>
      <c r="K28" s="1"/>
    </row>
    <row r="29" spans="1:11" ht="17.100000000000001" customHeight="1" x14ac:dyDescent="0.15">
      <c r="A29" s="33"/>
      <c r="B29" s="1" t="s">
        <v>113</v>
      </c>
      <c r="C29" s="2" t="s">
        <v>114</v>
      </c>
      <c r="D29" s="2" t="s">
        <v>115</v>
      </c>
      <c r="E29" s="2" t="s">
        <v>53</v>
      </c>
      <c r="F29" s="2" t="s">
        <v>116</v>
      </c>
      <c r="G29" s="7">
        <v>88480</v>
      </c>
      <c r="H29" s="7">
        <f t="shared" si="6"/>
        <v>4424</v>
      </c>
      <c r="I29" s="7">
        <f t="shared" si="7"/>
        <v>35.392000000000003</v>
      </c>
      <c r="J29" s="6">
        <v>0</v>
      </c>
      <c r="K29" s="1"/>
    </row>
    <row r="30" spans="1:11" ht="17.100000000000001" customHeight="1" x14ac:dyDescent="0.15">
      <c r="A30" s="33"/>
      <c r="B30" s="1" t="s">
        <v>117</v>
      </c>
      <c r="C30" s="2" t="s">
        <v>118</v>
      </c>
      <c r="D30" s="2" t="s">
        <v>119</v>
      </c>
      <c r="E30" s="2" t="s">
        <v>53</v>
      </c>
      <c r="F30" s="2" t="s">
        <v>120</v>
      </c>
      <c r="G30" s="7">
        <v>618588</v>
      </c>
      <c r="H30" s="7">
        <f t="shared" si="6"/>
        <v>30929.4</v>
      </c>
      <c r="I30" s="7">
        <f t="shared" si="7"/>
        <v>247.43520000000001</v>
      </c>
      <c r="J30" s="6">
        <v>0</v>
      </c>
      <c r="K30" s="1"/>
    </row>
    <row r="31" spans="1:11" ht="17.100000000000001" customHeight="1" x14ac:dyDescent="0.15">
      <c r="A31" s="33"/>
      <c r="B31" s="1" t="s">
        <v>121</v>
      </c>
      <c r="C31" s="2" t="s">
        <v>122</v>
      </c>
      <c r="D31" s="2" t="s">
        <v>123</v>
      </c>
      <c r="E31" s="2" t="s">
        <v>58</v>
      </c>
      <c r="F31" s="2" t="s">
        <v>124</v>
      </c>
      <c r="G31" s="7">
        <v>250815</v>
      </c>
      <c r="H31" s="7">
        <f t="shared" si="6"/>
        <v>12540.75</v>
      </c>
      <c r="I31" s="7">
        <f t="shared" si="7"/>
        <v>100.32600000000001</v>
      </c>
      <c r="J31" s="6">
        <v>0</v>
      </c>
      <c r="K31" s="1"/>
    </row>
    <row r="32" spans="1:11" ht="17.100000000000001" customHeight="1" x14ac:dyDescent="0.15">
      <c r="A32" s="33"/>
      <c r="B32" s="1" t="s">
        <v>125</v>
      </c>
      <c r="C32" s="2" t="s">
        <v>126</v>
      </c>
      <c r="D32" s="2" t="s">
        <v>127</v>
      </c>
      <c r="E32" s="2" t="s">
        <v>53</v>
      </c>
      <c r="F32" s="2" t="s">
        <v>116</v>
      </c>
      <c r="G32" s="7">
        <v>95272</v>
      </c>
      <c r="H32" s="7">
        <f t="shared" si="6"/>
        <v>4763.6000000000004</v>
      </c>
      <c r="I32" s="7">
        <f t="shared" si="7"/>
        <v>38.108800000000002</v>
      </c>
      <c r="J32" s="6">
        <v>0</v>
      </c>
      <c r="K32" s="1"/>
    </row>
    <row r="33" spans="1:12" ht="17.100000000000001" customHeight="1" x14ac:dyDescent="0.15">
      <c r="A33" s="34"/>
      <c r="B33" s="1" t="s">
        <v>128</v>
      </c>
      <c r="C33" s="2" t="s">
        <v>129</v>
      </c>
      <c r="D33" s="2" t="s">
        <v>130</v>
      </c>
      <c r="E33" s="2" t="s">
        <v>58</v>
      </c>
      <c r="F33" s="2" t="s">
        <v>59</v>
      </c>
      <c r="G33" s="7">
        <v>179588</v>
      </c>
      <c r="H33" s="7">
        <f t="shared" si="6"/>
        <v>8979.4</v>
      </c>
      <c r="I33" s="7">
        <f t="shared" si="7"/>
        <v>71.8352</v>
      </c>
      <c r="J33" s="6">
        <v>0</v>
      </c>
      <c r="K33" s="23"/>
      <c r="L33" s="24"/>
    </row>
    <row r="34" spans="1:12" ht="17.100000000000001" customHeight="1" x14ac:dyDescent="0.15">
      <c r="A34" s="32">
        <v>43502</v>
      </c>
      <c r="B34" s="1" t="s">
        <v>131</v>
      </c>
      <c r="C34" s="2" t="s">
        <v>132</v>
      </c>
      <c r="D34" s="2" t="s">
        <v>133</v>
      </c>
      <c r="E34" s="2" t="s">
        <v>134</v>
      </c>
      <c r="F34" s="2" t="s">
        <v>135</v>
      </c>
      <c r="G34" s="7">
        <v>412950</v>
      </c>
      <c r="H34" s="7">
        <f t="shared" si="6"/>
        <v>20647.5</v>
      </c>
      <c r="I34" s="7">
        <f t="shared" si="7"/>
        <v>165.18</v>
      </c>
      <c r="J34" s="6">
        <v>0</v>
      </c>
      <c r="K34" s="1"/>
    </row>
    <row r="35" spans="1:12" ht="17.100000000000001" customHeight="1" x14ac:dyDescent="0.15">
      <c r="A35" s="33"/>
      <c r="B35" s="1" t="s">
        <v>136</v>
      </c>
      <c r="C35" s="2" t="s">
        <v>137</v>
      </c>
      <c r="D35" s="2" t="s">
        <v>138</v>
      </c>
      <c r="E35" s="2" t="s">
        <v>139</v>
      </c>
      <c r="F35" s="2" t="s">
        <v>140</v>
      </c>
      <c r="G35" s="7">
        <v>97486</v>
      </c>
      <c r="H35" s="7">
        <f t="shared" si="6"/>
        <v>4874.3</v>
      </c>
      <c r="I35" s="7">
        <f t="shared" si="7"/>
        <v>38.994399999999999</v>
      </c>
      <c r="J35" s="6">
        <v>0</v>
      </c>
      <c r="K35" s="1"/>
    </row>
    <row r="36" spans="1:12" ht="17.100000000000001" customHeight="1" x14ac:dyDescent="0.15">
      <c r="A36" s="33"/>
      <c r="B36" s="1" t="s">
        <v>141</v>
      </c>
      <c r="C36" s="2" t="s">
        <v>142</v>
      </c>
      <c r="D36" s="2" t="s">
        <v>143</v>
      </c>
      <c r="E36" s="2" t="s">
        <v>144</v>
      </c>
      <c r="F36" s="2" t="s">
        <v>145</v>
      </c>
      <c r="G36" s="7">
        <v>297208</v>
      </c>
      <c r="H36" s="7">
        <f t="shared" si="6"/>
        <v>14860.400000000001</v>
      </c>
      <c r="I36" s="7">
        <f t="shared" si="7"/>
        <v>118.88320000000002</v>
      </c>
      <c r="J36" s="6">
        <v>0</v>
      </c>
      <c r="K36" s="1"/>
    </row>
    <row r="37" spans="1:12" ht="17.100000000000001" customHeight="1" x14ac:dyDescent="0.15">
      <c r="A37" s="33"/>
      <c r="B37" s="1" t="s">
        <v>146</v>
      </c>
      <c r="C37" s="2" t="s">
        <v>147</v>
      </c>
      <c r="D37" s="2" t="s">
        <v>148</v>
      </c>
      <c r="E37" s="2" t="s">
        <v>139</v>
      </c>
      <c r="F37" s="2" t="s">
        <v>149</v>
      </c>
      <c r="G37" s="7">
        <v>600718</v>
      </c>
      <c r="H37" s="7">
        <f t="shared" si="6"/>
        <v>30035.9</v>
      </c>
      <c r="I37" s="7">
        <f t="shared" si="7"/>
        <v>240.28720000000001</v>
      </c>
      <c r="J37" s="6">
        <v>0</v>
      </c>
      <c r="K37" s="1"/>
    </row>
    <row r="38" spans="1:12" ht="17.100000000000001" customHeight="1" x14ac:dyDescent="0.15">
      <c r="A38" s="33"/>
      <c r="B38" s="1" t="s">
        <v>65</v>
      </c>
      <c r="C38" s="2" t="s">
        <v>150</v>
      </c>
      <c r="D38" s="2" t="s">
        <v>151</v>
      </c>
      <c r="E38" s="2" t="s">
        <v>134</v>
      </c>
      <c r="F38" s="2" t="s">
        <v>152</v>
      </c>
      <c r="G38" s="7">
        <v>562188</v>
      </c>
      <c r="H38" s="7">
        <f t="shared" si="6"/>
        <v>28109.4</v>
      </c>
      <c r="I38" s="7">
        <f t="shared" si="7"/>
        <v>224.87520000000001</v>
      </c>
      <c r="J38" s="6">
        <v>0</v>
      </c>
      <c r="K38" s="1"/>
    </row>
    <row r="39" spans="1:12" ht="17.100000000000001" customHeight="1" x14ac:dyDescent="0.15">
      <c r="A39" s="33"/>
      <c r="B39" s="1" t="s">
        <v>153</v>
      </c>
      <c r="C39" s="2" t="s">
        <v>154</v>
      </c>
      <c r="D39" s="2" t="s">
        <v>155</v>
      </c>
      <c r="E39" s="2" t="s">
        <v>134</v>
      </c>
      <c r="F39" s="2" t="s">
        <v>135</v>
      </c>
      <c r="G39" s="7">
        <v>89740</v>
      </c>
      <c r="H39" s="7">
        <f t="shared" si="6"/>
        <v>4487</v>
      </c>
      <c r="I39" s="7">
        <f t="shared" si="7"/>
        <v>35.896000000000001</v>
      </c>
      <c r="J39" s="6">
        <v>0</v>
      </c>
      <c r="K39" s="1"/>
    </row>
    <row r="40" spans="1:12" ht="17.100000000000001" customHeight="1" x14ac:dyDescent="0.15">
      <c r="A40" s="33"/>
      <c r="B40" s="1" t="s">
        <v>141</v>
      </c>
      <c r="C40" s="2" t="s">
        <v>156</v>
      </c>
      <c r="D40" s="2" t="s">
        <v>157</v>
      </c>
      <c r="E40" s="2" t="s">
        <v>144</v>
      </c>
      <c r="F40" s="2" t="s">
        <v>158</v>
      </c>
      <c r="G40" s="7">
        <v>300918</v>
      </c>
      <c r="H40" s="7">
        <f t="shared" si="6"/>
        <v>15045.900000000001</v>
      </c>
      <c r="I40" s="7">
        <f t="shared" si="7"/>
        <v>120.36720000000001</v>
      </c>
      <c r="J40" s="6">
        <v>0</v>
      </c>
      <c r="K40" s="1"/>
    </row>
    <row r="41" spans="1:12" ht="17.100000000000001" customHeight="1" x14ac:dyDescent="0.15">
      <c r="A41" s="33"/>
      <c r="B41" s="1" t="s">
        <v>159</v>
      </c>
      <c r="C41" s="2" t="s">
        <v>160</v>
      </c>
      <c r="D41" s="2" t="s">
        <v>161</v>
      </c>
      <c r="E41" s="2" t="s">
        <v>139</v>
      </c>
      <c r="F41" s="2" t="s">
        <v>162</v>
      </c>
      <c r="G41" s="7">
        <v>116268</v>
      </c>
      <c r="H41" s="7">
        <f t="shared" si="6"/>
        <v>5813.4000000000005</v>
      </c>
      <c r="I41" s="7">
        <f t="shared" si="7"/>
        <v>46.507200000000005</v>
      </c>
      <c r="J41" s="6">
        <v>0</v>
      </c>
      <c r="K41" s="1"/>
    </row>
    <row r="42" spans="1:12" ht="17.100000000000001" customHeight="1" x14ac:dyDescent="0.15">
      <c r="A42" s="33"/>
      <c r="B42" s="1" t="s">
        <v>163</v>
      </c>
      <c r="C42" s="2" t="s">
        <v>164</v>
      </c>
      <c r="D42" s="2" t="s">
        <v>165</v>
      </c>
      <c r="E42" s="2" t="s">
        <v>139</v>
      </c>
      <c r="F42" s="2" t="s">
        <v>162</v>
      </c>
      <c r="G42" s="7">
        <v>174328</v>
      </c>
      <c r="H42" s="7">
        <f t="shared" si="6"/>
        <v>8716.4</v>
      </c>
      <c r="I42" s="7">
        <f t="shared" si="7"/>
        <v>69.731200000000001</v>
      </c>
      <c r="J42" s="6">
        <v>0</v>
      </c>
      <c r="K42" s="1"/>
    </row>
    <row r="43" spans="1:12" ht="17.100000000000001" customHeight="1" x14ac:dyDescent="0.15">
      <c r="A43" s="33"/>
      <c r="B43" s="1" t="s">
        <v>166</v>
      </c>
      <c r="C43" s="2" t="s">
        <v>167</v>
      </c>
      <c r="D43" s="2" t="s">
        <v>168</v>
      </c>
      <c r="E43" s="2" t="s">
        <v>139</v>
      </c>
      <c r="F43" s="2" t="s">
        <v>149</v>
      </c>
      <c r="G43" s="7">
        <v>84174</v>
      </c>
      <c r="H43" s="7">
        <f t="shared" si="6"/>
        <v>4208.7</v>
      </c>
      <c r="I43" s="7">
        <f t="shared" si="7"/>
        <v>33.669600000000003</v>
      </c>
      <c r="J43" s="6">
        <v>0</v>
      </c>
      <c r="K43" s="1"/>
    </row>
    <row r="44" spans="1:12" ht="17.100000000000001" customHeight="1" x14ac:dyDescent="0.15">
      <c r="A44" s="33"/>
      <c r="B44" s="1" t="s">
        <v>169</v>
      </c>
      <c r="C44" s="2" t="s">
        <v>170</v>
      </c>
      <c r="D44" s="2" t="s">
        <v>171</v>
      </c>
      <c r="E44" s="2" t="s">
        <v>134</v>
      </c>
      <c r="F44" s="2" t="s">
        <v>172</v>
      </c>
      <c r="G44" s="7">
        <v>89282</v>
      </c>
      <c r="H44" s="7">
        <f t="shared" si="6"/>
        <v>4464.1000000000004</v>
      </c>
      <c r="I44" s="7">
        <f t="shared" si="7"/>
        <v>35.712800000000001</v>
      </c>
      <c r="J44" s="6">
        <v>0</v>
      </c>
      <c r="K44" s="1"/>
    </row>
    <row r="45" spans="1:12" ht="17.100000000000001" customHeight="1" x14ac:dyDescent="0.15">
      <c r="A45" s="33"/>
      <c r="B45" s="1" t="s">
        <v>173</v>
      </c>
      <c r="C45" s="2" t="s">
        <v>174</v>
      </c>
      <c r="D45" s="2" t="s">
        <v>175</v>
      </c>
      <c r="E45" s="2" t="s">
        <v>144</v>
      </c>
      <c r="F45" s="2" t="s">
        <v>158</v>
      </c>
      <c r="G45" s="7">
        <v>295170</v>
      </c>
      <c r="H45" s="7">
        <f t="shared" si="6"/>
        <v>14758.5</v>
      </c>
      <c r="I45" s="7">
        <f t="shared" si="7"/>
        <v>118.068</v>
      </c>
      <c r="J45" s="6">
        <v>0</v>
      </c>
      <c r="K45" s="1"/>
    </row>
    <row r="46" spans="1:12" ht="17.100000000000001" customHeight="1" x14ac:dyDescent="0.15">
      <c r="A46" s="33"/>
      <c r="B46" s="1" t="s">
        <v>176</v>
      </c>
      <c r="C46" s="2" t="s">
        <v>177</v>
      </c>
      <c r="D46" s="2" t="s">
        <v>178</v>
      </c>
      <c r="E46" s="2" t="s">
        <v>144</v>
      </c>
      <c r="F46" s="2" t="s">
        <v>179</v>
      </c>
      <c r="G46" s="7">
        <v>91052</v>
      </c>
      <c r="H46" s="7">
        <f t="shared" si="6"/>
        <v>4552.6000000000004</v>
      </c>
      <c r="I46" s="7">
        <f t="shared" si="7"/>
        <v>36.420800000000007</v>
      </c>
      <c r="J46" s="6">
        <v>0</v>
      </c>
      <c r="K46" s="1"/>
    </row>
    <row r="47" spans="1:12" ht="17.100000000000001" customHeight="1" x14ac:dyDescent="0.15">
      <c r="A47" s="33"/>
      <c r="B47" s="1" t="s">
        <v>180</v>
      </c>
      <c r="C47" s="2" t="s">
        <v>181</v>
      </c>
      <c r="D47" s="2" t="s">
        <v>182</v>
      </c>
      <c r="E47" s="2" t="s">
        <v>144</v>
      </c>
      <c r="F47" s="2" t="s">
        <v>183</v>
      </c>
      <c r="G47" s="7">
        <v>207168</v>
      </c>
      <c r="H47" s="7">
        <f t="shared" si="6"/>
        <v>10358.400000000001</v>
      </c>
      <c r="I47" s="7">
        <f t="shared" si="7"/>
        <v>82.867200000000011</v>
      </c>
      <c r="J47" s="6">
        <v>0</v>
      </c>
      <c r="K47" s="1"/>
    </row>
    <row r="48" spans="1:12" ht="17.100000000000001" customHeight="1" x14ac:dyDescent="0.15">
      <c r="A48" s="33"/>
      <c r="B48" s="1" t="s">
        <v>184</v>
      </c>
      <c r="C48" s="2" t="s">
        <v>185</v>
      </c>
      <c r="D48" s="2" t="s">
        <v>186</v>
      </c>
      <c r="E48" s="2" t="s">
        <v>144</v>
      </c>
      <c r="F48" s="2" t="s">
        <v>187</v>
      </c>
      <c r="G48" s="7">
        <v>299542</v>
      </c>
      <c r="H48" s="7">
        <f t="shared" si="6"/>
        <v>14977.1</v>
      </c>
      <c r="I48" s="7">
        <f t="shared" si="7"/>
        <v>119.8168</v>
      </c>
      <c r="J48" s="6">
        <v>0</v>
      </c>
      <c r="K48" s="1"/>
    </row>
    <row r="49" spans="1:11" ht="17.100000000000001" customHeight="1" x14ac:dyDescent="0.15">
      <c r="A49" s="33"/>
      <c r="B49" s="1" t="s">
        <v>188</v>
      </c>
      <c r="C49" s="2" t="s">
        <v>189</v>
      </c>
      <c r="D49" s="2" t="s">
        <v>190</v>
      </c>
      <c r="E49" s="2" t="s">
        <v>139</v>
      </c>
      <c r="F49" s="2" t="s">
        <v>191</v>
      </c>
      <c r="G49" s="7">
        <v>473566</v>
      </c>
      <c r="H49" s="7">
        <f t="shared" si="6"/>
        <v>23678.300000000003</v>
      </c>
      <c r="I49" s="7">
        <f t="shared" si="7"/>
        <v>189.42640000000003</v>
      </c>
      <c r="J49" s="6">
        <v>0</v>
      </c>
      <c r="K49" s="1"/>
    </row>
    <row r="50" spans="1:11" ht="17.100000000000001" customHeight="1" x14ac:dyDescent="0.15">
      <c r="A50" s="33"/>
      <c r="B50" s="1" t="s">
        <v>192</v>
      </c>
      <c r="C50" s="2" t="s">
        <v>193</v>
      </c>
      <c r="D50" s="2" t="s">
        <v>194</v>
      </c>
      <c r="E50" s="2" t="s">
        <v>139</v>
      </c>
      <c r="F50" s="2" t="s">
        <v>195</v>
      </c>
      <c r="G50" s="7">
        <v>241416</v>
      </c>
      <c r="H50" s="7">
        <f t="shared" si="6"/>
        <v>12070.800000000001</v>
      </c>
      <c r="I50" s="7">
        <f t="shared" si="7"/>
        <v>96.566400000000016</v>
      </c>
      <c r="J50" s="6">
        <v>0</v>
      </c>
      <c r="K50" s="1"/>
    </row>
    <row r="51" spans="1:11" ht="17.100000000000001" customHeight="1" x14ac:dyDescent="0.15">
      <c r="A51" s="33"/>
      <c r="B51" s="1" t="s">
        <v>196</v>
      </c>
      <c r="C51" s="2" t="s">
        <v>197</v>
      </c>
      <c r="D51" s="2" t="s">
        <v>198</v>
      </c>
      <c r="E51" s="2" t="s">
        <v>134</v>
      </c>
      <c r="F51" s="2" t="s">
        <v>199</v>
      </c>
      <c r="G51" s="7">
        <v>359306</v>
      </c>
      <c r="H51" s="7">
        <f t="shared" si="6"/>
        <v>17965.3</v>
      </c>
      <c r="I51" s="7">
        <f t="shared" si="7"/>
        <v>143.72239999999999</v>
      </c>
      <c r="J51" s="6">
        <v>0</v>
      </c>
      <c r="K51" s="1"/>
    </row>
    <row r="52" spans="1:11" ht="17.100000000000001" customHeight="1" x14ac:dyDescent="0.15">
      <c r="A52" s="33"/>
      <c r="B52" s="1" t="s">
        <v>200</v>
      </c>
      <c r="C52" s="2" t="s">
        <v>201</v>
      </c>
      <c r="D52" s="2" t="s">
        <v>202</v>
      </c>
      <c r="E52" s="2" t="s">
        <v>134</v>
      </c>
      <c r="F52" s="2" t="s">
        <v>203</v>
      </c>
      <c r="G52" s="7">
        <v>585868</v>
      </c>
      <c r="H52" s="7">
        <f t="shared" si="6"/>
        <v>29293.4</v>
      </c>
      <c r="I52" s="7">
        <f t="shared" si="7"/>
        <v>234.34720000000002</v>
      </c>
      <c r="J52" s="6">
        <v>0</v>
      </c>
      <c r="K52" s="1"/>
    </row>
    <row r="53" spans="1:11" ht="17.100000000000001" customHeight="1" x14ac:dyDescent="0.15">
      <c r="A53" s="33"/>
      <c r="B53" s="1" t="s">
        <v>204</v>
      </c>
      <c r="C53" s="2" t="s">
        <v>205</v>
      </c>
      <c r="D53" s="2" t="s">
        <v>206</v>
      </c>
      <c r="E53" s="2" t="s">
        <v>134</v>
      </c>
      <c r="F53" s="2" t="s">
        <v>207</v>
      </c>
      <c r="G53" s="7">
        <v>470062</v>
      </c>
      <c r="H53" s="7">
        <f t="shared" si="6"/>
        <v>23503.100000000002</v>
      </c>
      <c r="I53" s="7">
        <f t="shared" si="7"/>
        <v>188.02480000000003</v>
      </c>
      <c r="J53" s="6">
        <v>0</v>
      </c>
      <c r="K53" s="1"/>
    </row>
    <row r="54" spans="1:11" ht="17.100000000000001" customHeight="1" x14ac:dyDescent="0.15">
      <c r="A54" s="33"/>
      <c r="B54" s="1" t="s">
        <v>208</v>
      </c>
      <c r="C54" s="2" t="s">
        <v>209</v>
      </c>
      <c r="D54" s="2" t="s">
        <v>210</v>
      </c>
      <c r="E54" s="2" t="s">
        <v>139</v>
      </c>
      <c r="F54" s="2" t="s">
        <v>211</v>
      </c>
      <c r="G54" s="7">
        <v>427994</v>
      </c>
      <c r="H54" s="7">
        <f t="shared" si="6"/>
        <v>21399.7</v>
      </c>
      <c r="I54" s="7">
        <f t="shared" si="7"/>
        <v>171.19760000000002</v>
      </c>
      <c r="J54" s="6">
        <v>0</v>
      </c>
      <c r="K54" s="1"/>
    </row>
    <row r="55" spans="1:11" ht="17.100000000000001" customHeight="1" x14ac:dyDescent="0.15">
      <c r="A55" s="33"/>
      <c r="B55" s="1" t="s">
        <v>212</v>
      </c>
      <c r="C55" s="2" t="s">
        <v>213</v>
      </c>
      <c r="D55" s="2" t="s">
        <v>214</v>
      </c>
      <c r="E55" s="2" t="s">
        <v>215</v>
      </c>
      <c r="F55" s="2" t="s">
        <v>216</v>
      </c>
      <c r="G55" s="7">
        <v>89068</v>
      </c>
      <c r="H55" s="7">
        <f t="shared" si="6"/>
        <v>4453.4000000000005</v>
      </c>
      <c r="I55" s="7">
        <f t="shared" si="7"/>
        <v>35.627200000000002</v>
      </c>
      <c r="J55" s="6">
        <v>0</v>
      </c>
      <c r="K55" s="1"/>
    </row>
    <row r="56" spans="1:11" ht="17.100000000000001" customHeight="1" x14ac:dyDescent="0.15">
      <c r="A56" s="33"/>
      <c r="B56" s="1" t="s">
        <v>217</v>
      </c>
      <c r="C56" s="2" t="s">
        <v>218</v>
      </c>
      <c r="D56" s="2" t="s">
        <v>219</v>
      </c>
      <c r="E56" s="2" t="s">
        <v>139</v>
      </c>
      <c r="F56" s="2" t="s">
        <v>220</v>
      </c>
      <c r="G56" s="7">
        <v>175412</v>
      </c>
      <c r="H56" s="7">
        <f t="shared" si="6"/>
        <v>8770.6</v>
      </c>
      <c r="I56" s="7">
        <f t="shared" si="7"/>
        <v>70.1648</v>
      </c>
      <c r="J56" s="6">
        <v>0</v>
      </c>
      <c r="K56" s="1"/>
    </row>
    <row r="57" spans="1:11" ht="17.100000000000001" customHeight="1" x14ac:dyDescent="0.15">
      <c r="A57" s="33"/>
      <c r="B57" s="1" t="s">
        <v>221</v>
      </c>
      <c r="C57" s="2" t="s">
        <v>222</v>
      </c>
      <c r="D57" s="2" t="s">
        <v>223</v>
      </c>
      <c r="E57" s="2" t="s">
        <v>139</v>
      </c>
      <c r="F57" s="2" t="s">
        <v>224</v>
      </c>
      <c r="G57" s="7">
        <v>149110</v>
      </c>
      <c r="H57" s="7">
        <f t="shared" si="6"/>
        <v>7455.5</v>
      </c>
      <c r="I57" s="7">
        <f t="shared" si="7"/>
        <v>59.643999999999998</v>
      </c>
      <c r="J57" s="6">
        <v>0</v>
      </c>
      <c r="K57" s="1"/>
    </row>
    <row r="58" spans="1:11" ht="17.100000000000001" customHeight="1" x14ac:dyDescent="0.15">
      <c r="A58" s="33"/>
      <c r="B58" s="1" t="s">
        <v>225</v>
      </c>
      <c r="C58" s="2" t="s">
        <v>226</v>
      </c>
      <c r="D58" s="2" t="s">
        <v>227</v>
      </c>
      <c r="E58" s="2" t="s">
        <v>139</v>
      </c>
      <c r="F58" s="2" t="s">
        <v>228</v>
      </c>
      <c r="G58" s="7">
        <v>284090</v>
      </c>
      <c r="H58" s="7">
        <f t="shared" si="6"/>
        <v>14204.5</v>
      </c>
      <c r="I58" s="7">
        <f t="shared" si="7"/>
        <v>113.636</v>
      </c>
      <c r="J58" s="6">
        <v>0</v>
      </c>
      <c r="K58" s="1"/>
    </row>
    <row r="59" spans="1:11" ht="17.100000000000001" customHeight="1" x14ac:dyDescent="0.15">
      <c r="A59" s="33"/>
      <c r="B59" s="1" t="s">
        <v>229</v>
      </c>
      <c r="C59" s="2" t="s">
        <v>230</v>
      </c>
      <c r="D59" s="2" t="s">
        <v>231</v>
      </c>
      <c r="E59" s="2" t="s">
        <v>215</v>
      </c>
      <c r="F59" s="2" t="s">
        <v>232</v>
      </c>
      <c r="G59" s="7">
        <v>35734</v>
      </c>
      <c r="H59" s="7">
        <f t="shared" si="6"/>
        <v>1786.7</v>
      </c>
      <c r="I59" s="7">
        <f t="shared" si="7"/>
        <v>14.293600000000001</v>
      </c>
      <c r="J59" s="6">
        <v>0</v>
      </c>
      <c r="K59" s="1"/>
    </row>
    <row r="60" spans="1:11" ht="17.100000000000001" customHeight="1" x14ac:dyDescent="0.15">
      <c r="A60" s="33"/>
      <c r="B60" s="1" t="s">
        <v>233</v>
      </c>
      <c r="C60" s="2" t="s">
        <v>234</v>
      </c>
      <c r="D60" s="2" t="s">
        <v>235</v>
      </c>
      <c r="E60" s="2" t="s">
        <v>215</v>
      </c>
      <c r="F60" s="2" t="s">
        <v>232</v>
      </c>
      <c r="G60" s="7">
        <v>33910</v>
      </c>
      <c r="H60" s="7">
        <f t="shared" si="6"/>
        <v>1695.5</v>
      </c>
      <c r="I60" s="7">
        <f t="shared" si="7"/>
        <v>13.564</v>
      </c>
      <c r="J60" s="6">
        <v>0</v>
      </c>
      <c r="K60" s="1"/>
    </row>
    <row r="61" spans="1:11" ht="17.100000000000001" customHeight="1" x14ac:dyDescent="0.15">
      <c r="A61" s="33"/>
      <c r="B61" s="1" t="s">
        <v>236</v>
      </c>
      <c r="C61" s="2" t="s">
        <v>237</v>
      </c>
      <c r="D61" s="2" t="s">
        <v>238</v>
      </c>
      <c r="E61" s="2" t="s">
        <v>215</v>
      </c>
      <c r="F61" s="2" t="s">
        <v>239</v>
      </c>
      <c r="G61" s="7">
        <v>216802</v>
      </c>
      <c r="H61" s="7">
        <f t="shared" si="6"/>
        <v>10840.1</v>
      </c>
      <c r="I61" s="7">
        <f t="shared" si="7"/>
        <v>86.720800000000011</v>
      </c>
      <c r="J61" s="6">
        <v>0</v>
      </c>
      <c r="K61" s="1"/>
    </row>
    <row r="62" spans="1:11" ht="17.100000000000001" customHeight="1" x14ac:dyDescent="0.15">
      <c r="A62" s="33"/>
      <c r="B62" s="1" t="s">
        <v>204</v>
      </c>
      <c r="C62" s="2" t="s">
        <v>240</v>
      </c>
      <c r="D62" s="2" t="s">
        <v>241</v>
      </c>
      <c r="E62" s="2" t="s">
        <v>139</v>
      </c>
      <c r="F62" s="2" t="s">
        <v>140</v>
      </c>
      <c r="G62" s="7">
        <v>479318</v>
      </c>
      <c r="H62" s="7">
        <f t="shared" si="6"/>
        <v>23965.9</v>
      </c>
      <c r="I62" s="7">
        <f t="shared" si="7"/>
        <v>191.72720000000001</v>
      </c>
      <c r="J62" s="6">
        <v>0</v>
      </c>
      <c r="K62" s="1"/>
    </row>
    <row r="63" spans="1:11" ht="17.100000000000001" customHeight="1" x14ac:dyDescent="0.15">
      <c r="A63" s="33"/>
      <c r="B63" s="1" t="s">
        <v>242</v>
      </c>
      <c r="C63" s="2" t="s">
        <v>243</v>
      </c>
      <c r="D63" s="2" t="s">
        <v>244</v>
      </c>
      <c r="E63" s="2" t="s">
        <v>139</v>
      </c>
      <c r="F63" s="2" t="s">
        <v>245</v>
      </c>
      <c r="G63" s="7">
        <v>638120</v>
      </c>
      <c r="H63" s="7">
        <f t="shared" si="6"/>
        <v>31906</v>
      </c>
      <c r="I63" s="7">
        <f t="shared" si="7"/>
        <v>255.24800000000002</v>
      </c>
      <c r="J63" s="6">
        <v>0</v>
      </c>
      <c r="K63" s="1"/>
    </row>
    <row r="64" spans="1:11" ht="17.100000000000001" customHeight="1" x14ac:dyDescent="0.15">
      <c r="A64" s="33"/>
      <c r="B64" s="1" t="s">
        <v>246</v>
      </c>
      <c r="C64" s="2" t="s">
        <v>247</v>
      </c>
      <c r="D64" s="2" t="s">
        <v>248</v>
      </c>
      <c r="E64" s="2" t="s">
        <v>139</v>
      </c>
      <c r="F64" s="2" t="s">
        <v>249</v>
      </c>
      <c r="G64" s="7">
        <v>652354</v>
      </c>
      <c r="H64" s="7">
        <f t="shared" si="6"/>
        <v>32617.7</v>
      </c>
      <c r="I64" s="7">
        <f t="shared" si="7"/>
        <v>260.94159999999999</v>
      </c>
      <c r="J64" s="6">
        <v>0</v>
      </c>
      <c r="K64" s="1"/>
    </row>
    <row r="65" spans="1:11" ht="17.100000000000001" customHeight="1" x14ac:dyDescent="0.15">
      <c r="A65" s="33"/>
      <c r="B65" s="1" t="s">
        <v>250</v>
      </c>
      <c r="C65" s="2" t="s">
        <v>251</v>
      </c>
      <c r="D65" s="2" t="s">
        <v>252</v>
      </c>
      <c r="E65" s="2" t="s">
        <v>134</v>
      </c>
      <c r="F65" s="2" t="s">
        <v>253</v>
      </c>
      <c r="G65" s="7">
        <v>652334</v>
      </c>
      <c r="H65" s="7">
        <f t="shared" ref="H65:H104" si="8">+G65*$H$4</f>
        <v>32616.7</v>
      </c>
      <c r="I65" s="7">
        <f t="shared" ref="I65:I104" si="9">+H65*$I$4</f>
        <v>260.93360000000001</v>
      </c>
      <c r="J65" s="6">
        <v>0</v>
      </c>
      <c r="K65" s="1"/>
    </row>
    <row r="66" spans="1:11" ht="17.100000000000001" customHeight="1" x14ac:dyDescent="0.15">
      <c r="A66" s="34"/>
      <c r="B66" s="1" t="s">
        <v>200</v>
      </c>
      <c r="C66" s="2" t="s">
        <v>254</v>
      </c>
      <c r="D66" s="2" t="s">
        <v>255</v>
      </c>
      <c r="E66" s="2" t="s">
        <v>134</v>
      </c>
      <c r="F66" s="2" t="s">
        <v>256</v>
      </c>
      <c r="G66" s="7">
        <v>592864</v>
      </c>
      <c r="H66" s="7">
        <f t="shared" si="8"/>
        <v>29643.200000000001</v>
      </c>
      <c r="I66" s="7">
        <f t="shared" si="9"/>
        <v>237.1456</v>
      </c>
      <c r="J66" s="6">
        <v>0</v>
      </c>
      <c r="K66" s="23"/>
    </row>
    <row r="67" spans="1:11" ht="17.100000000000001" customHeight="1" x14ac:dyDescent="0.15">
      <c r="A67" s="32">
        <v>43503</v>
      </c>
      <c r="B67" s="1" t="s">
        <v>257</v>
      </c>
      <c r="C67" s="2" t="s">
        <v>258</v>
      </c>
      <c r="D67" s="2" t="s">
        <v>259</v>
      </c>
      <c r="E67" s="2" t="s">
        <v>260</v>
      </c>
      <c r="F67" s="2" t="s">
        <v>261</v>
      </c>
      <c r="G67" s="7">
        <v>236342</v>
      </c>
      <c r="H67" s="7">
        <f t="shared" si="8"/>
        <v>11817.1</v>
      </c>
      <c r="I67" s="7">
        <f t="shared" si="9"/>
        <v>94.536799999999999</v>
      </c>
      <c r="J67" s="6">
        <v>0</v>
      </c>
      <c r="K67" s="1"/>
    </row>
    <row r="68" spans="1:11" ht="17.100000000000001" customHeight="1" x14ac:dyDescent="0.15">
      <c r="A68" s="33"/>
      <c r="B68" s="1" t="s">
        <v>262</v>
      </c>
      <c r="C68" s="2" t="s">
        <v>263</v>
      </c>
      <c r="D68" s="2" t="s">
        <v>264</v>
      </c>
      <c r="E68" s="2" t="s">
        <v>265</v>
      </c>
      <c r="F68" s="2" t="s">
        <v>266</v>
      </c>
      <c r="G68" s="7">
        <v>170604</v>
      </c>
      <c r="H68" s="7">
        <f t="shared" si="8"/>
        <v>8530.2000000000007</v>
      </c>
      <c r="I68" s="7">
        <f t="shared" si="9"/>
        <v>68.241600000000005</v>
      </c>
      <c r="J68" s="6">
        <v>0</v>
      </c>
      <c r="K68" s="1"/>
    </row>
    <row r="69" spans="1:11" ht="17.100000000000001" customHeight="1" x14ac:dyDescent="0.15">
      <c r="A69" s="33"/>
      <c r="B69" s="1" t="s">
        <v>267</v>
      </c>
      <c r="C69" s="2" t="s">
        <v>268</v>
      </c>
      <c r="D69" s="2" t="s">
        <v>269</v>
      </c>
      <c r="E69" s="2" t="s">
        <v>270</v>
      </c>
      <c r="F69" s="2" t="s">
        <v>271</v>
      </c>
      <c r="G69" s="7">
        <v>662872</v>
      </c>
      <c r="H69" s="7">
        <f t="shared" si="8"/>
        <v>33143.599999999999</v>
      </c>
      <c r="I69" s="7">
        <f t="shared" si="9"/>
        <v>265.14879999999999</v>
      </c>
      <c r="J69" s="6">
        <v>0</v>
      </c>
      <c r="K69" s="1"/>
    </row>
    <row r="70" spans="1:11" ht="17.100000000000001" customHeight="1" x14ac:dyDescent="0.15">
      <c r="A70" s="33"/>
      <c r="B70" s="1" t="s">
        <v>272</v>
      </c>
      <c r="C70" s="2" t="s">
        <v>273</v>
      </c>
      <c r="D70" s="2" t="s">
        <v>274</v>
      </c>
      <c r="E70" s="2" t="s">
        <v>260</v>
      </c>
      <c r="F70" s="2" t="s">
        <v>275</v>
      </c>
      <c r="G70" s="7">
        <v>467736</v>
      </c>
      <c r="H70" s="7">
        <f t="shared" si="8"/>
        <v>23386.800000000003</v>
      </c>
      <c r="I70" s="7">
        <f t="shared" si="9"/>
        <v>187.09440000000004</v>
      </c>
      <c r="J70" s="6">
        <v>0</v>
      </c>
      <c r="K70" s="1"/>
    </row>
    <row r="71" spans="1:11" ht="17.100000000000001" customHeight="1" x14ac:dyDescent="0.15">
      <c r="A71" s="33"/>
      <c r="B71" s="1" t="s">
        <v>276</v>
      </c>
      <c r="C71" s="2" t="s">
        <v>277</v>
      </c>
      <c r="D71" s="2" t="s">
        <v>278</v>
      </c>
      <c r="E71" s="2" t="s">
        <v>270</v>
      </c>
      <c r="F71" s="2" t="s">
        <v>279</v>
      </c>
      <c r="G71" s="7">
        <v>296382</v>
      </c>
      <c r="H71" s="7">
        <f t="shared" si="8"/>
        <v>14819.1</v>
      </c>
      <c r="I71" s="7">
        <f t="shared" si="9"/>
        <v>118.5528</v>
      </c>
      <c r="J71" s="6">
        <v>0</v>
      </c>
      <c r="K71" s="1"/>
    </row>
    <row r="72" spans="1:11" ht="17.100000000000001" customHeight="1" x14ac:dyDescent="0.15">
      <c r="A72" s="33"/>
      <c r="B72" s="1" t="s">
        <v>280</v>
      </c>
      <c r="C72" s="2" t="s">
        <v>281</v>
      </c>
      <c r="D72" s="2" t="s">
        <v>282</v>
      </c>
      <c r="E72" s="2" t="s">
        <v>260</v>
      </c>
      <c r="F72" s="2" t="s">
        <v>275</v>
      </c>
      <c r="G72" s="7">
        <v>407682</v>
      </c>
      <c r="H72" s="7">
        <f t="shared" si="8"/>
        <v>20384.100000000002</v>
      </c>
      <c r="I72" s="7">
        <f t="shared" si="9"/>
        <v>163.07280000000003</v>
      </c>
      <c r="J72" s="6">
        <v>0</v>
      </c>
      <c r="K72" s="1"/>
    </row>
    <row r="73" spans="1:11" ht="17.100000000000001" customHeight="1" x14ac:dyDescent="0.15">
      <c r="A73" s="33"/>
      <c r="B73" s="1" t="s">
        <v>283</v>
      </c>
      <c r="C73" s="2" t="s">
        <v>284</v>
      </c>
      <c r="D73" s="2" t="s">
        <v>285</v>
      </c>
      <c r="E73" s="2" t="s">
        <v>286</v>
      </c>
      <c r="F73" s="2" t="s">
        <v>287</v>
      </c>
      <c r="G73" s="7">
        <v>298224</v>
      </c>
      <c r="H73" s="7">
        <f t="shared" si="8"/>
        <v>14911.2</v>
      </c>
      <c r="I73" s="7">
        <f t="shared" si="9"/>
        <v>119.28960000000001</v>
      </c>
      <c r="J73" s="6">
        <v>0</v>
      </c>
      <c r="K73" s="1"/>
    </row>
    <row r="74" spans="1:11" ht="17.100000000000001" customHeight="1" x14ac:dyDescent="0.15">
      <c r="A74" s="33"/>
      <c r="B74" s="1" t="s">
        <v>291</v>
      </c>
      <c r="C74" s="2" t="s">
        <v>288</v>
      </c>
      <c r="D74" s="2" t="s">
        <v>289</v>
      </c>
      <c r="E74" s="2" t="s">
        <v>290</v>
      </c>
      <c r="F74" s="2" t="s">
        <v>296</v>
      </c>
      <c r="G74" s="7">
        <v>191820</v>
      </c>
      <c r="H74" s="7">
        <f t="shared" si="8"/>
        <v>9591</v>
      </c>
      <c r="I74" s="7">
        <f t="shared" si="9"/>
        <v>76.728000000000009</v>
      </c>
      <c r="J74" s="6">
        <v>0</v>
      </c>
      <c r="K74" s="1"/>
    </row>
    <row r="75" spans="1:11" ht="17.100000000000001" customHeight="1" x14ac:dyDescent="0.15">
      <c r="A75" s="33"/>
      <c r="B75" s="1" t="s">
        <v>292</v>
      </c>
      <c r="C75" s="2" t="s">
        <v>293</v>
      </c>
      <c r="D75" s="2" t="s">
        <v>294</v>
      </c>
      <c r="E75" s="2" t="s">
        <v>270</v>
      </c>
      <c r="F75" s="2" t="s">
        <v>295</v>
      </c>
      <c r="G75" s="7">
        <v>145810</v>
      </c>
      <c r="H75" s="7">
        <f t="shared" si="8"/>
        <v>7290.5</v>
      </c>
      <c r="I75" s="7">
        <f t="shared" si="9"/>
        <v>58.323999999999998</v>
      </c>
      <c r="J75" s="6">
        <v>0</v>
      </c>
      <c r="K75" s="1"/>
    </row>
    <row r="76" spans="1:11" ht="17.100000000000001" customHeight="1" x14ac:dyDescent="0.15">
      <c r="A76" s="33"/>
      <c r="B76" s="1" t="s">
        <v>297</v>
      </c>
      <c r="C76" s="2" t="s">
        <v>298</v>
      </c>
      <c r="D76" s="2" t="s">
        <v>299</v>
      </c>
      <c r="E76" s="2" t="s">
        <v>286</v>
      </c>
      <c r="F76" s="2" t="s">
        <v>300</v>
      </c>
      <c r="G76" s="7">
        <v>598894</v>
      </c>
      <c r="H76" s="7">
        <f t="shared" si="8"/>
        <v>29944.7</v>
      </c>
      <c r="I76" s="7">
        <f t="shared" si="9"/>
        <v>239.55760000000001</v>
      </c>
      <c r="J76" s="6">
        <v>0</v>
      </c>
      <c r="K76" s="1"/>
    </row>
    <row r="77" spans="1:11" ht="17.100000000000001" customHeight="1" x14ac:dyDescent="0.15">
      <c r="A77" s="33"/>
      <c r="B77" s="1" t="s">
        <v>301</v>
      </c>
      <c r="C77" s="2" t="s">
        <v>302</v>
      </c>
      <c r="D77" s="2" t="s">
        <v>303</v>
      </c>
      <c r="E77" s="2" t="s">
        <v>286</v>
      </c>
      <c r="F77" s="2" t="s">
        <v>304</v>
      </c>
      <c r="G77" s="7">
        <v>433006</v>
      </c>
      <c r="H77" s="7">
        <f t="shared" si="8"/>
        <v>21650.300000000003</v>
      </c>
      <c r="I77" s="7">
        <f t="shared" si="9"/>
        <v>173.20240000000004</v>
      </c>
      <c r="J77" s="6">
        <v>0</v>
      </c>
      <c r="K77" s="1"/>
    </row>
    <row r="78" spans="1:11" ht="17.100000000000001" customHeight="1" x14ac:dyDescent="0.15">
      <c r="A78" s="33"/>
      <c r="B78" s="1" t="s">
        <v>305</v>
      </c>
      <c r="C78" s="2" t="s">
        <v>306</v>
      </c>
      <c r="D78" s="2" t="s">
        <v>307</v>
      </c>
      <c r="E78" s="2" t="s">
        <v>270</v>
      </c>
      <c r="F78" s="2" t="s">
        <v>308</v>
      </c>
      <c r="G78" s="7">
        <v>298272</v>
      </c>
      <c r="H78" s="7">
        <f t="shared" si="8"/>
        <v>14913.6</v>
      </c>
      <c r="I78" s="7">
        <f t="shared" si="9"/>
        <v>119.30880000000001</v>
      </c>
      <c r="J78" s="6">
        <v>0</v>
      </c>
      <c r="K78" s="1"/>
    </row>
    <row r="79" spans="1:11" ht="17.100000000000001" customHeight="1" x14ac:dyDescent="0.15">
      <c r="A79" s="33"/>
      <c r="B79" s="1" t="s">
        <v>309</v>
      </c>
      <c r="C79" s="2" t="s">
        <v>310</v>
      </c>
      <c r="D79" s="2" t="s">
        <v>311</v>
      </c>
      <c r="E79" s="2" t="s">
        <v>270</v>
      </c>
      <c r="F79" s="2" t="s">
        <v>295</v>
      </c>
      <c r="G79" s="7">
        <v>201754</v>
      </c>
      <c r="H79" s="7">
        <f t="shared" si="8"/>
        <v>10087.700000000001</v>
      </c>
      <c r="I79" s="7">
        <f t="shared" si="9"/>
        <v>80.701600000000013</v>
      </c>
      <c r="J79" s="6">
        <v>0</v>
      </c>
      <c r="K79" s="1"/>
    </row>
    <row r="80" spans="1:11" ht="17.100000000000001" customHeight="1" x14ac:dyDescent="0.15">
      <c r="A80" s="33"/>
      <c r="B80" s="1" t="s">
        <v>312</v>
      </c>
      <c r="C80" s="2" t="s">
        <v>313</v>
      </c>
      <c r="D80" s="2" t="s">
        <v>314</v>
      </c>
      <c r="E80" s="2" t="s">
        <v>286</v>
      </c>
      <c r="F80" s="2" t="s">
        <v>315</v>
      </c>
      <c r="G80" s="7">
        <v>88146</v>
      </c>
      <c r="H80" s="7">
        <f t="shared" si="8"/>
        <v>4407.3</v>
      </c>
      <c r="I80" s="7">
        <f t="shared" si="9"/>
        <v>35.258400000000002</v>
      </c>
      <c r="J80" s="6">
        <v>0</v>
      </c>
      <c r="K80" s="1"/>
    </row>
    <row r="81" spans="1:11" ht="17.100000000000001" customHeight="1" x14ac:dyDescent="0.15">
      <c r="A81" s="33"/>
      <c r="B81" s="1" t="s">
        <v>316</v>
      </c>
      <c r="C81" s="2" t="s">
        <v>317</v>
      </c>
      <c r="D81" s="2" t="s">
        <v>318</v>
      </c>
      <c r="E81" s="2" t="s">
        <v>260</v>
      </c>
      <c r="F81" s="2" t="s">
        <v>319</v>
      </c>
      <c r="G81" s="7">
        <v>34988</v>
      </c>
      <c r="H81" s="7">
        <f t="shared" si="8"/>
        <v>1749.4</v>
      </c>
      <c r="I81" s="7">
        <f t="shared" si="9"/>
        <v>13.995200000000001</v>
      </c>
      <c r="J81" s="6">
        <v>0</v>
      </c>
      <c r="K81" s="1"/>
    </row>
    <row r="82" spans="1:11" ht="17.100000000000001" customHeight="1" x14ac:dyDescent="0.15">
      <c r="A82" s="33"/>
      <c r="B82" s="1" t="s">
        <v>320</v>
      </c>
      <c r="C82" s="2" t="s">
        <v>321</v>
      </c>
      <c r="D82" s="2" t="s">
        <v>322</v>
      </c>
      <c r="E82" s="2" t="s">
        <v>260</v>
      </c>
      <c r="F82" s="2" t="s">
        <v>323</v>
      </c>
      <c r="G82" s="7">
        <v>32406</v>
      </c>
      <c r="H82" s="7">
        <f t="shared" si="8"/>
        <v>1620.3000000000002</v>
      </c>
      <c r="I82" s="7">
        <f t="shared" si="9"/>
        <v>12.962400000000002</v>
      </c>
      <c r="J82" s="6">
        <v>0</v>
      </c>
      <c r="K82" s="1"/>
    </row>
    <row r="83" spans="1:11" ht="17.100000000000001" customHeight="1" x14ac:dyDescent="0.15">
      <c r="A83" s="33"/>
      <c r="B83" s="1" t="s">
        <v>324</v>
      </c>
      <c r="C83" s="2" t="s">
        <v>325</v>
      </c>
      <c r="D83" s="2" t="s">
        <v>326</v>
      </c>
      <c r="E83" s="2" t="s">
        <v>290</v>
      </c>
      <c r="F83" s="2" t="s">
        <v>327</v>
      </c>
      <c r="G83" s="7">
        <v>299310</v>
      </c>
      <c r="H83" s="7">
        <f t="shared" si="8"/>
        <v>14965.5</v>
      </c>
      <c r="I83" s="7">
        <f t="shared" si="9"/>
        <v>119.724</v>
      </c>
      <c r="J83" s="6">
        <v>0</v>
      </c>
      <c r="K83" s="1"/>
    </row>
    <row r="84" spans="1:11" ht="17.100000000000001" customHeight="1" x14ac:dyDescent="0.15">
      <c r="A84" s="33"/>
      <c r="B84" s="1" t="s">
        <v>328</v>
      </c>
      <c r="C84" s="2" t="s">
        <v>329</v>
      </c>
      <c r="D84" s="2" t="s">
        <v>330</v>
      </c>
      <c r="E84" s="2" t="s">
        <v>270</v>
      </c>
      <c r="F84" s="2" t="s">
        <v>331</v>
      </c>
      <c r="G84" s="7">
        <v>612928</v>
      </c>
      <c r="H84" s="7">
        <f t="shared" si="8"/>
        <v>30646.400000000001</v>
      </c>
      <c r="I84" s="7">
        <f t="shared" si="9"/>
        <v>245.17120000000003</v>
      </c>
      <c r="J84" s="6">
        <v>0</v>
      </c>
      <c r="K84" s="1"/>
    </row>
    <row r="85" spans="1:11" ht="17.100000000000001" customHeight="1" x14ac:dyDescent="0.15">
      <c r="A85" s="33"/>
      <c r="B85" s="1" t="s">
        <v>332</v>
      </c>
      <c r="C85" s="2" t="s">
        <v>333</v>
      </c>
      <c r="D85" s="2" t="s">
        <v>334</v>
      </c>
      <c r="E85" s="2" t="s">
        <v>270</v>
      </c>
      <c r="F85" s="2" t="s">
        <v>335</v>
      </c>
      <c r="G85" s="7">
        <v>523500</v>
      </c>
      <c r="H85" s="7">
        <f t="shared" si="8"/>
        <v>26175</v>
      </c>
      <c r="I85" s="7">
        <f t="shared" si="9"/>
        <v>209.4</v>
      </c>
      <c r="J85" s="6">
        <v>0</v>
      </c>
      <c r="K85" s="1"/>
    </row>
    <row r="86" spans="1:11" ht="17.100000000000001" customHeight="1" x14ac:dyDescent="0.15">
      <c r="A86" s="33"/>
      <c r="B86" s="1" t="s">
        <v>336</v>
      </c>
      <c r="C86" s="2" t="s">
        <v>337</v>
      </c>
      <c r="D86" s="2" t="s">
        <v>338</v>
      </c>
      <c r="E86" s="2" t="s">
        <v>270</v>
      </c>
      <c r="F86" s="2" t="s">
        <v>339</v>
      </c>
      <c r="G86" s="7">
        <v>585592</v>
      </c>
      <c r="H86" s="7">
        <f t="shared" si="8"/>
        <v>29279.600000000002</v>
      </c>
      <c r="I86" s="7">
        <f t="shared" si="9"/>
        <v>234.23680000000002</v>
      </c>
      <c r="J86" s="6">
        <v>0</v>
      </c>
      <c r="K86" s="1"/>
    </row>
    <row r="87" spans="1:11" ht="17.100000000000001" customHeight="1" x14ac:dyDescent="0.15">
      <c r="A87" s="34"/>
      <c r="B87" s="25" t="s">
        <v>340</v>
      </c>
      <c r="C87" s="26" t="s">
        <v>341</v>
      </c>
      <c r="D87" s="26" t="s">
        <v>342</v>
      </c>
      <c r="E87" s="26" t="s">
        <v>270</v>
      </c>
      <c r="F87" s="26" t="s">
        <v>343</v>
      </c>
      <c r="G87" s="27">
        <v>387364</v>
      </c>
      <c r="H87" s="27">
        <f t="shared" si="8"/>
        <v>19368.2</v>
      </c>
      <c r="I87" s="27">
        <f t="shared" si="9"/>
        <v>154.94560000000001</v>
      </c>
      <c r="J87" s="28">
        <v>0</v>
      </c>
      <c r="K87" s="1">
        <v>6973632</v>
      </c>
    </row>
    <row r="88" spans="1:11" ht="17.100000000000001" customHeight="1" x14ac:dyDescent="0.15">
      <c r="A88" s="32">
        <v>43504</v>
      </c>
      <c r="B88" s="1" t="s">
        <v>345</v>
      </c>
      <c r="C88" s="2" t="s">
        <v>346</v>
      </c>
      <c r="D88" s="2" t="s">
        <v>347</v>
      </c>
      <c r="E88" s="2" t="s">
        <v>348</v>
      </c>
      <c r="F88" s="2" t="s">
        <v>350</v>
      </c>
      <c r="G88" s="7">
        <v>90402</v>
      </c>
      <c r="H88" s="7">
        <f t="shared" si="8"/>
        <v>4520.1000000000004</v>
      </c>
      <c r="I88" s="7">
        <f t="shared" si="9"/>
        <v>36.160800000000002</v>
      </c>
      <c r="J88" s="6">
        <v>0</v>
      </c>
      <c r="K88" s="1"/>
    </row>
    <row r="89" spans="1:11" ht="17.100000000000001" customHeight="1" x14ac:dyDescent="0.15">
      <c r="A89" s="33"/>
      <c r="B89" s="1" t="s">
        <v>351</v>
      </c>
      <c r="C89" s="2" t="s">
        <v>352</v>
      </c>
      <c r="D89" s="2" t="s">
        <v>353</v>
      </c>
      <c r="E89" s="2" t="s">
        <v>354</v>
      </c>
      <c r="F89" s="2" t="s">
        <v>355</v>
      </c>
      <c r="G89" s="7">
        <v>591902</v>
      </c>
      <c r="H89" s="7">
        <f t="shared" si="8"/>
        <v>29595.100000000002</v>
      </c>
      <c r="I89" s="7">
        <f t="shared" si="9"/>
        <v>236.76080000000002</v>
      </c>
      <c r="J89" s="6">
        <v>0</v>
      </c>
      <c r="K89" s="1"/>
    </row>
    <row r="90" spans="1:11" ht="17.100000000000001" customHeight="1" x14ac:dyDescent="0.15">
      <c r="A90" s="33"/>
      <c r="B90" s="1" t="s">
        <v>357</v>
      </c>
      <c r="C90" s="2" t="s">
        <v>358</v>
      </c>
      <c r="D90" s="2" t="s">
        <v>359</v>
      </c>
      <c r="E90" s="2" t="s">
        <v>360</v>
      </c>
      <c r="F90" s="2" t="s">
        <v>356</v>
      </c>
      <c r="G90" s="7">
        <v>595958</v>
      </c>
      <c r="H90" s="7">
        <f t="shared" si="8"/>
        <v>29797.9</v>
      </c>
      <c r="I90" s="7">
        <f t="shared" si="9"/>
        <v>238.38320000000002</v>
      </c>
      <c r="J90" s="6">
        <v>0</v>
      </c>
      <c r="K90" s="1"/>
    </row>
    <row r="91" spans="1:11" ht="17.100000000000001" customHeight="1" x14ac:dyDescent="0.15">
      <c r="A91" s="33"/>
      <c r="B91" s="1" t="s">
        <v>272</v>
      </c>
      <c r="C91" s="2" t="s">
        <v>361</v>
      </c>
      <c r="D91" s="2" t="s">
        <v>362</v>
      </c>
      <c r="E91" s="2" t="s">
        <v>363</v>
      </c>
      <c r="F91" s="2" t="s">
        <v>364</v>
      </c>
      <c r="G91" s="7">
        <v>536808</v>
      </c>
      <c r="H91" s="7">
        <f t="shared" si="8"/>
        <v>26840.400000000001</v>
      </c>
      <c r="I91" s="7">
        <f t="shared" si="9"/>
        <v>214.72320000000002</v>
      </c>
      <c r="J91" s="6">
        <v>0</v>
      </c>
      <c r="K91" s="1"/>
    </row>
    <row r="92" spans="1:11" ht="17.100000000000001" customHeight="1" x14ac:dyDescent="0.15">
      <c r="A92" s="33"/>
      <c r="B92" s="1" t="s">
        <v>365</v>
      </c>
      <c r="C92" s="2" t="s">
        <v>366</v>
      </c>
      <c r="D92" s="2" t="s">
        <v>368</v>
      </c>
      <c r="E92" s="2" t="s">
        <v>360</v>
      </c>
      <c r="F92" s="2" t="s">
        <v>367</v>
      </c>
      <c r="G92" s="7">
        <v>259382</v>
      </c>
      <c r="H92" s="7">
        <f t="shared" si="8"/>
        <v>12969.1</v>
      </c>
      <c r="I92" s="7">
        <f t="shared" si="9"/>
        <v>103.75280000000001</v>
      </c>
      <c r="J92" s="6">
        <v>0</v>
      </c>
      <c r="K92" s="1"/>
    </row>
    <row r="93" spans="1:11" ht="17.100000000000001" customHeight="1" x14ac:dyDescent="0.15">
      <c r="A93" s="33"/>
      <c r="B93" s="1" t="s">
        <v>369</v>
      </c>
      <c r="C93" s="2" t="s">
        <v>370</v>
      </c>
      <c r="D93" s="2" t="s">
        <v>368</v>
      </c>
      <c r="E93" s="2" t="s">
        <v>360</v>
      </c>
      <c r="F93" s="2" t="s">
        <v>367</v>
      </c>
      <c r="G93" s="7">
        <v>299601</v>
      </c>
      <c r="H93" s="7">
        <f t="shared" si="8"/>
        <v>14980.050000000001</v>
      </c>
      <c r="I93" s="7">
        <f t="shared" si="9"/>
        <v>119.84040000000002</v>
      </c>
      <c r="J93" s="6">
        <v>0</v>
      </c>
      <c r="K93" s="1"/>
    </row>
    <row r="94" spans="1:11" ht="17.100000000000001" customHeight="1" x14ac:dyDescent="0.15">
      <c r="A94" s="33"/>
      <c r="B94" s="1" t="s">
        <v>372</v>
      </c>
      <c r="C94" s="2" t="s">
        <v>373</v>
      </c>
      <c r="D94" s="2" t="s">
        <v>374</v>
      </c>
      <c r="E94" s="2" t="s">
        <v>354</v>
      </c>
      <c r="F94" s="2" t="s">
        <v>371</v>
      </c>
      <c r="G94" s="7">
        <v>356160</v>
      </c>
      <c r="H94" s="7">
        <f t="shared" si="8"/>
        <v>17808</v>
      </c>
      <c r="I94" s="7">
        <f t="shared" si="9"/>
        <v>142.464</v>
      </c>
      <c r="J94" s="6">
        <v>0</v>
      </c>
      <c r="K94" s="1"/>
    </row>
    <row r="95" spans="1:11" ht="17.100000000000001" customHeight="1" x14ac:dyDescent="0.15">
      <c r="A95" s="33"/>
      <c r="B95" s="1" t="s">
        <v>375</v>
      </c>
      <c r="C95" s="2" t="s">
        <v>376</v>
      </c>
      <c r="D95" s="2" t="s">
        <v>377</v>
      </c>
      <c r="E95" s="2" t="s">
        <v>354</v>
      </c>
      <c r="F95" s="2" t="s">
        <v>378</v>
      </c>
      <c r="G95" s="7">
        <v>606881</v>
      </c>
      <c r="H95" s="7">
        <f t="shared" si="8"/>
        <v>30344.050000000003</v>
      </c>
      <c r="I95" s="7">
        <f t="shared" si="9"/>
        <v>242.75240000000002</v>
      </c>
      <c r="J95" s="6">
        <v>0</v>
      </c>
      <c r="K95" s="1"/>
    </row>
    <row r="96" spans="1:11" ht="17.100000000000001" customHeight="1" x14ac:dyDescent="0.15">
      <c r="A96" s="33"/>
      <c r="B96" s="1" t="s">
        <v>379</v>
      </c>
      <c r="C96" s="2" t="s">
        <v>380</v>
      </c>
      <c r="D96" s="2" t="s">
        <v>381</v>
      </c>
      <c r="E96" s="2" t="s">
        <v>348</v>
      </c>
      <c r="F96" s="2" t="s">
        <v>382</v>
      </c>
      <c r="G96" s="7">
        <v>88560</v>
      </c>
      <c r="H96" s="7">
        <f t="shared" si="8"/>
        <v>4428</v>
      </c>
      <c r="I96" s="7">
        <f t="shared" si="9"/>
        <v>35.423999999999999</v>
      </c>
      <c r="J96" s="6">
        <v>0</v>
      </c>
      <c r="K96" s="1"/>
    </row>
    <row r="97" spans="1:11" ht="17.100000000000001" customHeight="1" x14ac:dyDescent="0.15">
      <c r="A97" s="33"/>
      <c r="B97" s="1" t="s">
        <v>384</v>
      </c>
      <c r="C97" s="2" t="s">
        <v>385</v>
      </c>
      <c r="D97" s="2" t="s">
        <v>386</v>
      </c>
      <c r="E97" s="2" t="s">
        <v>354</v>
      </c>
      <c r="F97" s="2" t="s">
        <v>383</v>
      </c>
      <c r="G97" s="7">
        <v>89504</v>
      </c>
      <c r="H97" s="7">
        <f t="shared" si="8"/>
        <v>4475.2</v>
      </c>
      <c r="I97" s="7">
        <f t="shared" si="9"/>
        <v>35.801600000000001</v>
      </c>
      <c r="J97" s="6">
        <v>0</v>
      </c>
      <c r="K97" s="1"/>
    </row>
    <row r="98" spans="1:11" ht="17.100000000000001" customHeight="1" x14ac:dyDescent="0.15">
      <c r="A98" s="33"/>
      <c r="B98" s="1" t="s">
        <v>388</v>
      </c>
      <c r="C98" s="2" t="s">
        <v>389</v>
      </c>
      <c r="D98" s="2" t="s">
        <v>390</v>
      </c>
      <c r="E98" s="2" t="s">
        <v>363</v>
      </c>
      <c r="F98" s="2" t="s">
        <v>387</v>
      </c>
      <c r="G98" s="7">
        <v>117689</v>
      </c>
      <c r="H98" s="7">
        <f t="shared" si="8"/>
        <v>5884.4500000000007</v>
      </c>
      <c r="I98" s="7">
        <f t="shared" si="9"/>
        <v>47.075600000000009</v>
      </c>
      <c r="J98" s="6">
        <v>0</v>
      </c>
      <c r="K98" s="1"/>
    </row>
    <row r="99" spans="1:11" ht="17.100000000000001" customHeight="1" x14ac:dyDescent="0.15">
      <c r="A99" s="33"/>
      <c r="B99" s="1" t="s">
        <v>392</v>
      </c>
      <c r="C99" s="2" t="s">
        <v>393</v>
      </c>
      <c r="D99" s="2" t="s">
        <v>394</v>
      </c>
      <c r="E99" s="2" t="s">
        <v>348</v>
      </c>
      <c r="F99" s="2" t="s">
        <v>391</v>
      </c>
      <c r="G99" s="7">
        <v>116946</v>
      </c>
      <c r="H99" s="7">
        <f t="shared" si="8"/>
        <v>5847.3</v>
      </c>
      <c r="I99" s="7">
        <f t="shared" si="9"/>
        <v>46.778400000000005</v>
      </c>
      <c r="J99" s="6">
        <v>0</v>
      </c>
      <c r="K99" s="1"/>
    </row>
    <row r="100" spans="1:11" ht="17.100000000000001" customHeight="1" x14ac:dyDescent="0.15">
      <c r="A100" s="33"/>
      <c r="B100" s="1" t="s">
        <v>395</v>
      </c>
      <c r="C100" s="2" t="s">
        <v>396</v>
      </c>
      <c r="D100" s="2" t="s">
        <v>397</v>
      </c>
      <c r="E100" s="2" t="s">
        <v>348</v>
      </c>
      <c r="F100" s="2" t="s">
        <v>349</v>
      </c>
      <c r="G100" s="7">
        <v>579638</v>
      </c>
      <c r="H100" s="7">
        <f t="shared" si="8"/>
        <v>28981.9</v>
      </c>
      <c r="I100" s="7">
        <f t="shared" si="9"/>
        <v>231.85520000000002</v>
      </c>
      <c r="J100" s="6">
        <v>0</v>
      </c>
      <c r="K100" s="1">
        <v>14</v>
      </c>
    </row>
    <row r="101" spans="1:11" ht="17.100000000000001" customHeight="1" x14ac:dyDescent="0.15">
      <c r="A101" s="34"/>
      <c r="B101" s="1" t="s">
        <v>399</v>
      </c>
      <c r="C101" s="2" t="s">
        <v>400</v>
      </c>
      <c r="D101" s="2" t="s">
        <v>401</v>
      </c>
      <c r="E101" s="2" t="s">
        <v>348</v>
      </c>
      <c r="F101" s="2" t="s">
        <v>398</v>
      </c>
      <c r="G101" s="7">
        <v>88616</v>
      </c>
      <c r="H101" s="7">
        <f t="shared" si="8"/>
        <v>4430.8</v>
      </c>
      <c r="I101" s="7">
        <f t="shared" si="9"/>
        <v>35.446400000000004</v>
      </c>
      <c r="J101" s="6">
        <v>0</v>
      </c>
      <c r="K101" s="23">
        <v>4418047</v>
      </c>
    </row>
    <row r="102" spans="1:11" ht="17.100000000000001" customHeight="1" x14ac:dyDescent="0.15">
      <c r="A102" s="32">
        <v>43505</v>
      </c>
      <c r="B102" s="1" t="s">
        <v>402</v>
      </c>
      <c r="C102" s="2" t="s">
        <v>403</v>
      </c>
      <c r="D102" s="2" t="s">
        <v>404</v>
      </c>
      <c r="E102" s="2" t="s">
        <v>405</v>
      </c>
      <c r="F102" s="2" t="s">
        <v>406</v>
      </c>
      <c r="G102" s="7">
        <v>601494</v>
      </c>
      <c r="H102" s="7">
        <f t="shared" si="8"/>
        <v>30074.7</v>
      </c>
      <c r="I102" s="7">
        <f t="shared" si="9"/>
        <v>240.5976</v>
      </c>
      <c r="J102" s="6">
        <v>0</v>
      </c>
      <c r="K102" s="1"/>
    </row>
    <row r="103" spans="1:11" ht="17.100000000000001" customHeight="1" x14ac:dyDescent="0.15">
      <c r="A103" s="33"/>
      <c r="B103" s="1" t="s">
        <v>408</v>
      </c>
      <c r="C103" s="2" t="s">
        <v>409</v>
      </c>
      <c r="D103" s="2" t="s">
        <v>410</v>
      </c>
      <c r="E103" s="2" t="s">
        <v>411</v>
      </c>
      <c r="F103" s="2" t="s">
        <v>407</v>
      </c>
      <c r="G103" s="7">
        <v>57190</v>
      </c>
      <c r="H103" s="7">
        <f t="shared" si="8"/>
        <v>2859.5</v>
      </c>
      <c r="I103" s="7">
        <f t="shared" si="9"/>
        <v>22.876000000000001</v>
      </c>
      <c r="J103" s="6">
        <v>0</v>
      </c>
      <c r="K103" s="1"/>
    </row>
    <row r="104" spans="1:11" ht="17.100000000000001" customHeight="1" x14ac:dyDescent="0.15">
      <c r="A104" s="33"/>
      <c r="B104" s="1" t="s">
        <v>413</v>
      </c>
      <c r="C104" s="2" t="s">
        <v>414</v>
      </c>
      <c r="D104" s="2" t="s">
        <v>415</v>
      </c>
      <c r="E104" s="2" t="s">
        <v>416</v>
      </c>
      <c r="F104" s="2" t="s">
        <v>412</v>
      </c>
      <c r="G104" s="7">
        <v>300424</v>
      </c>
      <c r="H104" s="7">
        <f t="shared" si="8"/>
        <v>15021.2</v>
      </c>
      <c r="I104" s="7">
        <f t="shared" si="9"/>
        <v>120.1696</v>
      </c>
      <c r="J104" s="6">
        <v>0</v>
      </c>
      <c r="K104" s="1"/>
    </row>
    <row r="105" spans="1:11" ht="17.100000000000001" customHeight="1" x14ac:dyDescent="0.15">
      <c r="A105" s="33"/>
      <c r="B105" s="1" t="s">
        <v>418</v>
      </c>
      <c r="C105" s="2" t="s">
        <v>419</v>
      </c>
      <c r="D105" s="2" t="s">
        <v>420</v>
      </c>
      <c r="E105" s="2" t="s">
        <v>421</v>
      </c>
      <c r="F105" s="2" t="s">
        <v>417</v>
      </c>
      <c r="G105" s="7">
        <v>247940</v>
      </c>
      <c r="H105" s="7">
        <f t="shared" si="6"/>
        <v>12397</v>
      </c>
      <c r="I105" s="7">
        <f t="shared" si="7"/>
        <v>99.176000000000002</v>
      </c>
      <c r="J105" s="6">
        <v>0</v>
      </c>
      <c r="K105" s="1"/>
    </row>
    <row r="106" spans="1:11" ht="17.100000000000001" customHeight="1" x14ac:dyDescent="0.15">
      <c r="A106" s="33"/>
      <c r="B106" s="1" t="s">
        <v>422</v>
      </c>
      <c r="C106" s="2" t="s">
        <v>423</v>
      </c>
      <c r="D106" s="2" t="s">
        <v>424</v>
      </c>
      <c r="E106" s="2" t="s">
        <v>421</v>
      </c>
      <c r="F106" s="2" t="s">
        <v>417</v>
      </c>
      <c r="G106" s="7">
        <v>275056</v>
      </c>
      <c r="H106" s="7">
        <f t="shared" si="6"/>
        <v>13752.800000000001</v>
      </c>
      <c r="I106" s="7">
        <f t="shared" si="7"/>
        <v>110.0224</v>
      </c>
      <c r="J106" s="6">
        <v>0</v>
      </c>
      <c r="K106" s="1"/>
    </row>
    <row r="107" spans="1:11" ht="17.100000000000001" customHeight="1" x14ac:dyDescent="0.15">
      <c r="A107" s="33"/>
      <c r="B107" s="1" t="s">
        <v>425</v>
      </c>
      <c r="C107" s="2" t="s">
        <v>426</v>
      </c>
      <c r="D107" s="2" t="s">
        <v>427</v>
      </c>
      <c r="E107" s="2" t="s">
        <v>405</v>
      </c>
      <c r="F107" s="2" t="s">
        <v>428</v>
      </c>
      <c r="G107" s="7">
        <v>591606</v>
      </c>
      <c r="H107" s="7">
        <f t="shared" ref="H107:H122" si="10">+G107*$H$4</f>
        <v>29580.300000000003</v>
      </c>
      <c r="I107" s="7">
        <f t="shared" ref="I107:I122" si="11">+H107*$I$4</f>
        <v>236.64240000000004</v>
      </c>
      <c r="J107" s="6">
        <v>0</v>
      </c>
      <c r="K107" s="1"/>
    </row>
    <row r="108" spans="1:11" ht="17.100000000000001" customHeight="1" x14ac:dyDescent="0.15">
      <c r="A108" s="33"/>
      <c r="B108" s="1" t="s">
        <v>430</v>
      </c>
      <c r="C108" s="2" t="s">
        <v>431</v>
      </c>
      <c r="D108" s="2" t="s">
        <v>432</v>
      </c>
      <c r="E108" s="2" t="s">
        <v>433</v>
      </c>
      <c r="F108" s="2" t="s">
        <v>429</v>
      </c>
      <c r="G108" s="7">
        <v>578890</v>
      </c>
      <c r="H108" s="7">
        <f t="shared" si="10"/>
        <v>28944.5</v>
      </c>
      <c r="I108" s="7">
        <f t="shared" si="11"/>
        <v>231.55600000000001</v>
      </c>
      <c r="J108" s="6">
        <v>0</v>
      </c>
      <c r="K108" s="1"/>
    </row>
    <row r="109" spans="1:11" ht="17.100000000000001" customHeight="1" x14ac:dyDescent="0.15">
      <c r="A109" s="33"/>
      <c r="B109" s="1" t="s">
        <v>435</v>
      </c>
      <c r="C109" s="2" t="s">
        <v>436</v>
      </c>
      <c r="D109" s="2" t="s">
        <v>437</v>
      </c>
      <c r="E109" s="2" t="s">
        <v>438</v>
      </c>
      <c r="F109" s="2" t="s">
        <v>434</v>
      </c>
      <c r="G109" s="7">
        <v>235018</v>
      </c>
      <c r="H109" s="7">
        <f t="shared" si="10"/>
        <v>11750.900000000001</v>
      </c>
      <c r="I109" s="7">
        <f t="shared" si="11"/>
        <v>94.007200000000012</v>
      </c>
      <c r="J109" s="6">
        <v>0</v>
      </c>
      <c r="K109" s="1"/>
    </row>
    <row r="110" spans="1:11" ht="17.100000000000001" customHeight="1" x14ac:dyDescent="0.15">
      <c r="A110" s="33"/>
      <c r="B110" s="1" t="s">
        <v>440</v>
      </c>
      <c r="C110" s="2" t="s">
        <v>441</v>
      </c>
      <c r="D110" s="2" t="s">
        <v>442</v>
      </c>
      <c r="E110" s="2" t="s">
        <v>411</v>
      </c>
      <c r="F110" s="2" t="s">
        <v>439</v>
      </c>
      <c r="G110" s="7">
        <v>84662</v>
      </c>
      <c r="H110" s="7">
        <f t="shared" si="10"/>
        <v>4233.1000000000004</v>
      </c>
      <c r="I110" s="7">
        <f t="shared" si="11"/>
        <v>33.864800000000002</v>
      </c>
      <c r="J110" s="6">
        <v>0</v>
      </c>
      <c r="K110" s="1"/>
    </row>
    <row r="111" spans="1:11" ht="17.100000000000001" customHeight="1" x14ac:dyDescent="0.15">
      <c r="A111" s="33"/>
      <c r="B111" s="1" t="s">
        <v>444</v>
      </c>
      <c r="C111" s="2" t="s">
        <v>445</v>
      </c>
      <c r="D111" s="2" t="s">
        <v>446</v>
      </c>
      <c r="E111" s="2" t="s">
        <v>405</v>
      </c>
      <c r="F111" s="2" t="s">
        <v>443</v>
      </c>
      <c r="G111" s="7">
        <v>86242</v>
      </c>
      <c r="H111" s="7">
        <f t="shared" si="10"/>
        <v>4312.1000000000004</v>
      </c>
      <c r="I111" s="7">
        <f t="shared" si="11"/>
        <v>34.4968</v>
      </c>
      <c r="J111" s="6">
        <v>0</v>
      </c>
      <c r="K111" s="1"/>
    </row>
    <row r="112" spans="1:11" ht="17.100000000000001" customHeight="1" x14ac:dyDescent="0.15">
      <c r="A112" s="33"/>
      <c r="B112" s="1" t="s">
        <v>447</v>
      </c>
      <c r="C112" s="2" t="s">
        <v>448</v>
      </c>
      <c r="D112" s="2" t="s">
        <v>449</v>
      </c>
      <c r="E112" s="2" t="s">
        <v>411</v>
      </c>
      <c r="F112" s="2" t="s">
        <v>387</v>
      </c>
      <c r="G112" s="7">
        <v>58990</v>
      </c>
      <c r="H112" s="7">
        <f t="shared" si="10"/>
        <v>2949.5</v>
      </c>
      <c r="I112" s="7">
        <f t="shared" si="11"/>
        <v>23.596</v>
      </c>
      <c r="J112" s="6">
        <v>0</v>
      </c>
      <c r="K112" s="1"/>
    </row>
    <row r="113" spans="1:11" ht="17.100000000000001" customHeight="1" x14ac:dyDescent="0.15">
      <c r="A113" s="33"/>
      <c r="B113" s="1" t="s">
        <v>451</v>
      </c>
      <c r="C113" s="2" t="s">
        <v>452</v>
      </c>
      <c r="D113" s="2" t="s">
        <v>453</v>
      </c>
      <c r="E113" s="2" t="s">
        <v>416</v>
      </c>
      <c r="F113" s="2" t="s">
        <v>450</v>
      </c>
      <c r="G113" s="7">
        <v>67943</v>
      </c>
      <c r="H113" s="7">
        <f t="shared" si="10"/>
        <v>3397.15</v>
      </c>
      <c r="I113" s="7">
        <f t="shared" si="11"/>
        <v>27.177200000000003</v>
      </c>
      <c r="J113" s="6">
        <v>0</v>
      </c>
      <c r="K113" s="1"/>
    </row>
    <row r="114" spans="1:11" ht="17.100000000000001" customHeight="1" x14ac:dyDescent="0.15">
      <c r="A114" s="33"/>
      <c r="B114" s="1" t="s">
        <v>455</v>
      </c>
      <c r="C114" s="2" t="s">
        <v>456</v>
      </c>
      <c r="D114" s="2" t="s">
        <v>457</v>
      </c>
      <c r="E114" s="2" t="s">
        <v>405</v>
      </c>
      <c r="F114" s="2" t="s">
        <v>454</v>
      </c>
      <c r="G114" s="7">
        <v>657634</v>
      </c>
      <c r="H114" s="7">
        <f t="shared" si="10"/>
        <v>32881.700000000004</v>
      </c>
      <c r="I114" s="7">
        <f t="shared" si="11"/>
        <v>263.05360000000002</v>
      </c>
      <c r="J114" s="6">
        <v>0</v>
      </c>
      <c r="K114" s="1"/>
    </row>
    <row r="115" spans="1:11" ht="17.100000000000001" customHeight="1" x14ac:dyDescent="0.15">
      <c r="A115" s="33"/>
      <c r="B115" s="1" t="s">
        <v>459</v>
      </c>
      <c r="C115" s="2" t="s">
        <v>460</v>
      </c>
      <c r="D115" s="2" t="s">
        <v>461</v>
      </c>
      <c r="E115" s="2" t="s">
        <v>405</v>
      </c>
      <c r="F115" s="2" t="s">
        <v>458</v>
      </c>
      <c r="G115" s="7">
        <v>595354</v>
      </c>
      <c r="H115" s="7">
        <f t="shared" si="10"/>
        <v>29767.7</v>
      </c>
      <c r="I115" s="7">
        <f t="shared" si="11"/>
        <v>238.14160000000001</v>
      </c>
      <c r="J115" s="6">
        <v>0</v>
      </c>
      <c r="K115" s="1"/>
    </row>
    <row r="116" spans="1:11" ht="17.100000000000001" customHeight="1" x14ac:dyDescent="0.15">
      <c r="A116" s="34"/>
      <c r="B116" s="1" t="s">
        <v>462</v>
      </c>
      <c r="C116" s="2" t="s">
        <v>463</v>
      </c>
      <c r="D116" s="2" t="s">
        <v>464</v>
      </c>
      <c r="E116" s="2" t="s">
        <v>405</v>
      </c>
      <c r="F116" s="2" t="s">
        <v>465</v>
      </c>
      <c r="G116" s="7">
        <v>118289</v>
      </c>
      <c r="H116" s="7">
        <f t="shared" si="10"/>
        <v>5914.4500000000007</v>
      </c>
      <c r="I116" s="7">
        <f t="shared" si="11"/>
        <v>47.315600000000003</v>
      </c>
      <c r="J116" s="6">
        <v>0</v>
      </c>
      <c r="K116" s="23">
        <f>SUM(G102:G116)</f>
        <v>4556732</v>
      </c>
    </row>
    <row r="117" spans="1:11" ht="17.100000000000001" customHeight="1" x14ac:dyDescent="0.15">
      <c r="A117" s="32">
        <v>43507</v>
      </c>
      <c r="B117" s="1" t="s">
        <v>291</v>
      </c>
      <c r="C117" s="2" t="s">
        <v>467</v>
      </c>
      <c r="D117" s="2" t="s">
        <v>468</v>
      </c>
      <c r="E117" s="2" t="s">
        <v>469</v>
      </c>
      <c r="F117" s="2" t="s">
        <v>466</v>
      </c>
      <c r="G117" s="7">
        <v>655734</v>
      </c>
      <c r="H117" s="7">
        <f t="shared" si="10"/>
        <v>32786.700000000004</v>
      </c>
      <c r="I117" s="7">
        <f t="shared" si="11"/>
        <v>262.29360000000003</v>
      </c>
      <c r="J117" s="6">
        <v>0</v>
      </c>
      <c r="K117" s="1"/>
    </row>
    <row r="118" spans="1:11" ht="17.100000000000001" customHeight="1" x14ac:dyDescent="0.15">
      <c r="A118" s="33"/>
      <c r="B118" s="1" t="s">
        <v>470</v>
      </c>
      <c r="C118" s="2" t="s">
        <v>471</v>
      </c>
      <c r="D118" s="2" t="s">
        <v>472</v>
      </c>
      <c r="E118" s="2" t="s">
        <v>473</v>
      </c>
      <c r="F118" s="2" t="s">
        <v>407</v>
      </c>
      <c r="G118" s="7">
        <v>316750</v>
      </c>
      <c r="H118" s="7">
        <f t="shared" si="10"/>
        <v>15837.5</v>
      </c>
      <c r="I118" s="7">
        <f t="shared" si="11"/>
        <v>126.7</v>
      </c>
      <c r="J118" s="6">
        <v>0</v>
      </c>
      <c r="K118" s="1"/>
    </row>
    <row r="119" spans="1:11" ht="17.100000000000001" customHeight="1" x14ac:dyDescent="0.15">
      <c r="A119" s="33"/>
      <c r="B119" s="1" t="s">
        <v>475</v>
      </c>
      <c r="C119" s="2" t="s">
        <v>476</v>
      </c>
      <c r="D119" s="2" t="s">
        <v>477</v>
      </c>
      <c r="E119" s="2" t="s">
        <v>478</v>
      </c>
      <c r="F119" s="2" t="s">
        <v>474</v>
      </c>
      <c r="G119" s="7">
        <v>111429</v>
      </c>
      <c r="H119" s="7">
        <f t="shared" si="10"/>
        <v>5571.4500000000007</v>
      </c>
      <c r="I119" s="7">
        <f t="shared" si="11"/>
        <v>44.571600000000004</v>
      </c>
      <c r="J119" s="6">
        <v>0</v>
      </c>
      <c r="K119" s="1"/>
    </row>
    <row r="120" spans="1:11" ht="17.100000000000001" customHeight="1" x14ac:dyDescent="0.15">
      <c r="A120" s="33"/>
      <c r="B120" s="1" t="s">
        <v>531</v>
      </c>
      <c r="C120" s="2" t="s">
        <v>479</v>
      </c>
      <c r="D120" s="2" t="s">
        <v>480</v>
      </c>
      <c r="E120" s="2" t="s">
        <v>469</v>
      </c>
      <c r="F120" s="2" t="s">
        <v>481</v>
      </c>
      <c r="G120" s="7">
        <v>642165</v>
      </c>
      <c r="H120" s="7">
        <f t="shared" si="10"/>
        <v>32108.25</v>
      </c>
      <c r="I120" s="7">
        <f t="shared" si="11"/>
        <v>256.86599999999999</v>
      </c>
      <c r="J120" s="6">
        <v>0</v>
      </c>
      <c r="K120" s="1"/>
    </row>
    <row r="121" spans="1:11" ht="17.100000000000001" customHeight="1" x14ac:dyDescent="0.15">
      <c r="A121" s="33"/>
      <c r="B121" s="1" t="s">
        <v>272</v>
      </c>
      <c r="C121" s="2" t="s">
        <v>483</v>
      </c>
      <c r="D121" s="2" t="s">
        <v>484</v>
      </c>
      <c r="E121" s="2" t="s">
        <v>473</v>
      </c>
      <c r="F121" s="2" t="s">
        <v>482</v>
      </c>
      <c r="G121" s="7">
        <v>607324</v>
      </c>
      <c r="H121" s="7">
        <f t="shared" si="10"/>
        <v>30366.2</v>
      </c>
      <c r="I121" s="7">
        <f t="shared" si="11"/>
        <v>242.92960000000002</v>
      </c>
      <c r="J121" s="6">
        <v>0</v>
      </c>
      <c r="K121" s="1"/>
    </row>
    <row r="122" spans="1:11" ht="17.100000000000001" customHeight="1" x14ac:dyDescent="0.15">
      <c r="A122" s="33"/>
      <c r="B122" s="1" t="s">
        <v>485</v>
      </c>
      <c r="C122" s="2" t="s">
        <v>486</v>
      </c>
      <c r="D122" s="2" t="s">
        <v>487</v>
      </c>
      <c r="E122" s="2" t="s">
        <v>473</v>
      </c>
      <c r="F122" s="2" t="s">
        <v>482</v>
      </c>
      <c r="G122" s="7">
        <v>508600</v>
      </c>
      <c r="H122" s="7">
        <f t="shared" si="10"/>
        <v>25430</v>
      </c>
      <c r="I122" s="7">
        <f t="shared" si="11"/>
        <v>203.44</v>
      </c>
      <c r="J122" s="6">
        <v>0</v>
      </c>
      <c r="K122" s="1"/>
    </row>
    <row r="123" spans="1:11" ht="17.100000000000001" customHeight="1" x14ac:dyDescent="0.15">
      <c r="A123" s="33"/>
      <c r="B123" s="1" t="s">
        <v>489</v>
      </c>
      <c r="C123" s="2" t="s">
        <v>490</v>
      </c>
      <c r="D123" s="2" t="s">
        <v>491</v>
      </c>
      <c r="E123" s="2" t="s">
        <v>469</v>
      </c>
      <c r="F123" s="2" t="s">
        <v>488</v>
      </c>
      <c r="G123" s="7">
        <v>597216</v>
      </c>
      <c r="H123" s="7">
        <f t="shared" si="6"/>
        <v>29860.800000000003</v>
      </c>
      <c r="I123" s="7">
        <f t="shared" si="7"/>
        <v>238.88640000000004</v>
      </c>
      <c r="J123" s="6">
        <v>0</v>
      </c>
      <c r="K123" s="23">
        <f>SUM(G117:G123)</f>
        <v>3439218</v>
      </c>
    </row>
    <row r="124" spans="1:11" ht="17.100000000000001" customHeight="1" x14ac:dyDescent="0.15">
      <c r="A124" s="34"/>
      <c r="B124" s="1" t="s">
        <v>492</v>
      </c>
      <c r="C124" s="2" t="s">
        <v>493</v>
      </c>
      <c r="D124" s="2" t="s">
        <v>494</v>
      </c>
      <c r="E124" s="2" t="s">
        <v>469</v>
      </c>
      <c r="F124" s="2" t="s">
        <v>495</v>
      </c>
      <c r="G124" s="7">
        <v>661376</v>
      </c>
      <c r="H124" s="30" t="s">
        <v>28</v>
      </c>
      <c r="I124" s="31"/>
      <c r="J124" s="6"/>
      <c r="K124" s="1" t="s">
        <v>502</v>
      </c>
    </row>
    <row r="125" spans="1:11" ht="17.100000000000001" customHeight="1" x14ac:dyDescent="0.15">
      <c r="A125" s="32">
        <v>43508</v>
      </c>
      <c r="B125" s="1" t="s">
        <v>497</v>
      </c>
      <c r="C125" s="2" t="s">
        <v>498</v>
      </c>
      <c r="D125" s="2" t="s">
        <v>499</v>
      </c>
      <c r="E125" s="2" t="s">
        <v>500</v>
      </c>
      <c r="F125" s="2" t="s">
        <v>501</v>
      </c>
      <c r="G125" s="7">
        <v>658512</v>
      </c>
      <c r="H125" s="7">
        <f t="shared" ref="H125" si="12">+G125*$H$4</f>
        <v>32925.599999999999</v>
      </c>
      <c r="I125" s="7">
        <f t="shared" ref="I125:I174" si="13">+H125*$I$4</f>
        <v>263.40479999999997</v>
      </c>
      <c r="J125" s="6">
        <v>0</v>
      </c>
      <c r="K125" s="1"/>
    </row>
    <row r="126" spans="1:11" ht="17.100000000000001" customHeight="1" x14ac:dyDescent="0.15">
      <c r="A126" s="33"/>
      <c r="B126" s="1" t="s">
        <v>503</v>
      </c>
      <c r="C126" s="2" t="s">
        <v>504</v>
      </c>
      <c r="D126" s="2" t="s">
        <v>505</v>
      </c>
      <c r="E126" s="2" t="s">
        <v>506</v>
      </c>
      <c r="F126" s="2" t="s">
        <v>507</v>
      </c>
      <c r="G126" s="7">
        <v>90010</v>
      </c>
      <c r="H126" s="7">
        <f t="shared" ref="H126:H133" si="14">+G126*$H$4</f>
        <v>4500.5</v>
      </c>
      <c r="I126" s="7">
        <f t="shared" ref="I126:I169" si="15">+H126*$I$4</f>
        <v>36.003999999999998</v>
      </c>
      <c r="J126" s="6">
        <v>0</v>
      </c>
      <c r="K126" s="1"/>
    </row>
    <row r="127" spans="1:11" ht="17.100000000000001" customHeight="1" x14ac:dyDescent="0.15">
      <c r="A127" s="33"/>
      <c r="B127" s="1" t="s">
        <v>508</v>
      </c>
      <c r="C127" s="2" t="s">
        <v>509</v>
      </c>
      <c r="D127" s="2" t="s">
        <v>510</v>
      </c>
      <c r="E127" s="2" t="s">
        <v>506</v>
      </c>
      <c r="F127" s="2" t="s">
        <v>511</v>
      </c>
      <c r="G127" s="7">
        <v>658834</v>
      </c>
      <c r="H127" s="7">
        <f t="shared" si="14"/>
        <v>32941.700000000004</v>
      </c>
      <c r="I127" s="7">
        <f t="shared" si="15"/>
        <v>263.53360000000004</v>
      </c>
      <c r="J127" s="6">
        <v>0</v>
      </c>
      <c r="K127" s="1"/>
    </row>
    <row r="128" spans="1:11" ht="17.100000000000001" customHeight="1" x14ac:dyDescent="0.15">
      <c r="A128" s="33"/>
      <c r="B128" s="1" t="s">
        <v>513</v>
      </c>
      <c r="C128" s="2" t="s">
        <v>514</v>
      </c>
      <c r="D128" s="2" t="s">
        <v>515</v>
      </c>
      <c r="E128" s="2" t="s">
        <v>516</v>
      </c>
      <c r="F128" s="2" t="s">
        <v>512</v>
      </c>
      <c r="G128" s="7">
        <v>647648</v>
      </c>
      <c r="H128" s="7">
        <f t="shared" si="14"/>
        <v>32382.400000000001</v>
      </c>
      <c r="I128" s="7">
        <f t="shared" si="15"/>
        <v>259.05920000000003</v>
      </c>
      <c r="J128" s="6">
        <v>0</v>
      </c>
      <c r="K128" s="1"/>
    </row>
    <row r="129" spans="1:14" ht="17.100000000000001" customHeight="1" x14ac:dyDescent="0.15">
      <c r="A129" s="33"/>
      <c r="B129" s="1" t="s">
        <v>517</v>
      </c>
      <c r="C129" s="2" t="s">
        <v>518</v>
      </c>
      <c r="D129" s="2" t="s">
        <v>519</v>
      </c>
      <c r="E129" s="2" t="s">
        <v>506</v>
      </c>
      <c r="F129" s="2" t="s">
        <v>520</v>
      </c>
      <c r="G129" s="7">
        <v>602000</v>
      </c>
      <c r="H129" s="7">
        <f t="shared" si="14"/>
        <v>30100</v>
      </c>
      <c r="I129" s="7">
        <f t="shared" si="15"/>
        <v>240.8</v>
      </c>
      <c r="J129" s="6">
        <v>0</v>
      </c>
      <c r="K129" s="1"/>
    </row>
    <row r="130" spans="1:14" ht="17.100000000000001" customHeight="1" x14ac:dyDescent="0.15">
      <c r="A130" s="33"/>
      <c r="B130" s="1" t="s">
        <v>522</v>
      </c>
      <c r="C130" s="2" t="s">
        <v>523</v>
      </c>
      <c r="D130" s="2" t="s">
        <v>524</v>
      </c>
      <c r="E130" s="2" t="s">
        <v>506</v>
      </c>
      <c r="F130" s="2" t="s">
        <v>521</v>
      </c>
      <c r="G130" s="7">
        <v>417078</v>
      </c>
      <c r="H130" s="7">
        <f t="shared" si="14"/>
        <v>20853.900000000001</v>
      </c>
      <c r="I130" s="7">
        <f t="shared" si="15"/>
        <v>166.83120000000002</v>
      </c>
      <c r="J130" s="6">
        <v>0</v>
      </c>
      <c r="K130" s="1"/>
    </row>
    <row r="131" spans="1:14" ht="17.100000000000001" customHeight="1" x14ac:dyDescent="0.15">
      <c r="A131" s="33"/>
      <c r="B131" s="1" t="s">
        <v>526</v>
      </c>
      <c r="C131" s="2" t="s">
        <v>527</v>
      </c>
      <c r="D131" s="2" t="s">
        <v>528</v>
      </c>
      <c r="E131" s="2" t="s">
        <v>506</v>
      </c>
      <c r="F131" s="2" t="s">
        <v>525</v>
      </c>
      <c r="G131" s="7">
        <v>598518</v>
      </c>
      <c r="H131" s="7">
        <f t="shared" si="14"/>
        <v>29925.9</v>
      </c>
      <c r="I131" s="7">
        <f t="shared" si="15"/>
        <v>239.40720000000002</v>
      </c>
      <c r="J131" s="6">
        <v>0</v>
      </c>
      <c r="K131" s="1"/>
    </row>
    <row r="132" spans="1:14" ht="17.100000000000001" customHeight="1" x14ac:dyDescent="0.15">
      <c r="A132" s="33"/>
      <c r="B132" s="1" t="s">
        <v>526</v>
      </c>
      <c r="C132" s="2" t="s">
        <v>529</v>
      </c>
      <c r="D132" s="2" t="s">
        <v>530</v>
      </c>
      <c r="E132" s="2" t="s">
        <v>506</v>
      </c>
      <c r="F132" s="2" t="s">
        <v>525</v>
      </c>
      <c r="G132" s="7">
        <v>595932</v>
      </c>
      <c r="H132" s="7">
        <f t="shared" si="14"/>
        <v>29796.600000000002</v>
      </c>
      <c r="I132" s="7">
        <f t="shared" si="15"/>
        <v>238.37280000000001</v>
      </c>
      <c r="J132" s="6">
        <v>0</v>
      </c>
      <c r="K132" s="23">
        <f>SUM(H7,H9:H86,H88:H123,H125:H133+H87)</f>
        <v>1867888.6999999997</v>
      </c>
      <c r="L132" s="24" t="s">
        <v>558</v>
      </c>
    </row>
    <row r="133" spans="1:14" ht="17.100000000000001" customHeight="1" x14ac:dyDescent="0.15">
      <c r="A133" s="34"/>
      <c r="B133" s="1" t="s">
        <v>532</v>
      </c>
      <c r="C133" s="2" t="s">
        <v>533</v>
      </c>
      <c r="D133" s="2" t="s">
        <v>534</v>
      </c>
      <c r="E133" s="2" t="s">
        <v>506</v>
      </c>
      <c r="F133" s="2" t="s">
        <v>535</v>
      </c>
      <c r="G133" s="7">
        <v>652568</v>
      </c>
      <c r="H133" s="7">
        <f t="shared" si="14"/>
        <v>32628.400000000001</v>
      </c>
      <c r="I133" s="7">
        <f t="shared" si="15"/>
        <v>261.02719999999999</v>
      </c>
      <c r="J133" s="6">
        <v>0</v>
      </c>
      <c r="K133" s="23">
        <f>SUM(G125:G133)</f>
        <v>4921100</v>
      </c>
      <c r="L133" s="29"/>
    </row>
    <row r="134" spans="1:14" ht="17.100000000000001" customHeight="1" x14ac:dyDescent="0.15">
      <c r="A134" s="32">
        <v>43509</v>
      </c>
      <c r="B134" s="1" t="s">
        <v>536</v>
      </c>
      <c r="C134" s="2" t="s">
        <v>537</v>
      </c>
      <c r="D134" s="2" t="s">
        <v>538</v>
      </c>
      <c r="E134" s="2" t="s">
        <v>539</v>
      </c>
      <c r="F134" s="2" t="s">
        <v>540</v>
      </c>
      <c r="G134" s="7">
        <v>657420</v>
      </c>
      <c r="H134" s="7">
        <f>+G134*$K$134</f>
        <v>52593.599999999999</v>
      </c>
      <c r="I134" s="7">
        <f t="shared" si="15"/>
        <v>420.74880000000002</v>
      </c>
      <c r="J134" s="6">
        <v>0</v>
      </c>
      <c r="K134" s="1">
        <v>0.08</v>
      </c>
      <c r="M134" s="5">
        <v>20</v>
      </c>
      <c r="N134" s="5">
        <v>3</v>
      </c>
    </row>
    <row r="135" spans="1:14" ht="17.100000000000001" customHeight="1" x14ac:dyDescent="0.15">
      <c r="A135" s="33"/>
      <c r="B135" s="1" t="s">
        <v>542</v>
      </c>
      <c r="C135" s="2" t="s">
        <v>543</v>
      </c>
      <c r="D135" s="2" t="s">
        <v>544</v>
      </c>
      <c r="E135" s="2" t="s">
        <v>545</v>
      </c>
      <c r="F135" s="2" t="s">
        <v>541</v>
      </c>
      <c r="G135" s="7">
        <v>642926</v>
      </c>
      <c r="H135" s="7">
        <f t="shared" ref="H135:H181" si="16">+G135*$K$134</f>
        <v>51434.080000000002</v>
      </c>
      <c r="I135" s="7">
        <f t="shared" si="15"/>
        <v>411.47264000000001</v>
      </c>
      <c r="J135" s="6">
        <v>0</v>
      </c>
      <c r="K135" s="1"/>
      <c r="M135" s="5">
        <v>2</v>
      </c>
      <c r="N135" s="5">
        <v>0</v>
      </c>
    </row>
    <row r="136" spans="1:14" ht="17.100000000000001" customHeight="1" x14ac:dyDescent="0.15">
      <c r="A136" s="33"/>
      <c r="B136" s="1" t="s">
        <v>113</v>
      </c>
      <c r="C136" s="2" t="s">
        <v>547</v>
      </c>
      <c r="D136" s="2" t="s">
        <v>548</v>
      </c>
      <c r="E136" s="2" t="s">
        <v>539</v>
      </c>
      <c r="F136" s="2" t="s">
        <v>546</v>
      </c>
      <c r="G136" s="7">
        <v>88480</v>
      </c>
      <c r="H136" s="7">
        <f>+G136*$K$134</f>
        <v>7078.4000000000005</v>
      </c>
      <c r="I136" s="7">
        <f t="shared" si="15"/>
        <v>56.627200000000009</v>
      </c>
      <c r="J136" s="6">
        <v>0</v>
      </c>
      <c r="K136" s="1"/>
      <c r="M136" s="5">
        <v>5</v>
      </c>
      <c r="N136" s="5">
        <v>2</v>
      </c>
    </row>
    <row r="137" spans="1:14" ht="17.100000000000001" customHeight="1" x14ac:dyDescent="0.15">
      <c r="A137" s="33"/>
      <c r="B137" s="1" t="s">
        <v>549</v>
      </c>
      <c r="C137" s="2" t="s">
        <v>550</v>
      </c>
      <c r="D137" s="2" t="s">
        <v>551</v>
      </c>
      <c r="E137" s="2" t="s">
        <v>552</v>
      </c>
      <c r="F137" s="2" t="s">
        <v>553</v>
      </c>
      <c r="G137" s="7">
        <v>356192</v>
      </c>
      <c r="H137" s="7">
        <f t="shared" si="16"/>
        <v>28495.360000000001</v>
      </c>
      <c r="I137" s="7">
        <f t="shared" si="15"/>
        <v>227.96288000000001</v>
      </c>
      <c r="J137" s="6">
        <v>0</v>
      </c>
      <c r="K137" s="23">
        <f>SUM(H134:H138)</f>
        <v>184291.52000000002</v>
      </c>
      <c r="L137" s="24" t="s">
        <v>558</v>
      </c>
    </row>
    <row r="138" spans="1:14" ht="17.100000000000001" customHeight="1" x14ac:dyDescent="0.15">
      <c r="A138" s="34"/>
      <c r="B138" s="1" t="s">
        <v>554</v>
      </c>
      <c r="C138" s="2" t="s">
        <v>555</v>
      </c>
      <c r="D138" s="2" t="s">
        <v>556</v>
      </c>
      <c r="E138" s="2" t="s">
        <v>539</v>
      </c>
      <c r="F138" s="2" t="s">
        <v>557</v>
      </c>
      <c r="G138" s="7">
        <v>558626</v>
      </c>
      <c r="H138" s="7">
        <f t="shared" si="16"/>
        <v>44690.080000000002</v>
      </c>
      <c r="I138" s="7">
        <f t="shared" si="15"/>
        <v>357.52064000000001</v>
      </c>
      <c r="J138" s="6">
        <v>0</v>
      </c>
      <c r="K138" s="23">
        <f>SUM(G134:G138)</f>
        <v>2303644</v>
      </c>
      <c r="M138" s="5">
        <v>5</v>
      </c>
      <c r="N138" s="5">
        <v>1</v>
      </c>
    </row>
    <row r="139" spans="1:14" ht="17.100000000000001" customHeight="1" x14ac:dyDescent="0.15">
      <c r="A139" s="32">
        <v>43510</v>
      </c>
      <c r="B139" s="1" t="s">
        <v>560</v>
      </c>
      <c r="C139" s="2" t="s">
        <v>561</v>
      </c>
      <c r="D139" s="2" t="s">
        <v>562</v>
      </c>
      <c r="E139" s="2" t="s">
        <v>563</v>
      </c>
      <c r="F139" s="2" t="s">
        <v>559</v>
      </c>
      <c r="G139" s="7">
        <v>595984</v>
      </c>
      <c r="H139" s="7">
        <f t="shared" si="16"/>
        <v>47678.720000000001</v>
      </c>
      <c r="I139" s="7">
        <f t="shared" si="15"/>
        <v>381.42976000000004</v>
      </c>
      <c r="J139" s="6">
        <v>0</v>
      </c>
      <c r="K139" s="1"/>
      <c r="M139" s="5">
        <v>1</v>
      </c>
      <c r="N139" s="5">
        <v>3</v>
      </c>
    </row>
    <row r="140" spans="1:14" ht="17.100000000000001" customHeight="1" x14ac:dyDescent="0.15">
      <c r="A140" s="33"/>
      <c r="B140" s="1" t="s">
        <v>564</v>
      </c>
      <c r="C140" s="2" t="s">
        <v>565</v>
      </c>
      <c r="D140" s="2" t="s">
        <v>566</v>
      </c>
      <c r="E140" s="2" t="s">
        <v>567</v>
      </c>
      <c r="F140" s="2" t="s">
        <v>568</v>
      </c>
      <c r="G140" s="7">
        <v>604172</v>
      </c>
      <c r="H140" s="7">
        <f t="shared" si="16"/>
        <v>48333.760000000002</v>
      </c>
      <c r="I140" s="7">
        <f t="shared" si="15"/>
        <v>386.67008000000004</v>
      </c>
      <c r="J140" s="6">
        <v>0</v>
      </c>
      <c r="K140" s="1"/>
      <c r="M140" s="5">
        <v>0</v>
      </c>
      <c r="N140" s="5">
        <v>1</v>
      </c>
    </row>
    <row r="141" spans="1:14" ht="17.100000000000001" customHeight="1" x14ac:dyDescent="0.15">
      <c r="A141" s="33"/>
      <c r="B141" s="1" t="s">
        <v>570</v>
      </c>
      <c r="C141" s="2" t="s">
        <v>571</v>
      </c>
      <c r="D141" s="2" t="s">
        <v>572</v>
      </c>
      <c r="E141" s="2" t="s">
        <v>563</v>
      </c>
      <c r="F141" s="2" t="s">
        <v>569</v>
      </c>
      <c r="G141" s="7">
        <v>297751</v>
      </c>
      <c r="H141" s="7">
        <f t="shared" si="16"/>
        <v>23820.080000000002</v>
      </c>
      <c r="I141" s="7">
        <f t="shared" si="15"/>
        <v>190.56064000000001</v>
      </c>
      <c r="J141" s="6">
        <v>0</v>
      </c>
      <c r="K141" s="1"/>
      <c r="M141" s="5">
        <v>5</v>
      </c>
      <c r="N141" s="5">
        <v>3</v>
      </c>
    </row>
    <row r="142" spans="1:14" ht="17.100000000000001" customHeight="1" x14ac:dyDescent="0.15">
      <c r="A142" s="33"/>
      <c r="B142" s="1" t="s">
        <v>574</v>
      </c>
      <c r="C142" s="2" t="s">
        <v>575</v>
      </c>
      <c r="D142" s="2" t="s">
        <v>576</v>
      </c>
      <c r="E142" s="2" t="s">
        <v>563</v>
      </c>
      <c r="F142" s="2" t="s">
        <v>573</v>
      </c>
      <c r="G142" s="7">
        <v>118906</v>
      </c>
      <c r="H142" s="7">
        <f t="shared" si="16"/>
        <v>9512.48</v>
      </c>
      <c r="I142" s="7">
        <f t="shared" si="15"/>
        <v>76.09984</v>
      </c>
      <c r="J142" s="6">
        <v>0</v>
      </c>
      <c r="K142" s="1"/>
    </row>
    <row r="143" spans="1:14" ht="17.100000000000001" customHeight="1" x14ac:dyDescent="0.15">
      <c r="A143" s="33"/>
      <c r="B143" s="1" t="s">
        <v>577</v>
      </c>
      <c r="C143" s="2" t="s">
        <v>578</v>
      </c>
      <c r="D143" s="2" t="s">
        <v>579</v>
      </c>
      <c r="E143" s="2" t="s">
        <v>563</v>
      </c>
      <c r="F143" s="2" t="s">
        <v>569</v>
      </c>
      <c r="G143" s="7">
        <v>296044</v>
      </c>
      <c r="H143" s="7">
        <f t="shared" si="16"/>
        <v>23683.52</v>
      </c>
      <c r="I143" s="7">
        <f t="shared" si="15"/>
        <v>189.46816000000001</v>
      </c>
      <c r="J143" s="6">
        <v>0</v>
      </c>
      <c r="K143" s="1"/>
    </row>
    <row r="144" spans="1:14" ht="17.100000000000001" customHeight="1" x14ac:dyDescent="0.15">
      <c r="A144" s="33"/>
      <c r="B144" s="1" t="s">
        <v>580</v>
      </c>
      <c r="C144" s="2" t="s">
        <v>581</v>
      </c>
      <c r="D144" s="2" t="s">
        <v>582</v>
      </c>
      <c r="E144" s="2" t="s">
        <v>563</v>
      </c>
      <c r="F144" s="2" t="s">
        <v>583</v>
      </c>
      <c r="G144" s="7">
        <v>599010</v>
      </c>
      <c r="H144" s="7">
        <f t="shared" si="16"/>
        <v>47920.800000000003</v>
      </c>
      <c r="I144" s="7">
        <f t="shared" si="15"/>
        <v>383.36640000000006</v>
      </c>
      <c r="J144" s="6">
        <v>0</v>
      </c>
      <c r="K144" s="1"/>
    </row>
    <row r="145" spans="1:14" ht="17.100000000000001" customHeight="1" x14ac:dyDescent="0.15">
      <c r="A145" s="33"/>
      <c r="B145" s="1" t="s">
        <v>584</v>
      </c>
      <c r="C145" s="2" t="s">
        <v>585</v>
      </c>
      <c r="D145" s="2" t="s">
        <v>586</v>
      </c>
      <c r="E145" s="2" t="s">
        <v>563</v>
      </c>
      <c r="F145" s="2" t="s">
        <v>573</v>
      </c>
      <c r="G145" s="7">
        <v>302660</v>
      </c>
      <c r="H145" s="7">
        <f t="shared" si="16"/>
        <v>24212.799999999999</v>
      </c>
      <c r="I145" s="7">
        <f t="shared" si="15"/>
        <v>193.70240000000001</v>
      </c>
      <c r="J145" s="6">
        <v>0</v>
      </c>
      <c r="K145" s="23">
        <f>SUM(H139:H145)</f>
        <v>225162.15999999997</v>
      </c>
    </row>
    <row r="146" spans="1:14" ht="17.100000000000001" customHeight="1" x14ac:dyDescent="0.15">
      <c r="A146" s="34"/>
      <c r="B146" s="1" t="s">
        <v>587</v>
      </c>
      <c r="C146" s="2" t="s">
        <v>588</v>
      </c>
      <c r="D146" s="2" t="s">
        <v>589</v>
      </c>
      <c r="E146" s="2" t="s">
        <v>563</v>
      </c>
      <c r="F146" s="2" t="s">
        <v>590</v>
      </c>
      <c r="G146" s="7">
        <v>387364</v>
      </c>
      <c r="H146" s="30" t="s">
        <v>28</v>
      </c>
      <c r="I146" s="31"/>
      <c r="J146" s="6"/>
      <c r="K146" s="23">
        <f>SUM(G139:G145)</f>
        <v>2814527</v>
      </c>
    </row>
    <row r="147" spans="1:14" ht="17.100000000000001" customHeight="1" x14ac:dyDescent="0.15">
      <c r="A147" s="32">
        <v>43511</v>
      </c>
      <c r="B147" s="1" t="s">
        <v>591</v>
      </c>
      <c r="C147" s="2" t="s">
        <v>592</v>
      </c>
      <c r="D147" s="2" t="s">
        <v>593</v>
      </c>
      <c r="E147" s="2" t="s">
        <v>594</v>
      </c>
      <c r="F147" s="2" t="s">
        <v>569</v>
      </c>
      <c r="G147" s="7">
        <v>58782</v>
      </c>
      <c r="H147" s="7">
        <f t="shared" si="16"/>
        <v>4702.5600000000004</v>
      </c>
      <c r="I147" s="7">
        <f t="shared" si="15"/>
        <v>37.620480000000001</v>
      </c>
      <c r="J147" s="6">
        <v>0</v>
      </c>
      <c r="K147" s="1"/>
      <c r="M147" s="5">
        <v>3</v>
      </c>
      <c r="N147" s="5">
        <v>2</v>
      </c>
    </row>
    <row r="148" spans="1:14" ht="17.100000000000001" customHeight="1" x14ac:dyDescent="0.15">
      <c r="A148" s="33"/>
      <c r="B148" s="1" t="s">
        <v>595</v>
      </c>
      <c r="C148" s="2" t="s">
        <v>596</v>
      </c>
      <c r="D148" s="2" t="s">
        <v>597</v>
      </c>
      <c r="E148" s="2" t="s">
        <v>594</v>
      </c>
      <c r="F148" s="2" t="s">
        <v>458</v>
      </c>
      <c r="G148" s="7">
        <v>662140</v>
      </c>
      <c r="H148" s="7">
        <f t="shared" si="16"/>
        <v>52971.200000000004</v>
      </c>
      <c r="I148" s="7">
        <f t="shared" si="15"/>
        <v>423.76960000000003</v>
      </c>
      <c r="J148" s="6">
        <v>0</v>
      </c>
      <c r="K148" s="1"/>
    </row>
    <row r="149" spans="1:14" ht="17.100000000000001" customHeight="1" x14ac:dyDescent="0.15">
      <c r="A149" s="33"/>
      <c r="B149" s="1" t="s">
        <v>598</v>
      </c>
      <c r="C149" s="2" t="s">
        <v>599</v>
      </c>
      <c r="D149" s="2" t="s">
        <v>600</v>
      </c>
      <c r="E149" s="2" t="s">
        <v>601</v>
      </c>
      <c r="F149" s="2" t="s">
        <v>387</v>
      </c>
      <c r="G149" s="7">
        <v>56204</v>
      </c>
      <c r="H149" s="7">
        <f t="shared" si="16"/>
        <v>4496.32</v>
      </c>
      <c r="I149" s="7">
        <f t="shared" si="15"/>
        <v>35.970559999999999</v>
      </c>
      <c r="J149" s="6">
        <v>0</v>
      </c>
      <c r="K149" s="1"/>
    </row>
    <row r="150" spans="1:14" ht="17.100000000000001" customHeight="1" x14ac:dyDescent="0.15">
      <c r="A150" s="33"/>
      <c r="B150" s="1" t="s">
        <v>602</v>
      </c>
      <c r="C150" s="2" t="s">
        <v>603</v>
      </c>
      <c r="D150" s="2" t="s">
        <v>604</v>
      </c>
      <c r="E150" s="2" t="s">
        <v>594</v>
      </c>
      <c r="F150" s="2" t="s">
        <v>569</v>
      </c>
      <c r="G150" s="7">
        <v>297820</v>
      </c>
      <c r="H150" s="7">
        <f t="shared" si="16"/>
        <v>23825.600000000002</v>
      </c>
      <c r="I150" s="7">
        <f t="shared" si="15"/>
        <v>190.60480000000001</v>
      </c>
      <c r="J150" s="6">
        <v>0</v>
      </c>
      <c r="K150" s="23">
        <f>SUM(H147:H151)</f>
        <v>138736.80000000002</v>
      </c>
    </row>
    <row r="151" spans="1:14" ht="17.100000000000001" customHeight="1" x14ac:dyDescent="0.15">
      <c r="A151" s="34"/>
      <c r="B151" s="1" t="s">
        <v>595</v>
      </c>
      <c r="C151" s="2" t="s">
        <v>605</v>
      </c>
      <c r="D151" s="2" t="s">
        <v>606</v>
      </c>
      <c r="E151" s="2" t="s">
        <v>594</v>
      </c>
      <c r="F151" s="2" t="s">
        <v>607</v>
      </c>
      <c r="G151" s="7">
        <v>659264</v>
      </c>
      <c r="H151" s="7">
        <f t="shared" si="16"/>
        <v>52741.120000000003</v>
      </c>
      <c r="I151" s="7">
        <f t="shared" si="15"/>
        <v>421.92896000000002</v>
      </c>
      <c r="J151" s="6">
        <v>0</v>
      </c>
      <c r="K151" s="23">
        <f>SUM(G147:G151)</f>
        <v>1734210</v>
      </c>
    </row>
    <row r="152" spans="1:14" ht="17.100000000000001" customHeight="1" x14ac:dyDescent="0.15">
      <c r="A152" s="18"/>
      <c r="B152" s="1"/>
      <c r="C152" s="2"/>
      <c r="D152" s="2"/>
      <c r="E152" s="2"/>
      <c r="F152" s="2"/>
      <c r="G152" s="7"/>
      <c r="H152" s="7">
        <f t="shared" si="16"/>
        <v>0</v>
      </c>
      <c r="I152" s="7">
        <f t="shared" si="15"/>
        <v>0</v>
      </c>
      <c r="J152" s="6"/>
      <c r="K152" s="1"/>
    </row>
    <row r="153" spans="1:14" ht="17.100000000000001" customHeight="1" x14ac:dyDescent="0.15">
      <c r="A153" s="18"/>
      <c r="B153" s="1"/>
      <c r="C153" s="2"/>
      <c r="D153" s="2"/>
      <c r="E153" s="2"/>
      <c r="F153" s="2"/>
      <c r="G153" s="7"/>
      <c r="H153" s="7">
        <f t="shared" si="16"/>
        <v>0</v>
      </c>
      <c r="I153" s="7">
        <f t="shared" si="15"/>
        <v>0</v>
      </c>
      <c r="J153" s="6"/>
      <c r="K153" s="1"/>
    </row>
    <row r="154" spans="1:14" ht="17.100000000000001" customHeight="1" x14ac:dyDescent="0.15">
      <c r="A154" s="18"/>
      <c r="B154" s="1"/>
      <c r="C154" s="2"/>
      <c r="D154" s="2"/>
      <c r="E154" s="2"/>
      <c r="F154" s="2"/>
      <c r="G154" s="7"/>
      <c r="H154" s="7">
        <f t="shared" si="16"/>
        <v>0</v>
      </c>
      <c r="I154" s="7">
        <f t="shared" si="15"/>
        <v>0</v>
      </c>
      <c r="J154" s="6"/>
      <c r="K154" s="1"/>
    </row>
    <row r="155" spans="1:14" ht="17.100000000000001" customHeight="1" x14ac:dyDescent="0.15">
      <c r="A155" s="18"/>
      <c r="B155" s="1"/>
      <c r="C155" s="2"/>
      <c r="D155" s="2"/>
      <c r="E155" s="2"/>
      <c r="F155" s="2"/>
      <c r="G155" s="7"/>
      <c r="H155" s="7">
        <f t="shared" si="16"/>
        <v>0</v>
      </c>
      <c r="I155" s="7">
        <f t="shared" si="15"/>
        <v>0</v>
      </c>
      <c r="J155" s="6"/>
      <c r="K155" s="1"/>
    </row>
    <row r="156" spans="1:14" ht="17.100000000000001" customHeight="1" x14ac:dyDescent="0.15">
      <c r="A156" s="18"/>
      <c r="B156" s="1"/>
      <c r="C156" s="2"/>
      <c r="D156" s="2"/>
      <c r="E156" s="2"/>
      <c r="F156" s="2"/>
      <c r="G156" s="7"/>
      <c r="H156" s="7">
        <f t="shared" si="16"/>
        <v>0</v>
      </c>
      <c r="I156" s="7">
        <f t="shared" si="15"/>
        <v>0</v>
      </c>
      <c r="J156" s="6"/>
      <c r="K156" s="1"/>
    </row>
    <row r="157" spans="1:14" ht="17.100000000000001" customHeight="1" x14ac:dyDescent="0.15">
      <c r="A157" s="18"/>
      <c r="B157" s="1"/>
      <c r="C157" s="2"/>
      <c r="D157" s="2"/>
      <c r="E157" s="2"/>
      <c r="F157" s="2"/>
      <c r="G157" s="7"/>
      <c r="H157" s="7">
        <f t="shared" si="16"/>
        <v>0</v>
      </c>
      <c r="I157" s="7">
        <f t="shared" si="15"/>
        <v>0</v>
      </c>
      <c r="J157" s="6"/>
      <c r="K157" s="1"/>
    </row>
    <row r="158" spans="1:14" ht="17.100000000000001" customHeight="1" x14ac:dyDescent="0.15">
      <c r="A158" s="18"/>
      <c r="B158" s="1"/>
      <c r="C158" s="2"/>
      <c r="D158" s="2"/>
      <c r="E158" s="2"/>
      <c r="F158" s="2"/>
      <c r="G158" s="7"/>
      <c r="H158" s="7">
        <f t="shared" si="16"/>
        <v>0</v>
      </c>
      <c r="I158" s="7">
        <f t="shared" si="15"/>
        <v>0</v>
      </c>
      <c r="J158" s="6"/>
      <c r="K158" s="1"/>
    </row>
    <row r="159" spans="1:14" ht="17.100000000000001" customHeight="1" x14ac:dyDescent="0.15">
      <c r="A159" s="18"/>
      <c r="B159" s="1"/>
      <c r="C159" s="2"/>
      <c r="D159" s="2"/>
      <c r="E159" s="2"/>
      <c r="F159" s="2"/>
      <c r="G159" s="7"/>
      <c r="H159" s="7">
        <f t="shared" si="16"/>
        <v>0</v>
      </c>
      <c r="I159" s="7">
        <f t="shared" si="15"/>
        <v>0</v>
      </c>
      <c r="J159" s="6"/>
      <c r="K159" s="1"/>
    </row>
    <row r="160" spans="1:14" ht="17.100000000000001" customHeight="1" x14ac:dyDescent="0.15">
      <c r="A160" s="18"/>
      <c r="B160" s="1"/>
      <c r="C160" s="2"/>
      <c r="D160" s="2"/>
      <c r="E160" s="2"/>
      <c r="F160" s="2"/>
      <c r="G160" s="7"/>
      <c r="H160" s="7">
        <f t="shared" si="16"/>
        <v>0</v>
      </c>
      <c r="I160" s="7">
        <f t="shared" si="15"/>
        <v>0</v>
      </c>
      <c r="J160" s="6"/>
      <c r="K160" s="1"/>
    </row>
    <row r="161" spans="1:11" ht="17.100000000000001" customHeight="1" x14ac:dyDescent="0.15">
      <c r="A161" s="18"/>
      <c r="B161" s="1"/>
      <c r="C161" s="2"/>
      <c r="D161" s="2"/>
      <c r="E161" s="2"/>
      <c r="F161" s="2"/>
      <c r="G161" s="7"/>
      <c r="H161" s="7">
        <f t="shared" si="16"/>
        <v>0</v>
      </c>
      <c r="I161" s="7">
        <f t="shared" si="15"/>
        <v>0</v>
      </c>
      <c r="J161" s="6"/>
      <c r="K161" s="1"/>
    </row>
    <row r="162" spans="1:11" ht="17.100000000000001" customHeight="1" x14ac:dyDescent="0.15">
      <c r="A162" s="18"/>
      <c r="B162" s="1"/>
      <c r="C162" s="2"/>
      <c r="D162" s="2"/>
      <c r="E162" s="2"/>
      <c r="F162" s="2"/>
      <c r="G162" s="7"/>
      <c r="H162" s="7">
        <f t="shared" si="16"/>
        <v>0</v>
      </c>
      <c r="I162" s="7">
        <f t="shared" si="15"/>
        <v>0</v>
      </c>
      <c r="J162" s="6"/>
      <c r="K162" s="1"/>
    </row>
    <row r="163" spans="1:11" ht="17.100000000000001" customHeight="1" x14ac:dyDescent="0.15">
      <c r="A163" s="18"/>
      <c r="B163" s="1"/>
      <c r="C163" s="2"/>
      <c r="D163" s="2"/>
      <c r="E163" s="2"/>
      <c r="F163" s="2"/>
      <c r="G163" s="7"/>
      <c r="H163" s="7">
        <f t="shared" si="16"/>
        <v>0</v>
      </c>
      <c r="I163" s="7">
        <f t="shared" si="15"/>
        <v>0</v>
      </c>
      <c r="J163" s="6"/>
      <c r="K163" s="1"/>
    </row>
    <row r="164" spans="1:11" ht="17.100000000000001" customHeight="1" x14ac:dyDescent="0.15">
      <c r="A164" s="18"/>
      <c r="B164" s="1"/>
      <c r="C164" s="2"/>
      <c r="D164" s="2"/>
      <c r="E164" s="2"/>
      <c r="F164" s="2"/>
      <c r="G164" s="7"/>
      <c r="H164" s="7">
        <f t="shared" si="16"/>
        <v>0</v>
      </c>
      <c r="I164" s="7">
        <f t="shared" si="15"/>
        <v>0</v>
      </c>
      <c r="J164" s="6"/>
      <c r="K164" s="1"/>
    </row>
    <row r="165" spans="1:11" ht="17.100000000000001" customHeight="1" x14ac:dyDescent="0.15">
      <c r="A165" s="18"/>
      <c r="B165" s="1"/>
      <c r="C165" s="2"/>
      <c r="D165" s="2"/>
      <c r="E165" s="2"/>
      <c r="F165" s="2"/>
      <c r="G165" s="7"/>
      <c r="H165" s="7">
        <f t="shared" si="16"/>
        <v>0</v>
      </c>
      <c r="I165" s="7">
        <f t="shared" si="15"/>
        <v>0</v>
      </c>
      <c r="J165" s="6"/>
      <c r="K165" s="1"/>
    </row>
    <row r="166" spans="1:11" ht="17.100000000000001" customHeight="1" x14ac:dyDescent="0.15">
      <c r="A166" s="18"/>
      <c r="B166" s="1"/>
      <c r="C166" s="2"/>
      <c r="D166" s="2"/>
      <c r="E166" s="2"/>
      <c r="F166" s="2"/>
      <c r="G166" s="7"/>
      <c r="H166" s="7">
        <f t="shared" si="16"/>
        <v>0</v>
      </c>
      <c r="I166" s="7">
        <f t="shared" si="15"/>
        <v>0</v>
      </c>
      <c r="J166" s="6"/>
      <c r="K166" s="1"/>
    </row>
    <row r="167" spans="1:11" ht="17.100000000000001" customHeight="1" x14ac:dyDescent="0.15">
      <c r="A167" s="18"/>
      <c r="B167" s="1"/>
      <c r="C167" s="2"/>
      <c r="D167" s="2"/>
      <c r="E167" s="2"/>
      <c r="F167" s="2"/>
      <c r="G167" s="7"/>
      <c r="H167" s="7">
        <f t="shared" si="16"/>
        <v>0</v>
      </c>
      <c r="I167" s="7">
        <f t="shared" si="15"/>
        <v>0</v>
      </c>
      <c r="J167" s="6"/>
      <c r="K167" s="1"/>
    </row>
    <row r="168" spans="1:11" ht="17.100000000000001" customHeight="1" x14ac:dyDescent="0.15">
      <c r="A168" s="18"/>
      <c r="B168" s="1"/>
      <c r="C168" s="2"/>
      <c r="D168" s="2"/>
      <c r="E168" s="2"/>
      <c r="F168" s="2"/>
      <c r="G168" s="7"/>
      <c r="H168" s="7">
        <f t="shared" si="16"/>
        <v>0</v>
      </c>
      <c r="I168" s="7">
        <f t="shared" si="15"/>
        <v>0</v>
      </c>
      <c r="J168" s="6"/>
      <c r="K168" s="1"/>
    </row>
    <row r="169" spans="1:11" ht="17.100000000000001" customHeight="1" x14ac:dyDescent="0.15">
      <c r="A169" s="18"/>
      <c r="B169" s="1"/>
      <c r="C169" s="2"/>
      <c r="D169" s="2"/>
      <c r="E169" s="2"/>
      <c r="F169" s="2"/>
      <c r="G169" s="7"/>
      <c r="H169" s="7">
        <f t="shared" si="16"/>
        <v>0</v>
      </c>
      <c r="I169" s="7">
        <f t="shared" si="15"/>
        <v>0</v>
      </c>
      <c r="J169" s="6"/>
      <c r="K169" s="1"/>
    </row>
    <row r="170" spans="1:11" ht="17.100000000000001" customHeight="1" x14ac:dyDescent="0.15">
      <c r="A170" s="18"/>
      <c r="B170" s="1"/>
      <c r="C170" s="2"/>
      <c r="D170" s="2"/>
      <c r="E170" s="2"/>
      <c r="F170" s="2"/>
      <c r="G170" s="7"/>
      <c r="H170" s="7">
        <f t="shared" si="16"/>
        <v>0</v>
      </c>
      <c r="I170" s="7">
        <f t="shared" si="13"/>
        <v>0</v>
      </c>
      <c r="J170" s="6"/>
      <c r="K170" s="1"/>
    </row>
    <row r="171" spans="1:11" ht="17.100000000000001" customHeight="1" x14ac:dyDescent="0.15">
      <c r="A171" s="18"/>
      <c r="B171" s="1"/>
      <c r="C171" s="2"/>
      <c r="D171" s="2"/>
      <c r="E171" s="2"/>
      <c r="F171" s="2"/>
      <c r="G171" s="7"/>
      <c r="H171" s="7">
        <f t="shared" si="16"/>
        <v>0</v>
      </c>
      <c r="I171" s="7">
        <f t="shared" si="13"/>
        <v>0</v>
      </c>
      <c r="J171" s="6"/>
      <c r="K171" s="1"/>
    </row>
    <row r="172" spans="1:11" ht="17.100000000000001" customHeight="1" x14ac:dyDescent="0.15">
      <c r="A172" s="18"/>
      <c r="B172" s="1"/>
      <c r="C172" s="2"/>
      <c r="D172" s="2"/>
      <c r="E172" s="2"/>
      <c r="F172" s="2"/>
      <c r="G172" s="7"/>
      <c r="H172" s="7">
        <f t="shared" si="16"/>
        <v>0</v>
      </c>
      <c r="I172" s="7">
        <f t="shared" si="13"/>
        <v>0</v>
      </c>
      <c r="J172" s="6"/>
      <c r="K172" s="1"/>
    </row>
    <row r="173" spans="1:11" ht="17.100000000000001" customHeight="1" x14ac:dyDescent="0.15">
      <c r="A173" s="18"/>
      <c r="B173" s="1"/>
      <c r="C173" s="2"/>
      <c r="D173" s="2"/>
      <c r="E173" s="2"/>
      <c r="F173" s="2"/>
      <c r="G173" s="7"/>
      <c r="H173" s="7">
        <f t="shared" si="16"/>
        <v>0</v>
      </c>
      <c r="I173" s="7">
        <f t="shared" si="13"/>
        <v>0</v>
      </c>
      <c r="J173" s="6"/>
      <c r="K173" s="1"/>
    </row>
    <row r="174" spans="1:11" ht="17.100000000000001" customHeight="1" x14ac:dyDescent="0.15">
      <c r="A174" s="18"/>
      <c r="B174" s="1"/>
      <c r="C174" s="2"/>
      <c r="D174" s="2"/>
      <c r="E174" s="2"/>
      <c r="F174" s="2"/>
      <c r="G174" s="7"/>
      <c r="H174" s="7">
        <f t="shared" si="16"/>
        <v>0</v>
      </c>
      <c r="I174" s="7">
        <f t="shared" si="13"/>
        <v>0</v>
      </c>
      <c r="J174" s="6"/>
      <c r="K174" s="1"/>
    </row>
    <row r="175" spans="1:11" ht="17.100000000000001" customHeight="1" x14ac:dyDescent="0.15">
      <c r="A175" s="18"/>
      <c r="B175" s="1"/>
      <c r="C175" s="2"/>
      <c r="D175" s="2"/>
      <c r="E175" s="2"/>
      <c r="F175" s="2"/>
      <c r="G175" s="7"/>
      <c r="H175" s="7">
        <f t="shared" si="16"/>
        <v>0</v>
      </c>
      <c r="I175" s="7">
        <f t="shared" si="7"/>
        <v>0</v>
      </c>
      <c r="J175" s="6"/>
      <c r="K175" s="1"/>
    </row>
    <row r="176" spans="1:11" ht="17.100000000000001" customHeight="1" x14ac:dyDescent="0.15">
      <c r="A176" s="18"/>
      <c r="B176" s="1"/>
      <c r="C176" s="2"/>
      <c r="D176" s="2"/>
      <c r="E176" s="2"/>
      <c r="F176" s="2"/>
      <c r="G176" s="7"/>
      <c r="H176" s="7">
        <f t="shared" si="16"/>
        <v>0</v>
      </c>
      <c r="I176" s="7">
        <f t="shared" si="7"/>
        <v>0</v>
      </c>
      <c r="J176" s="6"/>
      <c r="K176" s="1"/>
    </row>
    <row r="177" spans="1:11" ht="17.100000000000001" customHeight="1" x14ac:dyDescent="0.15">
      <c r="A177" s="18"/>
      <c r="B177" s="1"/>
      <c r="C177" s="2"/>
      <c r="D177" s="2"/>
      <c r="E177" s="2"/>
      <c r="F177" s="2"/>
      <c r="G177" s="7"/>
      <c r="H177" s="7">
        <f t="shared" si="16"/>
        <v>0</v>
      </c>
      <c r="I177" s="7">
        <f t="shared" si="7"/>
        <v>0</v>
      </c>
      <c r="J177" s="6"/>
      <c r="K177" s="1"/>
    </row>
    <row r="178" spans="1:11" ht="17.100000000000001" customHeight="1" x14ac:dyDescent="0.15">
      <c r="A178" s="18"/>
      <c r="B178" s="1"/>
      <c r="C178" s="2"/>
      <c r="D178" s="2"/>
      <c r="E178" s="2"/>
      <c r="F178" s="2"/>
      <c r="G178" s="7"/>
      <c r="H178" s="7">
        <f t="shared" si="16"/>
        <v>0</v>
      </c>
      <c r="I178" s="7">
        <f t="shared" si="7"/>
        <v>0</v>
      </c>
      <c r="J178" s="6"/>
      <c r="K178" s="1"/>
    </row>
    <row r="179" spans="1:11" ht="17.100000000000001" customHeight="1" x14ac:dyDescent="0.15">
      <c r="A179" s="18"/>
      <c r="B179" s="1"/>
      <c r="C179" s="2"/>
      <c r="D179" s="2"/>
      <c r="E179" s="2"/>
      <c r="F179" s="2"/>
      <c r="G179" s="7"/>
      <c r="H179" s="7">
        <f t="shared" si="16"/>
        <v>0</v>
      </c>
      <c r="I179" s="7">
        <f t="shared" si="5"/>
        <v>0</v>
      </c>
      <c r="J179" s="6"/>
      <c r="K179" s="1"/>
    </row>
    <row r="180" spans="1:11" ht="17.100000000000001" customHeight="1" x14ac:dyDescent="0.15">
      <c r="A180" s="18"/>
      <c r="B180" s="1"/>
      <c r="C180" s="2"/>
      <c r="D180" s="2"/>
      <c r="E180" s="2"/>
      <c r="F180" s="2"/>
      <c r="G180" s="7"/>
      <c r="H180" s="7">
        <f t="shared" si="16"/>
        <v>0</v>
      </c>
      <c r="I180" s="7">
        <f t="shared" si="5"/>
        <v>0</v>
      </c>
      <c r="J180" s="6"/>
      <c r="K180" s="1"/>
    </row>
    <row r="181" spans="1:11" ht="17.100000000000001" customHeight="1" x14ac:dyDescent="0.15">
      <c r="A181" s="18"/>
      <c r="B181" s="1"/>
      <c r="C181" s="2"/>
      <c r="D181" s="2"/>
      <c r="E181" s="2"/>
      <c r="F181" s="2"/>
      <c r="G181" s="7"/>
      <c r="H181" s="7">
        <f t="shared" si="16"/>
        <v>0</v>
      </c>
      <c r="I181" s="7">
        <f t="shared" si="5"/>
        <v>0</v>
      </c>
      <c r="J181" s="6"/>
      <c r="K181" s="1"/>
    </row>
    <row r="183" spans="1:11" ht="21" customHeight="1" x14ac:dyDescent="0.15">
      <c r="F183" s="2" t="s">
        <v>18</v>
      </c>
      <c r="G183" s="7">
        <f>SUM(G7:G182)</f>
        <v>50163735</v>
      </c>
      <c r="H183" s="7">
        <f>SUM(H7:H182)</f>
        <v>2632337.5799999991</v>
      </c>
      <c r="I183" s="7">
        <f>SUM(I7:I182)</f>
        <v>21058.700640000003</v>
      </c>
      <c r="J183" s="7">
        <f>SUM(J7:J182)</f>
        <v>316</v>
      </c>
    </row>
  </sheetData>
  <mergeCells count="15">
    <mergeCell ref="A147:A151"/>
    <mergeCell ref="H146:I146"/>
    <mergeCell ref="A139:A146"/>
    <mergeCell ref="A88:A101"/>
    <mergeCell ref="A67:A87"/>
    <mergeCell ref="B2:D3"/>
    <mergeCell ref="H8:I8"/>
    <mergeCell ref="A7:A13"/>
    <mergeCell ref="A14:A33"/>
    <mergeCell ref="A34:A66"/>
    <mergeCell ref="A134:A138"/>
    <mergeCell ref="A125:A133"/>
    <mergeCell ref="H124:I124"/>
    <mergeCell ref="A117:A124"/>
    <mergeCell ref="A102:A116"/>
  </mergeCells>
  <phoneticPr fontId="1"/>
  <printOptions horizontalCentered="1"/>
  <pageMargins left="0.39370078740157483" right="0.39370078740157483" top="0.39370078740157483" bottom="0.39370078740157483" header="0.31496062992125984" footer="0.31496062992125984"/>
  <pageSetup paperSize="8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</dc:creator>
  <cp:lastModifiedBy>user</cp:lastModifiedBy>
  <cp:lastPrinted>2019-02-01T05:41:08Z</cp:lastPrinted>
  <dcterms:created xsi:type="dcterms:W3CDTF">2017-06-12T16:37:30Z</dcterms:created>
  <dcterms:modified xsi:type="dcterms:W3CDTF">2019-02-15T06:55:11Z</dcterms:modified>
</cp:coreProperties>
</file>