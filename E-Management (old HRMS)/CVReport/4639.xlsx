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KAMAYA\"/>
    </mc:Choice>
  </mc:AlternateContent>
  <bookViews>
    <workbookView xWindow="0" yWindow="0" windowWidth="20490" windowHeight="7065"/>
  </bookViews>
  <sheets>
    <sheet name="BTF" sheetId="2" r:id="rId1"/>
  </sheets>
  <definedNames>
    <definedName name="_xlnm.Print_Area" localSheetId="0">BTF!$B$1:$AX$73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R67" i="2" l="1"/>
  <c r="AO67" i="2"/>
  <c r="AL67" i="2"/>
  <c r="AI67" i="2"/>
  <c r="AF67" i="2"/>
  <c r="AC67" i="2"/>
  <c r="Z67" i="2"/>
  <c r="W67" i="2"/>
  <c r="T67" i="2"/>
  <c r="Q67" i="2"/>
  <c r="N67" i="2"/>
  <c r="AR66" i="2"/>
  <c r="AO66" i="2"/>
  <c r="AL66" i="2"/>
  <c r="AI66" i="2"/>
  <c r="AF66" i="2"/>
  <c r="AC66" i="2"/>
  <c r="Z66" i="2"/>
  <c r="W66" i="2"/>
  <c r="T66" i="2"/>
  <c r="Q66" i="2"/>
  <c r="N66" i="2"/>
  <c r="AR65" i="2"/>
  <c r="AO65" i="2"/>
  <c r="AL65" i="2"/>
  <c r="AI65" i="2"/>
  <c r="AF65" i="2"/>
  <c r="AC65" i="2"/>
  <c r="Z65" i="2"/>
  <c r="W65" i="2"/>
  <c r="T65" i="2"/>
  <c r="Q65" i="2"/>
  <c r="N65" i="2"/>
  <c r="K67" i="2"/>
  <c r="K66" i="2"/>
  <c r="K65" i="2"/>
  <c r="AU64" i="2"/>
  <c r="AU63" i="2"/>
  <c r="AU62" i="2"/>
  <c r="AU61" i="2"/>
  <c r="AU60" i="2"/>
  <c r="AU59" i="2"/>
  <c r="AU58" i="2"/>
  <c r="AU57" i="2"/>
  <c r="AU56" i="2"/>
  <c r="AU55" i="2"/>
  <c r="AU54" i="2"/>
  <c r="AU53" i="2"/>
  <c r="AU52" i="2"/>
  <c r="AU51" i="2"/>
  <c r="AU50" i="2"/>
  <c r="AU49" i="2"/>
  <c r="AU48" i="2"/>
  <c r="AU47" i="2"/>
  <c r="AU44" i="2"/>
  <c r="AU45" i="2"/>
  <c r="AU46" i="2"/>
  <c r="AU66" i="2" l="1"/>
  <c r="AU65" i="2"/>
  <c r="AU67" i="2"/>
</calcChain>
</file>

<file path=xl/sharedStrings.xml><?xml version="1.0" encoding="utf-8"?>
<sst xmlns="http://schemas.openxmlformats.org/spreadsheetml/2006/main" count="122" uniqueCount="97">
  <si>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</si>
  <si>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</si>
  <si>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</si>
  <si>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</si>
  <si>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</si>
  <si>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</si>
  <si>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</si>
  <si>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</si>
  <si>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</si>
  <si>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</si>
  <si>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</si>
  <si>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</si>
  <si>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</si>
  <si>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</si>
  <si>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</si>
  <si>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</si>
  <si>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</si>
  <si>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</si>
  <si>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</si>
  <si>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</si>
  <si>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</si>
  <si>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</si>
  <si>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</si>
  <si>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■</t>
  </si>
  <si>
    <t>会議フォローアップ項目　　 Meeting Follow-Up</t>
  </si>
  <si>
    <t>Directors</t>
  </si>
  <si>
    <t>Mr. Sinna, Mr. Theva</t>
  </si>
  <si>
    <t>Mr. Rajen, Mr. Loga</t>
  </si>
  <si>
    <t>QA</t>
  </si>
  <si>
    <t>Mr. Siva, Mr. Loges</t>
  </si>
  <si>
    <t>KAMAYA Electric [M] Sdn.Bhd</t>
  </si>
  <si>
    <t>Mr. Tony Shum</t>
  </si>
  <si>
    <t>Purchasing Manager</t>
  </si>
  <si>
    <t>Purchasing Executive</t>
  </si>
  <si>
    <t>Ms. Emily</t>
  </si>
  <si>
    <t>MFR-1806 crack &amp; MFR-1807 mold mark</t>
  </si>
  <si>
    <t>Additional ranks 7910M &amp; Y-Series</t>
  </si>
  <si>
    <t>KA0201 re-start orders</t>
  </si>
  <si>
    <t>2019 MARUWA commitment quantity</t>
  </si>
  <si>
    <t>Kamaya annual audit new schedule</t>
  </si>
  <si>
    <t>MFR-1806 crack b/l qty rework 2nd week Dec</t>
  </si>
  <si>
    <t>MFR-1807 mold mark qty confirmation for return</t>
  </si>
  <si>
    <t>KA0201 re-start order 20-30K/mth</t>
  </si>
  <si>
    <t>7910M &amp; YA-series additional rank</t>
  </si>
  <si>
    <t>Initial reported total quantity was 96,500pcs, but final figures today was 216,500pcs. 1st rework completed 197,000pcs and balance</t>
  </si>
  <si>
    <t>19,500pcs. BUT Ms. Emily said there are balance 2 pallets remain. I request Kamaya to re-check actuall balance for 2nd rework</t>
  </si>
  <si>
    <t>schedule on 2nd week Dec (10-14'Dec) before end year closing 31-Dec.</t>
  </si>
  <si>
    <t>Credit Note will be issue once 2nd rework complete. 1st rework NG quantity was 579pcs 0.29% (Total rework 197,000pcs).</t>
  </si>
  <si>
    <t>Mr Tony highlight even MARUWA had improve on crack quality issue, but compare to ECT no crack complaint or rework. Year 2018</t>
  </si>
  <si>
    <t xml:space="preserve">this was 2nd time rework conducted. MARUWA are highly requested to concentrate to continue improve of crack claim. For that </t>
  </si>
  <si>
    <t>I did highlight MARUWA new improvement of automation visual inspection which they would like to see on coming audit.</t>
  </si>
  <si>
    <t>Mold mark reported qty of total 9,200pcs.I request KAMAYA to re-confirm actual quantity on-hold for return goods arrangement.</t>
  </si>
  <si>
    <t>9-Nov approved 3 additional rank 66 67 78 7910M to help increase shipment qty. I requested 65 68 79 86 87 98 99 but KAMAYA</t>
  </si>
  <si>
    <t>would like to see total 7 ranks result and if necessary they will re-consider again 2nd additional ranks.</t>
  </si>
  <si>
    <t>YA-series additional request still pending for next order.</t>
  </si>
  <si>
    <t>Overall KAMAYA order not down except for KA0201. Originally plan to increase to 400K/mth but remian at 200K/mth usage.</t>
  </si>
  <si>
    <t>I did mentioned that MARUWA already have 200K WIP on-hold in production and request KAMAYA to help re-start new order</t>
  </si>
  <si>
    <t>Ms. Emily will re-schedule audit on Jan-19.</t>
  </si>
  <si>
    <t xml:space="preserve">2018 KAMAYA requested of 4,400K/mth and MARUWA replied of 2,000K/mth. ASJ reduce order 7910M and M-Type. Mr Tony </t>
  </si>
  <si>
    <t>agreed to MARUWA proposal 3,800K/mth for 2019 and order will be increase gradually.</t>
  </si>
  <si>
    <t>Average</t>
  </si>
  <si>
    <t>Q4</t>
  </si>
  <si>
    <t>Dec</t>
  </si>
  <si>
    <t>Nov</t>
  </si>
  <si>
    <t>Oct</t>
  </si>
  <si>
    <t>Q3</t>
  </si>
  <si>
    <t>Sep</t>
  </si>
  <si>
    <t>Jan</t>
  </si>
  <si>
    <t>Feb</t>
  </si>
  <si>
    <t>Mar</t>
  </si>
  <si>
    <t>Apr</t>
  </si>
  <si>
    <t>May</t>
  </si>
  <si>
    <t>Jun</t>
  </si>
  <si>
    <t>Jul</t>
  </si>
  <si>
    <t>Aug</t>
  </si>
  <si>
    <t>Q2</t>
  </si>
  <si>
    <t>Q1</t>
  </si>
  <si>
    <t>Request</t>
  </si>
  <si>
    <t>7910M  1.4K/Box</t>
  </si>
  <si>
    <t>MFR-1806 CRACK</t>
  </si>
  <si>
    <t>MFR-1807 MOLD MARK</t>
  </si>
  <si>
    <t>ADDITIONAL RANKS</t>
  </si>
  <si>
    <t xml:space="preserve">KA0201 </t>
  </si>
  <si>
    <t>KAMAYA ANNUA AUDIT</t>
  </si>
  <si>
    <t>MARUWA COMMITMENT 2019</t>
  </si>
  <si>
    <t>3080M  1.5K/Box</t>
  </si>
  <si>
    <t>1598M  1.5K/Box</t>
  </si>
  <si>
    <t>874M  1.5K/Box</t>
  </si>
  <si>
    <t>YA1210  1.5K/Box</t>
  </si>
  <si>
    <t>YA2010  1.5K/Box</t>
  </si>
  <si>
    <t>YA2512  1.5K/Box</t>
  </si>
  <si>
    <t>TOTAL</t>
  </si>
  <si>
    <t>Product</t>
  </si>
  <si>
    <t>KAMAYA initial plan 2019 to increase to 17.6B had revised to 13.4B due to order down for KA0201 from 400K/mth to 200K/mth.</t>
  </si>
  <si>
    <t>Others product order remain same as most for automotive industry. Currently they at 9B/mth. Mr Tony also mentioned that WALSIN</t>
  </si>
  <si>
    <t xml:space="preserve">HQ plan to transfer China plant (not resistor) to IPOH as they been effected by economy war with US. They will have 2nd visit next </t>
  </si>
  <si>
    <t>week to finalize the plan with Mr. Roger.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</si>
</sst>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2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36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b/>
      <u val="double"/>
      <sz val="12"/>
      <color theme="1"/>
      <name val="MS UI Gothic"/>
      <family val="2"/>
    </font>
    <font>
      <sz val="12"/>
      <color theme="8"/>
      <name val="MS UI Gothic"/>
      <family val="2"/>
    </font>
    <font>
      <b/>
      <sz val="20"/>
      <color theme="1"/>
      <name val="MS UI Gothic"/>
      <family val="2"/>
    </font>
    <font>
      <b/>
      <sz val="12"/>
      <color theme="1"/>
      <name val="MS UI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</cellStyleXfs>
  <cellXfs count="126">
    <xf numFmtId="0" fontId="0" fillId="0" borderId="0" xfId="0"/>
    <xf numFmtId="0" fontId="2" fillId="3" borderId="0" xfId="1" applyFont="1" applyFill="1" applyBorder="1" applyAlignment="1"/>
    <xf numFmtId="0" fontId="3" fillId="3" borderId="0" xfId="1" applyFont="1" applyFill="1" applyBorder="1">
      <alignment vertical="center"/>
    </xf>
    <xf numFmtId="0" fontId="5" fillId="3" borderId="0" xfId="1" applyFont="1" applyFill="1" applyBorder="1" applyAlignment="1"/>
    <xf numFmtId="0" fontId="3" fillId="3" borderId="0" xfId="1" applyFont="1" applyFill="1">
      <alignment vertical="center"/>
    </xf>
    <xf numFmtId="0" fontId="2" fillId="3" borderId="0" xfId="1" applyFont="1" applyFill="1" applyBorder="1" applyAlignment="1">
      <alignment vertical="center"/>
    </xf>
    <xf numFmtId="0" fontId="6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right" vertical="center"/>
    </xf>
    <xf numFmtId="0" fontId="2" fillId="3" borderId="0" xfId="1" applyFont="1" applyFill="1" applyBorder="1">
      <alignment vertical="center"/>
    </xf>
    <xf numFmtId="0" fontId="7" fillId="3" borderId="0" xfId="1" applyFont="1" applyFill="1" applyBorder="1" applyAlignment="1">
      <alignment vertical="center"/>
    </xf>
    <xf numFmtId="0" fontId="8" fillId="3" borderId="0" xfId="1" applyFont="1" applyFill="1" applyBorder="1" applyAlignment="1">
      <alignment horizontal="center" vertical="center"/>
    </xf>
    <xf numFmtId="0" fontId="2" fillId="3" borderId="0" xfId="0" applyFont="1" applyFill="1"/>
    <xf numFmtId="0" fontId="3" fillId="3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left" vertical="center"/>
    </xf>
    <xf numFmtId="0" fontId="9" fillId="3" borderId="1" xfId="1" applyFont="1" applyFill="1" applyBorder="1" applyAlignment="1">
      <alignment horizontal="right" vertical="center"/>
    </xf>
    <xf numFmtId="0" fontId="3" fillId="3" borderId="3" xfId="1" applyNumberFormat="1" applyFont="1" applyFill="1" applyBorder="1" applyAlignment="1">
      <alignment horizontal="left" vertical="center"/>
    </xf>
    <xf numFmtId="0" fontId="2" fillId="3" borderId="3" xfId="1" quotePrefix="1" applyNumberFormat="1" applyFont="1" applyFill="1" applyBorder="1" applyAlignment="1">
      <alignment horizontal="left" vertical="center"/>
    </xf>
    <xf numFmtId="0" fontId="3" fillId="3" borderId="3" xfId="1" applyNumberFormat="1" applyFont="1" applyFill="1" applyBorder="1" applyAlignment="1">
      <alignment horizontal="right" vertical="center"/>
    </xf>
    <xf numFmtId="0" fontId="3" fillId="3" borderId="0" xfId="1" applyNumberFormat="1" applyFont="1" applyFill="1" applyBorder="1" applyAlignment="1">
      <alignment horizontal="left" vertical="center"/>
    </xf>
    <xf numFmtId="0" fontId="2" fillId="3" borderId="0" xfId="1" quotePrefix="1" applyNumberFormat="1" applyFont="1" applyFill="1" applyBorder="1" applyAlignment="1">
      <alignment horizontal="left" vertical="center"/>
    </xf>
    <xf numFmtId="0" fontId="3" fillId="3" borderId="0" xfId="1" applyNumberFormat="1" applyFont="1" applyFill="1" applyBorder="1" applyAlignment="1">
      <alignment horizontal="right" vertical="center"/>
    </xf>
    <xf numFmtId="0" fontId="3" fillId="3" borderId="1" xfId="1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right" vertical="center"/>
    </xf>
    <xf numFmtId="0" fontId="3" fillId="3" borderId="3" xfId="1" quotePrefix="1" applyFont="1" applyFill="1" applyBorder="1">
      <alignment vertical="center"/>
    </xf>
    <xf numFmtId="0" fontId="3" fillId="3" borderId="3" xfId="1" applyFont="1" applyFill="1" applyBorder="1">
      <alignment vertical="center"/>
    </xf>
    <xf numFmtId="0" fontId="3" fillId="4" borderId="3" xfId="1" quotePrefix="1" applyFont="1" applyFill="1" applyBorder="1">
      <alignment vertical="center"/>
    </xf>
    <xf numFmtId="0" fontId="3" fillId="4" borderId="3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3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3" borderId="7" xfId="1" applyFont="1" applyFill="1" applyBorder="1">
      <alignment vertical="center"/>
    </xf>
    <xf numFmtId="0" fontId="3" fillId="3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2" fillId="3" borderId="1" xfId="1" applyFont="1" applyFill="1" applyBorder="1">
      <alignment vertical="center"/>
    </xf>
    <xf numFmtId="0" fontId="3" fillId="3" borderId="8" xfId="1" applyFont="1" applyFill="1" applyBorder="1">
      <alignment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1" xfId="1" quotePrefix="1" applyFont="1" applyFill="1" applyBorder="1">
      <alignment vertical="center"/>
    </xf>
    <xf numFmtId="0" fontId="3" fillId="3" borderId="4" xfId="1" applyNumberFormat="1" applyFont="1" applyFill="1" applyBorder="1" applyAlignment="1">
      <alignment horizontal="right" vertical="center"/>
    </xf>
    <xf numFmtId="0" fontId="3" fillId="3" borderId="6" xfId="1" applyNumberFormat="1" applyFont="1" applyFill="1" applyBorder="1" applyAlignment="1">
      <alignment horizontal="right" vertical="center"/>
    </xf>
    <xf numFmtId="0" fontId="3" fillId="3" borderId="8" xfId="1" applyNumberFormat="1" applyFont="1" applyFill="1" applyBorder="1" applyAlignment="1">
      <alignment horizontal="right" vertical="center"/>
    </xf>
    <xf numFmtId="0" fontId="3" fillId="3" borderId="0" xfId="1" applyFont="1" applyFill="1" applyBorder="1" applyAlignment="1">
      <alignment horizontal="center" vertical="center"/>
    </xf>
    <xf numFmtId="0" fontId="6" fillId="3" borderId="0" xfId="1" quotePrefix="1" applyFont="1" applyFill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2" fillId="3" borderId="0" xfId="1" applyFont="1" applyFill="1" applyBorder="1" applyAlignment="1">
      <alignment horizontal="center" vertical="center" wrapText="1" shrinkToFit="1"/>
    </xf>
    <xf numFmtId="0" fontId="3" fillId="3" borderId="2" xfId="1" quotePrefix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164" fontId="2" fillId="3" borderId="0" xfId="1" applyNumberFormat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0" xfId="1" quotePrefix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wrapText="1"/>
    </xf>
    <xf numFmtId="0" fontId="11" fillId="3" borderId="5" xfId="1" applyFont="1" applyFill="1" applyBorder="1">
      <alignment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 wrapText="1"/>
    </xf>
    <xf numFmtId="0" fontId="3" fillId="3" borderId="14" xfId="1" applyFont="1" applyFill="1" applyBorder="1" applyAlignment="1">
      <alignment horizontal="center" vertical="center" wrapText="1"/>
    </xf>
    <xf numFmtId="0" fontId="3" fillId="3" borderId="15" xfId="1" applyFont="1" applyFill="1" applyBorder="1" applyAlignment="1">
      <alignment horizontal="center" vertical="center" wrapText="1"/>
    </xf>
    <xf numFmtId="0" fontId="3" fillId="3" borderId="15" xfId="1" applyFont="1" applyFill="1" applyBorder="1" applyAlignment="1">
      <alignment horizontal="center" vertical="center"/>
    </xf>
    <xf numFmtId="0" fontId="3" fillId="3" borderId="15" xfId="1" applyFont="1" applyFill="1" applyBorder="1">
      <alignment vertical="center"/>
    </xf>
    <xf numFmtId="0" fontId="3" fillId="3" borderId="16" xfId="1" applyFont="1" applyFill="1" applyBorder="1">
      <alignment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3" fillId="3" borderId="16" xfId="1" applyFont="1" applyFill="1" applyBorder="1" applyAlignment="1">
      <alignment horizontal="center" vertical="center"/>
    </xf>
    <xf numFmtId="0" fontId="3" fillId="3" borderId="14" xfId="1" applyFont="1" applyFill="1" applyBorder="1">
      <alignment vertical="center"/>
    </xf>
    <xf numFmtId="0" fontId="3" fillId="3" borderId="9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 wrapText="1"/>
    </xf>
    <xf numFmtId="0" fontId="3" fillId="5" borderId="12" xfId="1" applyFont="1" applyFill="1" applyBorder="1" applyAlignment="1">
      <alignment horizontal="center" vertical="center"/>
    </xf>
    <xf numFmtId="0" fontId="3" fillId="5" borderId="0" xfId="1" applyFont="1" applyFill="1" applyBorder="1" applyAlignment="1">
      <alignment horizontal="center" vertical="center"/>
    </xf>
    <xf numFmtId="0" fontId="3" fillId="5" borderId="13" xfId="1" applyFont="1" applyFill="1" applyBorder="1" applyAlignment="1">
      <alignment horizontal="center" vertical="center"/>
    </xf>
    <xf numFmtId="0" fontId="3" fillId="6" borderId="12" xfId="1" applyFont="1" applyFill="1" applyBorder="1" applyAlignment="1">
      <alignment horizontal="center" vertical="center"/>
    </xf>
    <xf numFmtId="0" fontId="3" fillId="6" borderId="0" xfId="1" applyFont="1" applyFill="1" applyBorder="1" applyAlignment="1">
      <alignment horizontal="center" vertical="center"/>
    </xf>
    <xf numFmtId="0" fontId="3" fillId="6" borderId="13" xfId="1" applyFont="1" applyFill="1" applyBorder="1" applyAlignment="1">
      <alignment horizontal="center" vertical="center"/>
    </xf>
    <xf numFmtId="0" fontId="3" fillId="5" borderId="14" xfId="1" applyFont="1" applyFill="1" applyBorder="1" applyAlignment="1">
      <alignment horizontal="center" vertical="center"/>
    </xf>
    <xf numFmtId="0" fontId="3" fillId="5" borderId="15" xfId="1" applyFont="1" applyFill="1" applyBorder="1" applyAlignment="1">
      <alignment horizontal="center" vertical="center"/>
    </xf>
    <xf numFmtId="0" fontId="3" fillId="5" borderId="16" xfId="1" applyFont="1" applyFill="1" applyBorder="1" applyAlignment="1">
      <alignment horizontal="center" vertical="center"/>
    </xf>
    <xf numFmtId="3" fontId="3" fillId="3" borderId="9" xfId="1" applyNumberFormat="1" applyFont="1" applyFill="1" applyBorder="1" applyAlignment="1">
      <alignment horizontal="right" vertical="center"/>
    </xf>
    <xf numFmtId="3" fontId="3" fillId="3" borderId="10" xfId="1" applyNumberFormat="1" applyFont="1" applyFill="1" applyBorder="1" applyAlignment="1">
      <alignment horizontal="right" vertical="center"/>
    </xf>
    <xf numFmtId="3" fontId="3" fillId="3" borderId="11" xfId="1" applyNumberFormat="1" applyFont="1" applyFill="1" applyBorder="1" applyAlignment="1">
      <alignment horizontal="right" vertical="center"/>
    </xf>
    <xf numFmtId="3" fontId="3" fillId="6" borderId="12" xfId="1" applyNumberFormat="1" applyFont="1" applyFill="1" applyBorder="1" applyAlignment="1">
      <alignment horizontal="right" vertical="center"/>
    </xf>
    <xf numFmtId="3" fontId="3" fillId="6" borderId="0" xfId="1" applyNumberFormat="1" applyFont="1" applyFill="1" applyBorder="1" applyAlignment="1">
      <alignment horizontal="right" vertical="center"/>
    </xf>
    <xf numFmtId="3" fontId="3" fillId="6" borderId="13" xfId="1" applyNumberFormat="1" applyFont="1" applyFill="1" applyBorder="1" applyAlignment="1">
      <alignment horizontal="right" vertical="center"/>
    </xf>
    <xf numFmtId="3" fontId="3" fillId="5" borderId="12" xfId="1" applyNumberFormat="1" applyFont="1" applyFill="1" applyBorder="1" applyAlignment="1">
      <alignment horizontal="right" vertical="center"/>
    </xf>
    <xf numFmtId="3" fontId="3" fillId="5" borderId="0" xfId="1" applyNumberFormat="1" applyFont="1" applyFill="1" applyBorder="1" applyAlignment="1">
      <alignment horizontal="right" vertical="center"/>
    </xf>
    <xf numFmtId="3" fontId="3" fillId="5" borderId="13" xfId="1" applyNumberFormat="1" applyFont="1" applyFill="1" applyBorder="1" applyAlignment="1">
      <alignment horizontal="right" vertical="center"/>
    </xf>
    <xf numFmtId="3" fontId="3" fillId="5" borderId="14" xfId="1" applyNumberFormat="1" applyFont="1" applyFill="1" applyBorder="1" applyAlignment="1">
      <alignment horizontal="right" vertical="center"/>
    </xf>
    <xf numFmtId="3" fontId="3" fillId="5" borderId="15" xfId="1" applyNumberFormat="1" applyFont="1" applyFill="1" applyBorder="1" applyAlignment="1">
      <alignment horizontal="right" vertical="center"/>
    </xf>
    <xf numFmtId="3" fontId="3" fillId="5" borderId="16" xfId="1" applyNumberFormat="1" applyFont="1" applyFill="1" applyBorder="1" applyAlignment="1">
      <alignment horizontal="right" vertical="center"/>
    </xf>
    <xf numFmtId="0" fontId="3" fillId="3" borderId="5" xfId="1" applyFont="1" applyFill="1" applyBorder="1" applyAlignment="1">
      <alignment horizontal="left" vertical="center"/>
    </xf>
    <xf numFmtId="0" fontId="3" fillId="3" borderId="7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55244"/>
          <a:ext cx="2781299" cy="6229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3"/>
  <sheetViews>
    <sheetView tabSelected="1" zoomScale="125" zoomScaleNormal="125" workbookViewId="0">
      <selection activeCell="Q17" sqref="Q17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78" t="s">
        <v>8</v>
      </c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2"/>
      <c r="AL1" s="3" t="s">
        <v>15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2"/>
      <c r="AL2" s="2" t="s">
        <v>7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4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2"/>
      <c r="AL3" s="2" t="s">
        <v>6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26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25</v>
      </c>
    </row>
    <row r="5" spans="2:66" ht="14.25" customHeight="1">
      <c r="B5" s="79" t="s">
        <v>11</v>
      </c>
      <c r="C5" s="79"/>
      <c r="D5" s="79"/>
      <c r="E5" s="79"/>
      <c r="F5" s="79"/>
      <c r="G5" s="81">
        <v>43432</v>
      </c>
      <c r="H5" s="81"/>
      <c r="I5" s="81"/>
      <c r="J5" s="81"/>
      <c r="K5" s="81"/>
      <c r="L5" s="81"/>
      <c r="M5" s="81"/>
      <c r="N5" s="81"/>
      <c r="O5" s="81"/>
      <c r="P5" s="81"/>
      <c r="Q5" s="81"/>
      <c r="R5" s="2"/>
      <c r="S5" s="53" t="s">
        <v>9</v>
      </c>
      <c r="T5" s="53"/>
      <c r="U5" s="53"/>
      <c r="V5" s="53"/>
      <c r="W5" s="53"/>
      <c r="X5" s="53"/>
      <c r="Y5" s="47" t="s">
        <v>21</v>
      </c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2"/>
      <c r="AL5" s="2" t="s">
        <v>27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79"/>
      <c r="C6" s="79"/>
      <c r="D6" s="79"/>
      <c r="E6" s="79"/>
      <c r="F6" s="79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2"/>
      <c r="S6" s="56"/>
      <c r="T6" s="56"/>
      <c r="U6" s="56"/>
      <c r="V6" s="56"/>
      <c r="W6" s="56"/>
      <c r="X6" s="56"/>
      <c r="Y6" s="80" t="s">
        <v>20</v>
      </c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2"/>
      <c r="AL6" s="8" t="s">
        <v>29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28</v>
      </c>
      <c r="AY6" s="2"/>
    </row>
    <row r="7" spans="2:66" ht="14.25" customHeight="1">
      <c r="B7" s="58" t="s">
        <v>3</v>
      </c>
      <c r="C7" s="58"/>
      <c r="D7" s="58"/>
      <c r="E7" s="58"/>
      <c r="F7" s="58"/>
      <c r="G7" s="2"/>
      <c r="H7" s="79" t="s">
        <v>17</v>
      </c>
      <c r="I7" s="79"/>
      <c r="J7" s="79"/>
      <c r="K7" s="2"/>
      <c r="L7" s="86" t="s">
        <v>18</v>
      </c>
      <c r="M7" s="86"/>
      <c r="N7" s="86"/>
      <c r="O7" s="2"/>
      <c r="P7" s="2"/>
      <c r="Q7" s="2"/>
      <c r="R7" s="2"/>
      <c r="S7" s="50" t="s">
        <v>10</v>
      </c>
      <c r="T7" s="50"/>
      <c r="U7" s="50"/>
      <c r="V7" s="50"/>
      <c r="W7" s="50"/>
      <c r="X7" s="50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2"/>
      <c r="AL7" s="8" t="s">
        <v>12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58"/>
      <c r="C8" s="58"/>
      <c r="D8" s="58"/>
      <c r="E8" s="58"/>
      <c r="F8" s="58"/>
      <c r="G8" s="2"/>
      <c r="H8" s="79"/>
      <c r="I8" s="79"/>
      <c r="J8" s="79"/>
      <c r="K8" s="12"/>
      <c r="L8" s="86"/>
      <c r="M8" s="86"/>
      <c r="N8" s="86"/>
      <c r="O8" s="2"/>
      <c r="P8" s="2"/>
      <c r="Q8" s="2"/>
      <c r="R8" s="2"/>
      <c r="S8" s="53"/>
      <c r="T8" s="53"/>
      <c r="U8" s="53"/>
      <c r="V8" s="53"/>
      <c r="W8" s="53"/>
      <c r="X8" s="53"/>
      <c r="Y8" s="83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2"/>
      <c r="AL8" s="5" t="s">
        <v>19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58"/>
      <c r="C9" s="58"/>
      <c r="D9" s="58"/>
      <c r="E9" s="58"/>
      <c r="F9" s="58"/>
      <c r="G9" s="2"/>
      <c r="H9" s="79"/>
      <c r="I9" s="79"/>
      <c r="J9" s="79"/>
      <c r="K9" s="2"/>
      <c r="L9" s="86"/>
      <c r="M9" s="86"/>
      <c r="N9" s="86"/>
      <c r="O9" s="2"/>
      <c r="P9" s="2"/>
      <c r="Q9" s="2"/>
      <c r="R9" s="2"/>
      <c r="S9" s="56"/>
      <c r="T9" s="56"/>
      <c r="U9" s="56"/>
      <c r="V9" s="56"/>
      <c r="W9" s="56"/>
      <c r="X9" s="56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2"/>
      <c r="AL9" s="13" t="s">
        <v>13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14</v>
      </c>
      <c r="AY10" s="2"/>
      <c r="AZ10" s="2"/>
    </row>
    <row r="11" spans="2:66" ht="13.5" customHeight="1">
      <c r="B11" s="49" t="s">
        <v>0</v>
      </c>
      <c r="C11" s="50"/>
      <c r="D11" s="50"/>
      <c r="E11" s="50"/>
      <c r="F11" s="50"/>
      <c r="G11" s="69" t="s">
        <v>30</v>
      </c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1"/>
      <c r="Z11" s="59" t="s">
        <v>1</v>
      </c>
      <c r="AA11" s="50"/>
      <c r="AB11" s="50"/>
      <c r="AC11" s="50"/>
      <c r="AD11" s="51"/>
      <c r="AE11" s="15" t="s">
        <v>31</v>
      </c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7"/>
      <c r="AX11" s="44" t="s">
        <v>32</v>
      </c>
    </row>
    <row r="12" spans="2:66" ht="15" customHeight="1">
      <c r="B12" s="52"/>
      <c r="C12" s="53"/>
      <c r="D12" s="53"/>
      <c r="E12" s="53"/>
      <c r="F12" s="53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4"/>
      <c r="Z12" s="52"/>
      <c r="AA12" s="53"/>
      <c r="AB12" s="53"/>
      <c r="AC12" s="53"/>
      <c r="AD12" s="54"/>
      <c r="AE12" s="18" t="s">
        <v>34</v>
      </c>
      <c r="AF12" s="18"/>
      <c r="AG12" s="19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20"/>
      <c r="AX12" s="45" t="s">
        <v>33</v>
      </c>
    </row>
    <row r="13" spans="2:66" ht="15.75" customHeight="1" thickBot="1">
      <c r="B13" s="55"/>
      <c r="C13" s="56"/>
      <c r="D13" s="56"/>
      <c r="E13" s="56"/>
      <c r="F13" s="56"/>
      <c r="G13" s="75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7"/>
      <c r="Z13" s="55"/>
      <c r="AA13" s="56"/>
      <c r="AB13" s="56"/>
      <c r="AC13" s="56"/>
      <c r="AD13" s="57"/>
      <c r="AE13" s="18"/>
      <c r="AF13" s="18"/>
      <c r="AG13" s="19"/>
      <c r="AH13" s="18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2"/>
      <c r="AX13" s="46"/>
      <c r="BE13" s="48"/>
      <c r="BF13" s="48"/>
    </row>
    <row r="14" spans="2:66" ht="14.25" customHeight="1">
      <c r="B14" s="49" t="s">
        <v>22</v>
      </c>
      <c r="C14" s="50"/>
      <c r="D14" s="50"/>
      <c r="E14" s="50"/>
      <c r="F14" s="51"/>
      <c r="G14" s="23" t="s">
        <v>23</v>
      </c>
      <c r="H14" s="24" t="s">
        <v>35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60" t="s">
        <v>24</v>
      </c>
      <c r="AA14" s="61"/>
      <c r="AB14" s="61"/>
      <c r="AC14" s="61"/>
      <c r="AD14" s="62"/>
      <c r="AE14" s="25" t="s">
        <v>23</v>
      </c>
      <c r="AF14" s="26" t="s">
        <v>40</v>
      </c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7"/>
      <c r="BE14" s="48"/>
      <c r="BF14" s="48"/>
    </row>
    <row r="15" spans="2:66">
      <c r="B15" s="52"/>
      <c r="C15" s="53"/>
      <c r="D15" s="53"/>
      <c r="E15" s="53"/>
      <c r="F15" s="54"/>
      <c r="G15" s="2" t="s">
        <v>23</v>
      </c>
      <c r="H15" s="2" t="s">
        <v>36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63"/>
      <c r="AA15" s="64"/>
      <c r="AB15" s="64"/>
      <c r="AC15" s="64"/>
      <c r="AD15" s="65"/>
      <c r="AE15" s="28" t="s">
        <v>23</v>
      </c>
      <c r="AF15" s="28" t="s">
        <v>41</v>
      </c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9"/>
    </row>
    <row r="16" spans="2:66">
      <c r="B16" s="52"/>
      <c r="C16" s="53"/>
      <c r="D16" s="53"/>
      <c r="E16" s="53"/>
      <c r="F16" s="54"/>
      <c r="G16" s="2" t="s">
        <v>23</v>
      </c>
      <c r="H16" s="30" t="s">
        <v>37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63"/>
      <c r="AA16" s="64"/>
      <c r="AB16" s="64"/>
      <c r="AC16" s="64"/>
      <c r="AD16" s="65"/>
      <c r="AE16" s="28" t="s">
        <v>23</v>
      </c>
      <c r="AF16" s="31" t="s">
        <v>42</v>
      </c>
      <c r="AG16" s="32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9"/>
    </row>
    <row r="17" spans="2:50">
      <c r="B17" s="52"/>
      <c r="C17" s="53"/>
      <c r="D17" s="53"/>
      <c r="E17" s="53"/>
      <c r="F17" s="54"/>
      <c r="G17" s="2" t="s">
        <v>23</v>
      </c>
      <c r="H17" s="30" t="s">
        <v>38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63"/>
      <c r="AA17" s="64"/>
      <c r="AB17" s="64"/>
      <c r="AC17" s="64"/>
      <c r="AD17" s="65"/>
      <c r="AE17" s="28" t="s">
        <v>23</v>
      </c>
      <c r="AF17" s="31" t="s">
        <v>43</v>
      </c>
      <c r="AG17" s="32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9"/>
    </row>
    <row r="18" spans="2:50" ht="15" thickBot="1">
      <c r="B18" s="55"/>
      <c r="C18" s="56"/>
      <c r="D18" s="56"/>
      <c r="E18" s="56"/>
      <c r="F18" s="57"/>
      <c r="G18" s="34" t="s">
        <v>23</v>
      </c>
      <c r="H18" s="34" t="s">
        <v>39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66"/>
      <c r="AA18" s="67"/>
      <c r="AB18" s="67"/>
      <c r="AC18" s="67"/>
      <c r="AD18" s="68"/>
      <c r="AE18" s="35" t="s">
        <v>23</v>
      </c>
      <c r="AF18" s="36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7"/>
    </row>
    <row r="19" spans="2:50" ht="13.5" customHeight="1">
      <c r="B19" s="52" t="s">
        <v>2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4"/>
    </row>
    <row r="20" spans="2:50">
      <c r="B20" s="87" t="s">
        <v>79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8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39"/>
    </row>
    <row r="21" spans="2:50">
      <c r="B21" s="38" t="s">
        <v>23</v>
      </c>
      <c r="C21" s="2" t="s">
        <v>44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8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39"/>
    </row>
    <row r="22" spans="2:50">
      <c r="B22" s="38"/>
      <c r="C22" s="2" t="s">
        <v>45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39"/>
    </row>
    <row r="23" spans="2:50">
      <c r="B23" s="38"/>
      <c r="C23" s="2" t="s">
        <v>46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39"/>
    </row>
    <row r="24" spans="2:50">
      <c r="B24" s="38" t="s">
        <v>23</v>
      </c>
      <c r="C24" s="2" t="s">
        <v>47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39"/>
    </row>
    <row r="25" spans="2:50">
      <c r="B25" s="38" t="s">
        <v>23</v>
      </c>
      <c r="C25" s="2" t="s">
        <v>48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39"/>
    </row>
    <row r="26" spans="2:50">
      <c r="B26" s="38"/>
      <c r="C26" s="2" t="s">
        <v>49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39"/>
    </row>
    <row r="27" spans="2:50">
      <c r="B27" s="38"/>
      <c r="C27" s="2" t="s">
        <v>50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39"/>
    </row>
    <row r="28" spans="2:50">
      <c r="B28" s="87" t="s">
        <v>80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8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39"/>
    </row>
    <row r="29" spans="2:50">
      <c r="B29" s="38" t="s">
        <v>23</v>
      </c>
      <c r="C29" s="2" t="s">
        <v>51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8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39"/>
    </row>
    <row r="30" spans="2:50">
      <c r="B30" s="87" t="s">
        <v>81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8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39"/>
    </row>
    <row r="31" spans="2:50">
      <c r="B31" s="38" t="s">
        <v>23</v>
      </c>
      <c r="C31" s="2" t="s">
        <v>52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8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39"/>
    </row>
    <row r="32" spans="2:50" ht="15" customHeight="1">
      <c r="B32" s="38"/>
      <c r="C32" s="2" t="s">
        <v>53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39"/>
    </row>
    <row r="33" spans="2:50">
      <c r="B33" s="38" t="s">
        <v>23</v>
      </c>
      <c r="C33" s="2" t="s">
        <v>54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39"/>
    </row>
    <row r="34" spans="2:50">
      <c r="B34" s="87" t="s">
        <v>82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39"/>
    </row>
    <row r="35" spans="2:50" ht="15" customHeight="1">
      <c r="B35" s="38" t="s">
        <v>23</v>
      </c>
      <c r="C35" s="2" t="s">
        <v>55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8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39"/>
    </row>
    <row r="36" spans="2:50">
      <c r="B36" s="38"/>
      <c r="C36" s="2" t="s">
        <v>56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39"/>
    </row>
    <row r="37" spans="2:50">
      <c r="B37" s="87" t="s">
        <v>83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39"/>
    </row>
    <row r="38" spans="2:50">
      <c r="B38" s="38" t="s">
        <v>23</v>
      </c>
      <c r="C38" s="2" t="s">
        <v>57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39"/>
    </row>
    <row r="39" spans="2:50">
      <c r="B39" s="87" t="s">
        <v>84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8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39"/>
    </row>
    <row r="40" spans="2:50">
      <c r="B40" s="38" t="s">
        <v>23</v>
      </c>
      <c r="C40" s="2" t="s">
        <v>58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8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39"/>
    </row>
    <row r="41" spans="2:50">
      <c r="B41" s="38"/>
      <c r="C41" s="2" t="s">
        <v>59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8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39"/>
    </row>
    <row r="42" spans="2:50" ht="15" customHeight="1">
      <c r="B42" s="38"/>
      <c r="C42" s="96" t="s">
        <v>92</v>
      </c>
      <c r="D42" s="88"/>
      <c r="E42" s="88"/>
      <c r="F42" s="88"/>
      <c r="G42" s="88"/>
      <c r="H42" s="88"/>
      <c r="I42" s="88"/>
      <c r="J42" s="88"/>
      <c r="K42" s="96" t="s">
        <v>76</v>
      </c>
      <c r="L42" s="88"/>
      <c r="M42" s="88"/>
      <c r="N42" s="88"/>
      <c r="O42" s="88"/>
      <c r="P42" s="88"/>
      <c r="Q42" s="88"/>
      <c r="R42" s="88"/>
      <c r="S42" s="89"/>
      <c r="T42" s="88" t="s">
        <v>75</v>
      </c>
      <c r="U42" s="88"/>
      <c r="V42" s="88"/>
      <c r="W42" s="88"/>
      <c r="X42" s="88"/>
      <c r="Y42" s="88"/>
      <c r="Z42" s="88"/>
      <c r="AA42" s="88"/>
      <c r="AB42" s="88"/>
      <c r="AC42" s="96" t="s">
        <v>65</v>
      </c>
      <c r="AD42" s="88"/>
      <c r="AE42" s="88"/>
      <c r="AF42" s="88"/>
      <c r="AG42" s="88"/>
      <c r="AH42" s="88"/>
      <c r="AI42" s="88"/>
      <c r="AJ42" s="88"/>
      <c r="AK42" s="89"/>
      <c r="AL42" s="88" t="s">
        <v>61</v>
      </c>
      <c r="AM42" s="88"/>
      <c r="AN42" s="88"/>
      <c r="AO42" s="88"/>
      <c r="AP42" s="88"/>
      <c r="AQ42" s="88"/>
      <c r="AR42" s="88"/>
      <c r="AS42" s="88"/>
      <c r="AT42" s="88"/>
      <c r="AU42" s="96" t="s">
        <v>60</v>
      </c>
      <c r="AV42" s="88"/>
      <c r="AW42" s="89"/>
      <c r="AX42" s="39"/>
    </row>
    <row r="43" spans="2:50">
      <c r="B43" s="38"/>
      <c r="C43" s="97"/>
      <c r="D43" s="93"/>
      <c r="E43" s="93"/>
      <c r="F43" s="93"/>
      <c r="G43" s="93"/>
      <c r="H43" s="93"/>
      <c r="I43" s="93"/>
      <c r="J43" s="93"/>
      <c r="K43" s="97" t="s">
        <v>67</v>
      </c>
      <c r="L43" s="93"/>
      <c r="M43" s="93"/>
      <c r="N43" s="93" t="s">
        <v>68</v>
      </c>
      <c r="O43" s="93"/>
      <c r="P43" s="93"/>
      <c r="Q43" s="93" t="s">
        <v>69</v>
      </c>
      <c r="R43" s="93"/>
      <c r="S43" s="98"/>
      <c r="T43" s="93" t="s">
        <v>70</v>
      </c>
      <c r="U43" s="93"/>
      <c r="V43" s="93"/>
      <c r="W43" s="93" t="s">
        <v>71</v>
      </c>
      <c r="X43" s="93"/>
      <c r="Y43" s="93"/>
      <c r="Z43" s="93" t="s">
        <v>72</v>
      </c>
      <c r="AA43" s="93"/>
      <c r="AB43" s="93"/>
      <c r="AC43" s="97" t="s">
        <v>73</v>
      </c>
      <c r="AD43" s="93"/>
      <c r="AE43" s="93"/>
      <c r="AF43" s="93" t="s">
        <v>74</v>
      </c>
      <c r="AG43" s="93"/>
      <c r="AH43" s="93"/>
      <c r="AI43" s="93" t="s">
        <v>66</v>
      </c>
      <c r="AJ43" s="93"/>
      <c r="AK43" s="98"/>
      <c r="AL43" s="93" t="s">
        <v>64</v>
      </c>
      <c r="AM43" s="93"/>
      <c r="AN43" s="93"/>
      <c r="AO43" s="93" t="s">
        <v>63</v>
      </c>
      <c r="AP43" s="93"/>
      <c r="AQ43" s="93"/>
      <c r="AR43" s="93" t="s">
        <v>62</v>
      </c>
      <c r="AS43" s="93"/>
      <c r="AT43" s="93"/>
      <c r="AU43" s="99"/>
      <c r="AV43" s="94"/>
      <c r="AW43" s="95"/>
      <c r="AX43" s="39"/>
    </row>
    <row r="44" spans="2:50">
      <c r="B44" s="38"/>
      <c r="C44" s="90" t="s">
        <v>78</v>
      </c>
      <c r="D44" s="53"/>
      <c r="E44" s="53"/>
      <c r="F44" s="53"/>
      <c r="G44" s="53"/>
      <c r="H44" s="96" t="s">
        <v>77</v>
      </c>
      <c r="I44" s="88"/>
      <c r="J44" s="89"/>
      <c r="K44" s="111">
        <v>75</v>
      </c>
      <c r="L44" s="112"/>
      <c r="M44" s="112"/>
      <c r="N44" s="112">
        <v>75</v>
      </c>
      <c r="O44" s="112"/>
      <c r="P44" s="112"/>
      <c r="Q44" s="112">
        <v>325</v>
      </c>
      <c r="R44" s="112"/>
      <c r="S44" s="113"/>
      <c r="T44" s="111">
        <v>325</v>
      </c>
      <c r="U44" s="112"/>
      <c r="V44" s="112"/>
      <c r="W44" s="112">
        <v>325</v>
      </c>
      <c r="X44" s="112"/>
      <c r="Y44" s="112"/>
      <c r="Z44" s="112">
        <v>325</v>
      </c>
      <c r="AA44" s="112"/>
      <c r="AB44" s="113"/>
      <c r="AC44" s="111">
        <v>657</v>
      </c>
      <c r="AD44" s="112"/>
      <c r="AE44" s="112"/>
      <c r="AF44" s="112">
        <v>657</v>
      </c>
      <c r="AG44" s="112"/>
      <c r="AH44" s="112"/>
      <c r="AI44" s="112">
        <v>657</v>
      </c>
      <c r="AJ44" s="112"/>
      <c r="AK44" s="113"/>
      <c r="AL44" s="111">
        <v>657</v>
      </c>
      <c r="AM44" s="112"/>
      <c r="AN44" s="112"/>
      <c r="AO44" s="112">
        <v>657</v>
      </c>
      <c r="AP44" s="112"/>
      <c r="AQ44" s="112"/>
      <c r="AR44" s="112">
        <v>657</v>
      </c>
      <c r="AS44" s="112"/>
      <c r="AT44" s="113"/>
      <c r="AU44" s="111">
        <f>AVERAGE(K44:AR44)</f>
        <v>449.33333333333331</v>
      </c>
      <c r="AV44" s="112"/>
      <c r="AW44" s="113"/>
      <c r="AX44" s="39"/>
    </row>
    <row r="45" spans="2:50">
      <c r="B45" s="38"/>
      <c r="C45" s="90"/>
      <c r="D45" s="53"/>
      <c r="E45" s="53"/>
      <c r="F45" s="53"/>
      <c r="G45" s="53"/>
      <c r="H45" s="105">
        <v>2018</v>
      </c>
      <c r="I45" s="106"/>
      <c r="J45" s="107"/>
      <c r="K45" s="114">
        <v>120.4</v>
      </c>
      <c r="L45" s="115"/>
      <c r="M45" s="115"/>
      <c r="N45" s="115">
        <v>120.4</v>
      </c>
      <c r="O45" s="115"/>
      <c r="P45" s="115"/>
      <c r="Q45" s="115">
        <v>324.8</v>
      </c>
      <c r="R45" s="115"/>
      <c r="S45" s="116"/>
      <c r="T45" s="114">
        <v>324.8</v>
      </c>
      <c r="U45" s="115"/>
      <c r="V45" s="115"/>
      <c r="W45" s="115">
        <v>324.8</v>
      </c>
      <c r="X45" s="115"/>
      <c r="Y45" s="115"/>
      <c r="Z45" s="115">
        <v>324.8</v>
      </c>
      <c r="AA45" s="115"/>
      <c r="AB45" s="116"/>
      <c r="AC45" s="114">
        <v>324.8</v>
      </c>
      <c r="AD45" s="115"/>
      <c r="AE45" s="115"/>
      <c r="AF45" s="115">
        <v>324.8</v>
      </c>
      <c r="AG45" s="115"/>
      <c r="AH45" s="115"/>
      <c r="AI45" s="115">
        <v>324.8</v>
      </c>
      <c r="AJ45" s="115"/>
      <c r="AK45" s="116"/>
      <c r="AL45" s="114">
        <v>324.8</v>
      </c>
      <c r="AM45" s="115"/>
      <c r="AN45" s="115"/>
      <c r="AO45" s="115">
        <v>324.8</v>
      </c>
      <c r="AP45" s="115"/>
      <c r="AQ45" s="115"/>
      <c r="AR45" s="115">
        <v>324.8</v>
      </c>
      <c r="AS45" s="115"/>
      <c r="AT45" s="116"/>
      <c r="AU45" s="114">
        <f>AVERAGE(K45:AR45)</f>
        <v>290.73333333333341</v>
      </c>
      <c r="AV45" s="115"/>
      <c r="AW45" s="116"/>
      <c r="AX45" s="39"/>
    </row>
    <row r="46" spans="2:50">
      <c r="B46" s="38"/>
      <c r="C46" s="90"/>
      <c r="D46" s="53"/>
      <c r="E46" s="53"/>
      <c r="F46" s="53"/>
      <c r="G46" s="53"/>
      <c r="H46" s="102">
        <v>2019</v>
      </c>
      <c r="I46" s="103"/>
      <c r="J46" s="104"/>
      <c r="K46" s="117">
        <v>650</v>
      </c>
      <c r="L46" s="118"/>
      <c r="M46" s="118"/>
      <c r="N46" s="118">
        <v>650</v>
      </c>
      <c r="O46" s="118"/>
      <c r="P46" s="118"/>
      <c r="Q46" s="118">
        <v>650</v>
      </c>
      <c r="R46" s="118"/>
      <c r="S46" s="119"/>
      <c r="T46" s="117">
        <v>650</v>
      </c>
      <c r="U46" s="118"/>
      <c r="V46" s="118"/>
      <c r="W46" s="118">
        <v>650</v>
      </c>
      <c r="X46" s="118"/>
      <c r="Y46" s="118"/>
      <c r="Z46" s="118">
        <v>650</v>
      </c>
      <c r="AA46" s="118"/>
      <c r="AB46" s="119"/>
      <c r="AC46" s="117">
        <v>650</v>
      </c>
      <c r="AD46" s="118"/>
      <c r="AE46" s="118"/>
      <c r="AF46" s="118">
        <v>650</v>
      </c>
      <c r="AG46" s="118"/>
      <c r="AH46" s="118"/>
      <c r="AI46" s="118">
        <v>650</v>
      </c>
      <c r="AJ46" s="118"/>
      <c r="AK46" s="119"/>
      <c r="AL46" s="117">
        <v>650</v>
      </c>
      <c r="AM46" s="118"/>
      <c r="AN46" s="118"/>
      <c r="AO46" s="118">
        <v>650</v>
      </c>
      <c r="AP46" s="118"/>
      <c r="AQ46" s="118"/>
      <c r="AR46" s="118">
        <v>650</v>
      </c>
      <c r="AS46" s="118"/>
      <c r="AT46" s="119"/>
      <c r="AU46" s="117">
        <f>AVERAGE(K46:AT46)</f>
        <v>650</v>
      </c>
      <c r="AV46" s="118"/>
      <c r="AW46" s="119"/>
      <c r="AX46" s="39"/>
    </row>
    <row r="47" spans="2:50">
      <c r="B47" s="38"/>
      <c r="C47" s="100" t="s">
        <v>85</v>
      </c>
      <c r="D47" s="101"/>
      <c r="E47" s="101"/>
      <c r="F47" s="101"/>
      <c r="G47" s="101"/>
      <c r="H47" s="96" t="s">
        <v>77</v>
      </c>
      <c r="I47" s="88"/>
      <c r="J47" s="89"/>
      <c r="K47" s="111">
        <v>155</v>
      </c>
      <c r="L47" s="112"/>
      <c r="M47" s="112"/>
      <c r="N47" s="112">
        <v>155</v>
      </c>
      <c r="O47" s="112"/>
      <c r="P47" s="112"/>
      <c r="Q47" s="112">
        <v>510</v>
      </c>
      <c r="R47" s="112"/>
      <c r="S47" s="113"/>
      <c r="T47" s="111">
        <v>510</v>
      </c>
      <c r="U47" s="112"/>
      <c r="V47" s="112"/>
      <c r="W47" s="112">
        <v>510</v>
      </c>
      <c r="X47" s="112"/>
      <c r="Y47" s="112"/>
      <c r="Z47" s="112">
        <v>510</v>
      </c>
      <c r="AA47" s="112"/>
      <c r="AB47" s="113"/>
      <c r="AC47" s="111">
        <v>1006</v>
      </c>
      <c r="AD47" s="112"/>
      <c r="AE47" s="112"/>
      <c r="AF47" s="112">
        <v>1006</v>
      </c>
      <c r="AG47" s="112"/>
      <c r="AH47" s="112"/>
      <c r="AI47" s="112">
        <v>1006</v>
      </c>
      <c r="AJ47" s="112"/>
      <c r="AK47" s="113"/>
      <c r="AL47" s="111">
        <v>1006</v>
      </c>
      <c r="AM47" s="112"/>
      <c r="AN47" s="112"/>
      <c r="AO47" s="112">
        <v>1006</v>
      </c>
      <c r="AP47" s="112"/>
      <c r="AQ47" s="112"/>
      <c r="AR47" s="112">
        <v>1006</v>
      </c>
      <c r="AS47" s="112"/>
      <c r="AT47" s="113"/>
      <c r="AU47" s="111">
        <f t="shared" ref="AU47:AU64" si="0">AVERAGE(K47:AR47)</f>
        <v>698.83333333333337</v>
      </c>
      <c r="AV47" s="112"/>
      <c r="AW47" s="113"/>
      <c r="AX47" s="39"/>
    </row>
    <row r="48" spans="2:50">
      <c r="B48" s="38"/>
      <c r="C48" s="90"/>
      <c r="D48" s="53"/>
      <c r="E48" s="53"/>
      <c r="F48" s="53"/>
      <c r="G48" s="53"/>
      <c r="H48" s="105">
        <v>2018</v>
      </c>
      <c r="I48" s="106"/>
      <c r="J48" s="107"/>
      <c r="K48" s="114">
        <v>150</v>
      </c>
      <c r="L48" s="115"/>
      <c r="M48" s="115"/>
      <c r="N48" s="115">
        <v>150</v>
      </c>
      <c r="O48" s="115"/>
      <c r="P48" s="115"/>
      <c r="Q48" s="115">
        <v>150</v>
      </c>
      <c r="R48" s="115"/>
      <c r="S48" s="116"/>
      <c r="T48" s="114">
        <v>150</v>
      </c>
      <c r="U48" s="115"/>
      <c r="V48" s="115"/>
      <c r="W48" s="115">
        <v>150</v>
      </c>
      <c r="X48" s="115"/>
      <c r="Y48" s="115"/>
      <c r="Z48" s="115">
        <v>150</v>
      </c>
      <c r="AA48" s="115"/>
      <c r="AB48" s="116"/>
      <c r="AC48" s="114">
        <v>150</v>
      </c>
      <c r="AD48" s="115"/>
      <c r="AE48" s="115"/>
      <c r="AF48" s="115">
        <v>150</v>
      </c>
      <c r="AG48" s="115"/>
      <c r="AH48" s="115"/>
      <c r="AI48" s="115">
        <v>150</v>
      </c>
      <c r="AJ48" s="115"/>
      <c r="AK48" s="116"/>
      <c r="AL48" s="114">
        <v>150</v>
      </c>
      <c r="AM48" s="115"/>
      <c r="AN48" s="115"/>
      <c r="AO48" s="115">
        <v>150</v>
      </c>
      <c r="AP48" s="115"/>
      <c r="AQ48" s="115"/>
      <c r="AR48" s="115">
        <v>150</v>
      </c>
      <c r="AS48" s="115"/>
      <c r="AT48" s="116"/>
      <c r="AU48" s="114">
        <f t="shared" si="0"/>
        <v>150</v>
      </c>
      <c r="AV48" s="115"/>
      <c r="AW48" s="116"/>
      <c r="AX48" s="39"/>
    </row>
    <row r="49" spans="2:50">
      <c r="B49" s="38"/>
      <c r="C49" s="91"/>
      <c r="D49" s="92"/>
      <c r="E49" s="92"/>
      <c r="F49" s="92"/>
      <c r="G49" s="92"/>
      <c r="H49" s="102">
        <v>2019</v>
      </c>
      <c r="I49" s="103"/>
      <c r="J49" s="104"/>
      <c r="K49" s="117">
        <v>500</v>
      </c>
      <c r="L49" s="118"/>
      <c r="M49" s="118"/>
      <c r="N49" s="118">
        <v>500</v>
      </c>
      <c r="O49" s="118"/>
      <c r="P49" s="118"/>
      <c r="Q49" s="118">
        <v>500</v>
      </c>
      <c r="R49" s="118"/>
      <c r="S49" s="119"/>
      <c r="T49" s="117">
        <v>500</v>
      </c>
      <c r="U49" s="118"/>
      <c r="V49" s="118"/>
      <c r="W49" s="118">
        <v>500</v>
      </c>
      <c r="X49" s="118"/>
      <c r="Y49" s="118"/>
      <c r="Z49" s="118">
        <v>500</v>
      </c>
      <c r="AA49" s="118"/>
      <c r="AB49" s="119"/>
      <c r="AC49" s="117">
        <v>500</v>
      </c>
      <c r="AD49" s="118"/>
      <c r="AE49" s="118"/>
      <c r="AF49" s="118">
        <v>500</v>
      </c>
      <c r="AG49" s="118"/>
      <c r="AH49" s="118"/>
      <c r="AI49" s="118">
        <v>500</v>
      </c>
      <c r="AJ49" s="118"/>
      <c r="AK49" s="119"/>
      <c r="AL49" s="117">
        <v>500</v>
      </c>
      <c r="AM49" s="118"/>
      <c r="AN49" s="118"/>
      <c r="AO49" s="118">
        <v>500</v>
      </c>
      <c r="AP49" s="118"/>
      <c r="AQ49" s="118"/>
      <c r="AR49" s="118">
        <v>500</v>
      </c>
      <c r="AS49" s="118"/>
      <c r="AT49" s="119"/>
      <c r="AU49" s="117">
        <f t="shared" ref="AU49" si="1">AVERAGE(K49:AT49)</f>
        <v>500</v>
      </c>
      <c r="AV49" s="118"/>
      <c r="AW49" s="119"/>
      <c r="AX49" s="39"/>
    </row>
    <row r="50" spans="2:50">
      <c r="B50" s="38"/>
      <c r="C50" s="90" t="s">
        <v>86</v>
      </c>
      <c r="D50" s="53"/>
      <c r="E50" s="53"/>
      <c r="F50" s="53"/>
      <c r="G50" s="53"/>
      <c r="H50" s="96" t="s">
        <v>77</v>
      </c>
      <c r="I50" s="88"/>
      <c r="J50" s="89"/>
      <c r="K50" s="111">
        <v>97</v>
      </c>
      <c r="L50" s="112"/>
      <c r="M50" s="112"/>
      <c r="N50" s="112">
        <v>97</v>
      </c>
      <c r="O50" s="112"/>
      <c r="P50" s="112"/>
      <c r="Q50" s="112">
        <v>647</v>
      </c>
      <c r="R50" s="112"/>
      <c r="S50" s="113"/>
      <c r="T50" s="111">
        <v>347</v>
      </c>
      <c r="U50" s="112"/>
      <c r="V50" s="112"/>
      <c r="W50" s="112">
        <v>347</v>
      </c>
      <c r="X50" s="112"/>
      <c r="Y50" s="112"/>
      <c r="Z50" s="112">
        <v>347</v>
      </c>
      <c r="AA50" s="112"/>
      <c r="AB50" s="113"/>
      <c r="AC50" s="111">
        <v>312</v>
      </c>
      <c r="AD50" s="112"/>
      <c r="AE50" s="112"/>
      <c r="AF50" s="112">
        <v>312</v>
      </c>
      <c r="AG50" s="112"/>
      <c r="AH50" s="112"/>
      <c r="AI50" s="112">
        <v>312</v>
      </c>
      <c r="AJ50" s="112"/>
      <c r="AK50" s="113"/>
      <c r="AL50" s="111">
        <v>312</v>
      </c>
      <c r="AM50" s="112"/>
      <c r="AN50" s="112"/>
      <c r="AO50" s="112">
        <v>312</v>
      </c>
      <c r="AP50" s="112"/>
      <c r="AQ50" s="112"/>
      <c r="AR50" s="112">
        <v>312</v>
      </c>
      <c r="AS50" s="112"/>
      <c r="AT50" s="113"/>
      <c r="AU50" s="111">
        <f t="shared" ref="AU50:AU64" si="2">AVERAGE(K50:AR50)</f>
        <v>312.83333333333331</v>
      </c>
      <c r="AV50" s="112"/>
      <c r="AW50" s="113"/>
      <c r="AX50" s="39"/>
    </row>
    <row r="51" spans="2:50">
      <c r="B51" s="38"/>
      <c r="C51" s="90"/>
      <c r="D51" s="53"/>
      <c r="E51" s="53"/>
      <c r="F51" s="53"/>
      <c r="G51" s="53"/>
      <c r="H51" s="105">
        <v>2018</v>
      </c>
      <c r="I51" s="106"/>
      <c r="J51" s="107"/>
      <c r="K51" s="114">
        <v>150</v>
      </c>
      <c r="L51" s="115"/>
      <c r="M51" s="115"/>
      <c r="N51" s="115">
        <v>150</v>
      </c>
      <c r="O51" s="115"/>
      <c r="P51" s="115"/>
      <c r="Q51" s="115">
        <v>220</v>
      </c>
      <c r="R51" s="115"/>
      <c r="S51" s="116"/>
      <c r="T51" s="114">
        <v>220</v>
      </c>
      <c r="U51" s="115"/>
      <c r="V51" s="115"/>
      <c r="W51" s="115">
        <v>220</v>
      </c>
      <c r="X51" s="115"/>
      <c r="Y51" s="115"/>
      <c r="Z51" s="115">
        <v>220</v>
      </c>
      <c r="AA51" s="115"/>
      <c r="AB51" s="116"/>
      <c r="AC51" s="114">
        <v>220</v>
      </c>
      <c r="AD51" s="115"/>
      <c r="AE51" s="115"/>
      <c r="AF51" s="115">
        <v>220</v>
      </c>
      <c r="AG51" s="115"/>
      <c r="AH51" s="115"/>
      <c r="AI51" s="115">
        <v>220</v>
      </c>
      <c r="AJ51" s="115"/>
      <c r="AK51" s="116"/>
      <c r="AL51" s="114">
        <v>220</v>
      </c>
      <c r="AM51" s="115"/>
      <c r="AN51" s="115"/>
      <c r="AO51" s="115">
        <v>220</v>
      </c>
      <c r="AP51" s="115"/>
      <c r="AQ51" s="115"/>
      <c r="AR51" s="115">
        <v>220</v>
      </c>
      <c r="AS51" s="115"/>
      <c r="AT51" s="116"/>
      <c r="AU51" s="114">
        <f t="shared" si="2"/>
        <v>208.33333333333334</v>
      </c>
      <c r="AV51" s="115"/>
      <c r="AW51" s="116"/>
      <c r="AX51" s="39"/>
    </row>
    <row r="52" spans="2:50">
      <c r="B52" s="38"/>
      <c r="C52" s="90"/>
      <c r="D52" s="53"/>
      <c r="E52" s="53"/>
      <c r="F52" s="53"/>
      <c r="G52" s="53"/>
      <c r="H52" s="102">
        <v>2019</v>
      </c>
      <c r="I52" s="103"/>
      <c r="J52" s="104"/>
      <c r="K52" s="117">
        <v>350</v>
      </c>
      <c r="L52" s="118"/>
      <c r="M52" s="118"/>
      <c r="N52" s="118">
        <v>350</v>
      </c>
      <c r="O52" s="118"/>
      <c r="P52" s="118"/>
      <c r="Q52" s="118">
        <v>350</v>
      </c>
      <c r="R52" s="118"/>
      <c r="S52" s="119"/>
      <c r="T52" s="117">
        <v>350</v>
      </c>
      <c r="U52" s="118"/>
      <c r="V52" s="118"/>
      <c r="W52" s="118">
        <v>350</v>
      </c>
      <c r="X52" s="118"/>
      <c r="Y52" s="118"/>
      <c r="Z52" s="118">
        <v>350</v>
      </c>
      <c r="AA52" s="118"/>
      <c r="AB52" s="119"/>
      <c r="AC52" s="117">
        <v>350</v>
      </c>
      <c r="AD52" s="118"/>
      <c r="AE52" s="118"/>
      <c r="AF52" s="118">
        <v>350</v>
      </c>
      <c r="AG52" s="118"/>
      <c r="AH52" s="118"/>
      <c r="AI52" s="118">
        <v>350</v>
      </c>
      <c r="AJ52" s="118"/>
      <c r="AK52" s="119"/>
      <c r="AL52" s="117">
        <v>350</v>
      </c>
      <c r="AM52" s="118"/>
      <c r="AN52" s="118"/>
      <c r="AO52" s="118">
        <v>350</v>
      </c>
      <c r="AP52" s="118"/>
      <c r="AQ52" s="118"/>
      <c r="AR52" s="118">
        <v>350</v>
      </c>
      <c r="AS52" s="118"/>
      <c r="AT52" s="119"/>
      <c r="AU52" s="117">
        <f t="shared" ref="AU52" si="3">AVERAGE(K52:AT52)</f>
        <v>350</v>
      </c>
      <c r="AV52" s="118"/>
      <c r="AW52" s="119"/>
      <c r="AX52" s="39"/>
    </row>
    <row r="53" spans="2:50">
      <c r="B53" s="38"/>
      <c r="C53" s="100" t="s">
        <v>87</v>
      </c>
      <c r="D53" s="101"/>
      <c r="E53" s="101"/>
      <c r="F53" s="101"/>
      <c r="G53" s="101"/>
      <c r="H53" s="96" t="s">
        <v>77</v>
      </c>
      <c r="I53" s="88"/>
      <c r="J53" s="89"/>
      <c r="K53" s="111">
        <v>335</v>
      </c>
      <c r="L53" s="112"/>
      <c r="M53" s="112"/>
      <c r="N53" s="112">
        <v>335</v>
      </c>
      <c r="O53" s="112"/>
      <c r="P53" s="112"/>
      <c r="Q53" s="112">
        <v>1246</v>
      </c>
      <c r="R53" s="112"/>
      <c r="S53" s="113"/>
      <c r="T53" s="111">
        <v>1246</v>
      </c>
      <c r="U53" s="112"/>
      <c r="V53" s="112"/>
      <c r="W53" s="112">
        <v>1246</v>
      </c>
      <c r="X53" s="112"/>
      <c r="Y53" s="112"/>
      <c r="Z53" s="112">
        <v>1246</v>
      </c>
      <c r="AA53" s="112"/>
      <c r="AB53" s="113"/>
      <c r="AC53" s="111">
        <v>1139</v>
      </c>
      <c r="AD53" s="112"/>
      <c r="AE53" s="112"/>
      <c r="AF53" s="112">
        <v>2239</v>
      </c>
      <c r="AG53" s="112"/>
      <c r="AH53" s="112"/>
      <c r="AI53" s="112">
        <v>1139</v>
      </c>
      <c r="AJ53" s="112"/>
      <c r="AK53" s="113"/>
      <c r="AL53" s="111">
        <v>1139</v>
      </c>
      <c r="AM53" s="112"/>
      <c r="AN53" s="112"/>
      <c r="AO53" s="112">
        <v>1139</v>
      </c>
      <c r="AP53" s="112"/>
      <c r="AQ53" s="112"/>
      <c r="AR53" s="112">
        <v>1139</v>
      </c>
      <c r="AS53" s="112"/>
      <c r="AT53" s="113"/>
      <c r="AU53" s="111">
        <f t="shared" ref="AU53:AU64" si="4">AVERAGE(K53:AR53)</f>
        <v>1132.3333333333333</v>
      </c>
      <c r="AV53" s="112"/>
      <c r="AW53" s="113"/>
      <c r="AX53" s="39"/>
    </row>
    <row r="54" spans="2:50">
      <c r="B54" s="38"/>
      <c r="C54" s="90"/>
      <c r="D54" s="53"/>
      <c r="E54" s="53"/>
      <c r="F54" s="53"/>
      <c r="G54" s="53"/>
      <c r="H54" s="105">
        <v>2018</v>
      </c>
      <c r="I54" s="106"/>
      <c r="J54" s="107"/>
      <c r="K54" s="114">
        <v>600</v>
      </c>
      <c r="L54" s="115"/>
      <c r="M54" s="115"/>
      <c r="N54" s="115">
        <v>600</v>
      </c>
      <c r="O54" s="115"/>
      <c r="P54" s="115"/>
      <c r="Q54" s="115">
        <v>600</v>
      </c>
      <c r="R54" s="115"/>
      <c r="S54" s="116"/>
      <c r="T54" s="114">
        <v>600</v>
      </c>
      <c r="U54" s="115"/>
      <c r="V54" s="115"/>
      <c r="W54" s="115">
        <v>600</v>
      </c>
      <c r="X54" s="115"/>
      <c r="Y54" s="115"/>
      <c r="Z54" s="115">
        <v>600</v>
      </c>
      <c r="AA54" s="115"/>
      <c r="AB54" s="116"/>
      <c r="AC54" s="114">
        <v>600</v>
      </c>
      <c r="AD54" s="115"/>
      <c r="AE54" s="115"/>
      <c r="AF54" s="115">
        <v>600</v>
      </c>
      <c r="AG54" s="115"/>
      <c r="AH54" s="115"/>
      <c r="AI54" s="115">
        <v>600</v>
      </c>
      <c r="AJ54" s="115"/>
      <c r="AK54" s="116"/>
      <c r="AL54" s="114">
        <v>600</v>
      </c>
      <c r="AM54" s="115"/>
      <c r="AN54" s="115"/>
      <c r="AO54" s="115">
        <v>600</v>
      </c>
      <c r="AP54" s="115"/>
      <c r="AQ54" s="115"/>
      <c r="AR54" s="115">
        <v>600</v>
      </c>
      <c r="AS54" s="115"/>
      <c r="AT54" s="116"/>
      <c r="AU54" s="114">
        <f t="shared" si="4"/>
        <v>600</v>
      </c>
      <c r="AV54" s="115"/>
      <c r="AW54" s="116"/>
      <c r="AX54" s="39"/>
    </row>
    <row r="55" spans="2:50">
      <c r="B55" s="38"/>
      <c r="C55" s="90"/>
      <c r="D55" s="53"/>
      <c r="E55" s="53"/>
      <c r="F55" s="53"/>
      <c r="G55" s="53"/>
      <c r="H55" s="102">
        <v>2019</v>
      </c>
      <c r="I55" s="103"/>
      <c r="J55" s="104"/>
      <c r="K55" s="117">
        <v>1200</v>
      </c>
      <c r="L55" s="118"/>
      <c r="M55" s="118"/>
      <c r="N55" s="118">
        <v>1200</v>
      </c>
      <c r="O55" s="118"/>
      <c r="P55" s="118"/>
      <c r="Q55" s="118">
        <v>1200</v>
      </c>
      <c r="R55" s="118"/>
      <c r="S55" s="119"/>
      <c r="T55" s="117">
        <v>1200</v>
      </c>
      <c r="U55" s="118"/>
      <c r="V55" s="118"/>
      <c r="W55" s="118">
        <v>1200</v>
      </c>
      <c r="X55" s="118"/>
      <c r="Y55" s="118"/>
      <c r="Z55" s="118">
        <v>1200</v>
      </c>
      <c r="AA55" s="118"/>
      <c r="AB55" s="119"/>
      <c r="AC55" s="117">
        <v>1200</v>
      </c>
      <c r="AD55" s="118"/>
      <c r="AE55" s="118"/>
      <c r="AF55" s="118">
        <v>1200</v>
      </c>
      <c r="AG55" s="118"/>
      <c r="AH55" s="118"/>
      <c r="AI55" s="118">
        <v>1200</v>
      </c>
      <c r="AJ55" s="118"/>
      <c r="AK55" s="119"/>
      <c r="AL55" s="117">
        <v>1200</v>
      </c>
      <c r="AM55" s="118"/>
      <c r="AN55" s="118"/>
      <c r="AO55" s="118">
        <v>1200</v>
      </c>
      <c r="AP55" s="118"/>
      <c r="AQ55" s="118"/>
      <c r="AR55" s="118">
        <v>1200</v>
      </c>
      <c r="AS55" s="118"/>
      <c r="AT55" s="119"/>
      <c r="AU55" s="117">
        <f t="shared" ref="AU55" si="5">AVERAGE(K55:AT55)</f>
        <v>1200</v>
      </c>
      <c r="AV55" s="118"/>
      <c r="AW55" s="119"/>
      <c r="AX55" s="39"/>
    </row>
    <row r="56" spans="2:50">
      <c r="B56" s="38"/>
      <c r="C56" s="100" t="s">
        <v>88</v>
      </c>
      <c r="D56" s="101"/>
      <c r="E56" s="101"/>
      <c r="F56" s="101"/>
      <c r="G56" s="101"/>
      <c r="H56" s="96" t="s">
        <v>77</v>
      </c>
      <c r="I56" s="88"/>
      <c r="J56" s="89"/>
      <c r="K56" s="111">
        <v>21</v>
      </c>
      <c r="L56" s="112"/>
      <c r="M56" s="112"/>
      <c r="N56" s="112">
        <v>21</v>
      </c>
      <c r="O56" s="112"/>
      <c r="P56" s="112"/>
      <c r="Q56" s="112">
        <v>104</v>
      </c>
      <c r="R56" s="112"/>
      <c r="S56" s="113"/>
      <c r="T56" s="111">
        <v>104</v>
      </c>
      <c r="U56" s="112"/>
      <c r="V56" s="112"/>
      <c r="W56" s="112">
        <v>104</v>
      </c>
      <c r="X56" s="112"/>
      <c r="Y56" s="112"/>
      <c r="Z56" s="112">
        <v>104</v>
      </c>
      <c r="AA56" s="112"/>
      <c r="AB56" s="113"/>
      <c r="AC56" s="111">
        <v>104</v>
      </c>
      <c r="AD56" s="112"/>
      <c r="AE56" s="112"/>
      <c r="AF56" s="112">
        <v>104</v>
      </c>
      <c r="AG56" s="112"/>
      <c r="AH56" s="112"/>
      <c r="AI56" s="112">
        <v>104</v>
      </c>
      <c r="AJ56" s="112"/>
      <c r="AK56" s="113"/>
      <c r="AL56" s="111">
        <v>104</v>
      </c>
      <c r="AM56" s="112"/>
      <c r="AN56" s="112"/>
      <c r="AO56" s="112">
        <v>104</v>
      </c>
      <c r="AP56" s="112"/>
      <c r="AQ56" s="112"/>
      <c r="AR56" s="112">
        <v>104</v>
      </c>
      <c r="AS56" s="112"/>
      <c r="AT56" s="113"/>
      <c r="AU56" s="111">
        <f t="shared" ref="AU56:AU64" si="6">AVERAGE(K56:AR56)</f>
        <v>90.166666666666671</v>
      </c>
      <c r="AV56" s="112"/>
      <c r="AW56" s="113"/>
      <c r="AX56" s="39"/>
    </row>
    <row r="57" spans="2:50">
      <c r="B57" s="38"/>
      <c r="C57" s="90"/>
      <c r="D57" s="53"/>
      <c r="E57" s="53"/>
      <c r="F57" s="53"/>
      <c r="G57" s="53"/>
      <c r="H57" s="105">
        <v>2018</v>
      </c>
      <c r="I57" s="106"/>
      <c r="J57" s="107"/>
      <c r="K57" s="114">
        <v>150</v>
      </c>
      <c r="L57" s="115"/>
      <c r="M57" s="115"/>
      <c r="N57" s="115">
        <v>150</v>
      </c>
      <c r="O57" s="115"/>
      <c r="P57" s="115"/>
      <c r="Q57" s="115">
        <v>106.5</v>
      </c>
      <c r="R57" s="115"/>
      <c r="S57" s="116"/>
      <c r="T57" s="114">
        <v>106.5</v>
      </c>
      <c r="U57" s="115"/>
      <c r="V57" s="115"/>
      <c r="W57" s="115">
        <v>106.5</v>
      </c>
      <c r="X57" s="115"/>
      <c r="Y57" s="115"/>
      <c r="Z57" s="115">
        <v>106.5</v>
      </c>
      <c r="AA57" s="115"/>
      <c r="AB57" s="116"/>
      <c r="AC57" s="114">
        <v>106.5</v>
      </c>
      <c r="AD57" s="115"/>
      <c r="AE57" s="115"/>
      <c r="AF57" s="115">
        <v>106.5</v>
      </c>
      <c r="AG57" s="115"/>
      <c r="AH57" s="115"/>
      <c r="AI57" s="115">
        <v>106.5</v>
      </c>
      <c r="AJ57" s="115"/>
      <c r="AK57" s="116"/>
      <c r="AL57" s="114">
        <v>106.5</v>
      </c>
      <c r="AM57" s="115"/>
      <c r="AN57" s="115"/>
      <c r="AO57" s="115">
        <v>106.5</v>
      </c>
      <c r="AP57" s="115"/>
      <c r="AQ57" s="115"/>
      <c r="AR57" s="115">
        <v>106.5</v>
      </c>
      <c r="AS57" s="115"/>
      <c r="AT57" s="116"/>
      <c r="AU57" s="114">
        <f t="shared" si="6"/>
        <v>113.75</v>
      </c>
      <c r="AV57" s="115"/>
      <c r="AW57" s="116"/>
      <c r="AX57" s="39"/>
    </row>
    <row r="58" spans="2:50">
      <c r="B58" s="38"/>
      <c r="C58" s="91"/>
      <c r="D58" s="92"/>
      <c r="E58" s="92"/>
      <c r="F58" s="92"/>
      <c r="G58" s="92"/>
      <c r="H58" s="102">
        <v>2019</v>
      </c>
      <c r="I58" s="103"/>
      <c r="J58" s="104"/>
      <c r="K58" s="117">
        <v>100</v>
      </c>
      <c r="L58" s="118"/>
      <c r="M58" s="118"/>
      <c r="N58" s="118">
        <v>100</v>
      </c>
      <c r="O58" s="118"/>
      <c r="P58" s="118"/>
      <c r="Q58" s="118">
        <v>100</v>
      </c>
      <c r="R58" s="118"/>
      <c r="S58" s="119"/>
      <c r="T58" s="117">
        <v>100</v>
      </c>
      <c r="U58" s="118"/>
      <c r="V58" s="118"/>
      <c r="W58" s="118">
        <v>100</v>
      </c>
      <c r="X58" s="118"/>
      <c r="Y58" s="118"/>
      <c r="Z58" s="118">
        <v>100</v>
      </c>
      <c r="AA58" s="118"/>
      <c r="AB58" s="119"/>
      <c r="AC58" s="117">
        <v>100</v>
      </c>
      <c r="AD58" s="118"/>
      <c r="AE58" s="118"/>
      <c r="AF58" s="118">
        <v>100</v>
      </c>
      <c r="AG58" s="118"/>
      <c r="AH58" s="118"/>
      <c r="AI58" s="118">
        <v>100</v>
      </c>
      <c r="AJ58" s="118"/>
      <c r="AK58" s="119"/>
      <c r="AL58" s="117">
        <v>100</v>
      </c>
      <c r="AM58" s="118"/>
      <c r="AN58" s="118"/>
      <c r="AO58" s="118">
        <v>100</v>
      </c>
      <c r="AP58" s="118"/>
      <c r="AQ58" s="118"/>
      <c r="AR58" s="118">
        <v>100</v>
      </c>
      <c r="AS58" s="118"/>
      <c r="AT58" s="119"/>
      <c r="AU58" s="117">
        <f t="shared" ref="AU58" si="7">AVERAGE(K58:AT58)</f>
        <v>100</v>
      </c>
      <c r="AV58" s="118"/>
      <c r="AW58" s="119"/>
      <c r="AX58" s="39"/>
    </row>
    <row r="59" spans="2:50">
      <c r="B59" s="38"/>
      <c r="C59" s="90" t="s">
        <v>89</v>
      </c>
      <c r="D59" s="53"/>
      <c r="E59" s="53"/>
      <c r="F59" s="53"/>
      <c r="G59" s="53"/>
      <c r="H59" s="96" t="s">
        <v>77</v>
      </c>
      <c r="I59" s="88"/>
      <c r="J59" s="89"/>
      <c r="K59" s="111">
        <v>165</v>
      </c>
      <c r="L59" s="112"/>
      <c r="M59" s="112"/>
      <c r="N59" s="112">
        <v>165</v>
      </c>
      <c r="O59" s="112"/>
      <c r="P59" s="112"/>
      <c r="Q59" s="112">
        <v>825</v>
      </c>
      <c r="R59" s="112"/>
      <c r="S59" s="113"/>
      <c r="T59" s="111">
        <v>825</v>
      </c>
      <c r="U59" s="112"/>
      <c r="V59" s="112"/>
      <c r="W59" s="112">
        <v>825</v>
      </c>
      <c r="X59" s="112"/>
      <c r="Y59" s="112"/>
      <c r="Z59" s="112">
        <v>825</v>
      </c>
      <c r="AA59" s="112"/>
      <c r="AB59" s="113"/>
      <c r="AC59" s="111">
        <v>825</v>
      </c>
      <c r="AD59" s="112"/>
      <c r="AE59" s="112"/>
      <c r="AF59" s="112">
        <v>825</v>
      </c>
      <c r="AG59" s="112"/>
      <c r="AH59" s="112"/>
      <c r="AI59" s="112">
        <v>825</v>
      </c>
      <c r="AJ59" s="112"/>
      <c r="AK59" s="113"/>
      <c r="AL59" s="111">
        <v>825</v>
      </c>
      <c r="AM59" s="112"/>
      <c r="AN59" s="112"/>
      <c r="AO59" s="112">
        <v>825</v>
      </c>
      <c r="AP59" s="112"/>
      <c r="AQ59" s="112"/>
      <c r="AR59" s="112">
        <v>825</v>
      </c>
      <c r="AS59" s="112"/>
      <c r="AT59" s="113"/>
      <c r="AU59" s="111">
        <f t="shared" ref="AU59:AU64" si="8">AVERAGE(K59:AR59)</f>
        <v>715</v>
      </c>
      <c r="AV59" s="112"/>
      <c r="AW59" s="113"/>
      <c r="AX59" s="39"/>
    </row>
    <row r="60" spans="2:50">
      <c r="B60" s="38"/>
      <c r="C60" s="90"/>
      <c r="D60" s="53"/>
      <c r="E60" s="53"/>
      <c r="F60" s="53"/>
      <c r="G60" s="53"/>
      <c r="H60" s="105">
        <v>2018</v>
      </c>
      <c r="I60" s="106"/>
      <c r="J60" s="107"/>
      <c r="K60" s="114">
        <v>150</v>
      </c>
      <c r="L60" s="115"/>
      <c r="M60" s="115"/>
      <c r="N60" s="115">
        <v>150</v>
      </c>
      <c r="O60" s="115"/>
      <c r="P60" s="115"/>
      <c r="Q60" s="115">
        <v>300</v>
      </c>
      <c r="R60" s="115"/>
      <c r="S60" s="116"/>
      <c r="T60" s="114">
        <v>300</v>
      </c>
      <c r="U60" s="115"/>
      <c r="V60" s="115"/>
      <c r="W60" s="115">
        <v>300</v>
      </c>
      <c r="X60" s="115"/>
      <c r="Y60" s="115"/>
      <c r="Z60" s="115">
        <v>300</v>
      </c>
      <c r="AA60" s="115"/>
      <c r="AB60" s="116"/>
      <c r="AC60" s="114">
        <v>300</v>
      </c>
      <c r="AD60" s="115"/>
      <c r="AE60" s="115"/>
      <c r="AF60" s="115">
        <v>300</v>
      </c>
      <c r="AG60" s="115"/>
      <c r="AH60" s="115"/>
      <c r="AI60" s="115">
        <v>300</v>
      </c>
      <c r="AJ60" s="115"/>
      <c r="AK60" s="116"/>
      <c r="AL60" s="114">
        <v>300</v>
      </c>
      <c r="AM60" s="115"/>
      <c r="AN60" s="115"/>
      <c r="AO60" s="115">
        <v>300</v>
      </c>
      <c r="AP60" s="115"/>
      <c r="AQ60" s="115"/>
      <c r="AR60" s="115">
        <v>300</v>
      </c>
      <c r="AS60" s="115"/>
      <c r="AT60" s="116"/>
      <c r="AU60" s="114">
        <f t="shared" si="8"/>
        <v>275</v>
      </c>
      <c r="AV60" s="115"/>
      <c r="AW60" s="116"/>
      <c r="AX60" s="39"/>
    </row>
    <row r="61" spans="2:50">
      <c r="B61" s="38"/>
      <c r="C61" s="90"/>
      <c r="D61" s="53"/>
      <c r="E61" s="53"/>
      <c r="F61" s="53"/>
      <c r="G61" s="53"/>
      <c r="H61" s="102">
        <v>2019</v>
      </c>
      <c r="I61" s="103"/>
      <c r="J61" s="104"/>
      <c r="K61" s="117">
        <v>650</v>
      </c>
      <c r="L61" s="118"/>
      <c r="M61" s="118"/>
      <c r="N61" s="118">
        <v>650</v>
      </c>
      <c r="O61" s="118"/>
      <c r="P61" s="118"/>
      <c r="Q61" s="118">
        <v>650</v>
      </c>
      <c r="R61" s="118"/>
      <c r="S61" s="119"/>
      <c r="T61" s="117">
        <v>650</v>
      </c>
      <c r="U61" s="118"/>
      <c r="V61" s="118"/>
      <c r="W61" s="118">
        <v>650</v>
      </c>
      <c r="X61" s="118"/>
      <c r="Y61" s="118"/>
      <c r="Z61" s="118">
        <v>650</v>
      </c>
      <c r="AA61" s="118"/>
      <c r="AB61" s="119"/>
      <c r="AC61" s="117">
        <v>650</v>
      </c>
      <c r="AD61" s="118"/>
      <c r="AE61" s="118"/>
      <c r="AF61" s="118">
        <v>650</v>
      </c>
      <c r="AG61" s="118"/>
      <c r="AH61" s="118"/>
      <c r="AI61" s="118">
        <v>650</v>
      </c>
      <c r="AJ61" s="118"/>
      <c r="AK61" s="119"/>
      <c r="AL61" s="117">
        <v>650</v>
      </c>
      <c r="AM61" s="118"/>
      <c r="AN61" s="118"/>
      <c r="AO61" s="118">
        <v>650</v>
      </c>
      <c r="AP61" s="118"/>
      <c r="AQ61" s="118"/>
      <c r="AR61" s="118">
        <v>650</v>
      </c>
      <c r="AS61" s="118"/>
      <c r="AT61" s="119"/>
      <c r="AU61" s="117">
        <f t="shared" ref="AU61" si="9">AVERAGE(K61:AT61)</f>
        <v>650</v>
      </c>
      <c r="AV61" s="118"/>
      <c r="AW61" s="119"/>
      <c r="AX61" s="39"/>
    </row>
    <row r="62" spans="2:50">
      <c r="B62" s="38"/>
      <c r="C62" s="100" t="s">
        <v>90</v>
      </c>
      <c r="D62" s="101"/>
      <c r="E62" s="101"/>
      <c r="F62" s="101"/>
      <c r="G62" s="101"/>
      <c r="H62" s="96" t="s">
        <v>77</v>
      </c>
      <c r="I62" s="88"/>
      <c r="J62" s="89"/>
      <c r="K62" s="111">
        <v>73</v>
      </c>
      <c r="L62" s="112"/>
      <c r="M62" s="112"/>
      <c r="N62" s="112">
        <v>73</v>
      </c>
      <c r="O62" s="112"/>
      <c r="P62" s="112"/>
      <c r="Q62" s="112">
        <v>365</v>
      </c>
      <c r="R62" s="112"/>
      <c r="S62" s="113"/>
      <c r="T62" s="111">
        <v>365</v>
      </c>
      <c r="U62" s="112"/>
      <c r="V62" s="112"/>
      <c r="W62" s="112">
        <v>365</v>
      </c>
      <c r="X62" s="112"/>
      <c r="Y62" s="112"/>
      <c r="Z62" s="112">
        <v>365</v>
      </c>
      <c r="AA62" s="112"/>
      <c r="AB62" s="113"/>
      <c r="AC62" s="111">
        <v>365</v>
      </c>
      <c r="AD62" s="112"/>
      <c r="AE62" s="112"/>
      <c r="AF62" s="112">
        <v>365</v>
      </c>
      <c r="AG62" s="112"/>
      <c r="AH62" s="112"/>
      <c r="AI62" s="112">
        <v>365</v>
      </c>
      <c r="AJ62" s="112"/>
      <c r="AK62" s="113"/>
      <c r="AL62" s="111">
        <v>365</v>
      </c>
      <c r="AM62" s="112"/>
      <c r="AN62" s="112"/>
      <c r="AO62" s="112">
        <v>365</v>
      </c>
      <c r="AP62" s="112"/>
      <c r="AQ62" s="112"/>
      <c r="AR62" s="112">
        <v>365</v>
      </c>
      <c r="AS62" s="112"/>
      <c r="AT62" s="113"/>
      <c r="AU62" s="111">
        <f t="shared" ref="AU62:AU64" si="10">AVERAGE(K62:AR62)</f>
        <v>316.33333333333331</v>
      </c>
      <c r="AV62" s="112"/>
      <c r="AW62" s="113"/>
      <c r="AX62" s="39"/>
    </row>
    <row r="63" spans="2:50">
      <c r="B63" s="38"/>
      <c r="C63" s="90"/>
      <c r="D63" s="53"/>
      <c r="E63" s="53"/>
      <c r="F63" s="53"/>
      <c r="G63" s="53"/>
      <c r="H63" s="105">
        <v>2018</v>
      </c>
      <c r="I63" s="106"/>
      <c r="J63" s="107"/>
      <c r="K63" s="114">
        <v>150</v>
      </c>
      <c r="L63" s="115"/>
      <c r="M63" s="115"/>
      <c r="N63" s="115">
        <v>150</v>
      </c>
      <c r="O63" s="115"/>
      <c r="P63" s="115"/>
      <c r="Q63" s="115">
        <v>300</v>
      </c>
      <c r="R63" s="115"/>
      <c r="S63" s="116"/>
      <c r="T63" s="114">
        <v>300</v>
      </c>
      <c r="U63" s="115"/>
      <c r="V63" s="115"/>
      <c r="W63" s="115">
        <v>300</v>
      </c>
      <c r="X63" s="115"/>
      <c r="Y63" s="115"/>
      <c r="Z63" s="115">
        <v>300</v>
      </c>
      <c r="AA63" s="115"/>
      <c r="AB63" s="116"/>
      <c r="AC63" s="114">
        <v>300</v>
      </c>
      <c r="AD63" s="115"/>
      <c r="AE63" s="115"/>
      <c r="AF63" s="115">
        <v>300</v>
      </c>
      <c r="AG63" s="115"/>
      <c r="AH63" s="115"/>
      <c r="AI63" s="115">
        <v>300</v>
      </c>
      <c r="AJ63" s="115"/>
      <c r="AK63" s="116"/>
      <c r="AL63" s="114">
        <v>300</v>
      </c>
      <c r="AM63" s="115"/>
      <c r="AN63" s="115"/>
      <c r="AO63" s="115">
        <v>300</v>
      </c>
      <c r="AP63" s="115"/>
      <c r="AQ63" s="115"/>
      <c r="AR63" s="115">
        <v>300</v>
      </c>
      <c r="AS63" s="115"/>
      <c r="AT63" s="116"/>
      <c r="AU63" s="114">
        <f t="shared" si="10"/>
        <v>275</v>
      </c>
      <c r="AV63" s="115"/>
      <c r="AW63" s="116"/>
      <c r="AX63" s="39"/>
    </row>
    <row r="64" spans="2:50">
      <c r="B64" s="38"/>
      <c r="C64" s="91"/>
      <c r="D64" s="92"/>
      <c r="E64" s="92"/>
      <c r="F64" s="92"/>
      <c r="G64" s="92"/>
      <c r="H64" s="102">
        <v>2019</v>
      </c>
      <c r="I64" s="103"/>
      <c r="J64" s="104"/>
      <c r="K64" s="117">
        <v>350</v>
      </c>
      <c r="L64" s="118"/>
      <c r="M64" s="118"/>
      <c r="N64" s="118">
        <v>350</v>
      </c>
      <c r="O64" s="118"/>
      <c r="P64" s="118"/>
      <c r="Q64" s="118">
        <v>350</v>
      </c>
      <c r="R64" s="118"/>
      <c r="S64" s="119"/>
      <c r="T64" s="117">
        <v>350</v>
      </c>
      <c r="U64" s="118"/>
      <c r="V64" s="118"/>
      <c r="W64" s="118">
        <v>350</v>
      </c>
      <c r="X64" s="118"/>
      <c r="Y64" s="118"/>
      <c r="Z64" s="118">
        <v>350</v>
      </c>
      <c r="AA64" s="118"/>
      <c r="AB64" s="119"/>
      <c r="AC64" s="117">
        <v>350</v>
      </c>
      <c r="AD64" s="118"/>
      <c r="AE64" s="118"/>
      <c r="AF64" s="118">
        <v>350</v>
      </c>
      <c r="AG64" s="118"/>
      <c r="AH64" s="118"/>
      <c r="AI64" s="118">
        <v>350</v>
      </c>
      <c r="AJ64" s="118"/>
      <c r="AK64" s="119"/>
      <c r="AL64" s="117">
        <v>350</v>
      </c>
      <c r="AM64" s="118"/>
      <c r="AN64" s="118"/>
      <c r="AO64" s="118">
        <v>350</v>
      </c>
      <c r="AP64" s="118"/>
      <c r="AQ64" s="118"/>
      <c r="AR64" s="118">
        <v>350</v>
      </c>
      <c r="AS64" s="118"/>
      <c r="AT64" s="119"/>
      <c r="AU64" s="117">
        <f t="shared" ref="AU64" si="11">AVERAGE(K64:AT64)</f>
        <v>350</v>
      </c>
      <c r="AV64" s="118"/>
      <c r="AW64" s="119"/>
      <c r="AX64" s="39"/>
    </row>
    <row r="65" spans="2:50">
      <c r="B65" s="38"/>
      <c r="C65" s="90" t="s">
        <v>91</v>
      </c>
      <c r="D65" s="53"/>
      <c r="E65" s="53"/>
      <c r="F65" s="53"/>
      <c r="G65" s="53"/>
      <c r="H65" s="96" t="s">
        <v>77</v>
      </c>
      <c r="I65" s="88"/>
      <c r="J65" s="89"/>
      <c r="K65" s="111">
        <f>+K62+K59+K56+K53+K50+K47+K44</f>
        <v>921</v>
      </c>
      <c r="L65" s="112"/>
      <c r="M65" s="112"/>
      <c r="N65" s="112">
        <f t="shared" ref="N65:AW67" si="12">+N62+N59+N56+N53+N50+N47+N44</f>
        <v>921</v>
      </c>
      <c r="O65" s="112"/>
      <c r="P65" s="112"/>
      <c r="Q65" s="112">
        <f t="shared" ref="Q65:AW65" si="13">+Q62+Q59+Q56+Q53+Q50+Q47+Q44</f>
        <v>4022</v>
      </c>
      <c r="R65" s="112"/>
      <c r="S65" s="113"/>
      <c r="T65" s="111">
        <f t="shared" ref="T65:AW65" si="14">+T62+T59+T56+T53+T50+T47+T44</f>
        <v>3722</v>
      </c>
      <c r="U65" s="112"/>
      <c r="V65" s="112"/>
      <c r="W65" s="112">
        <f t="shared" ref="W65:AW65" si="15">+W62+W59+W56+W53+W50+W47+W44</f>
        <v>3722</v>
      </c>
      <c r="X65" s="112"/>
      <c r="Y65" s="112"/>
      <c r="Z65" s="112">
        <f t="shared" ref="Z65:AW65" si="16">+Z62+Z59+Z56+Z53+Z50+Z47+Z44</f>
        <v>3722</v>
      </c>
      <c r="AA65" s="112"/>
      <c r="AB65" s="113"/>
      <c r="AC65" s="111">
        <f t="shared" ref="AC65:AW65" si="17">+AC62+AC59+AC56+AC53+AC50+AC47+AC44</f>
        <v>4408</v>
      </c>
      <c r="AD65" s="112"/>
      <c r="AE65" s="112"/>
      <c r="AF65" s="112">
        <f t="shared" ref="AF65:AW65" si="18">+AF62+AF59+AF56+AF53+AF50+AF47+AF44</f>
        <v>5508</v>
      </c>
      <c r="AG65" s="112"/>
      <c r="AH65" s="112"/>
      <c r="AI65" s="112">
        <f t="shared" ref="AI65:AW65" si="19">+AI62+AI59+AI56+AI53+AI50+AI47+AI44</f>
        <v>4408</v>
      </c>
      <c r="AJ65" s="112"/>
      <c r="AK65" s="113"/>
      <c r="AL65" s="111">
        <f t="shared" ref="AL65:AW65" si="20">+AL62+AL59+AL56+AL53+AL50+AL47+AL44</f>
        <v>4408</v>
      </c>
      <c r="AM65" s="112"/>
      <c r="AN65" s="112"/>
      <c r="AO65" s="112">
        <f t="shared" ref="AO65:AW65" si="21">+AO62+AO59+AO56+AO53+AO50+AO47+AO44</f>
        <v>4408</v>
      </c>
      <c r="AP65" s="112"/>
      <c r="AQ65" s="112"/>
      <c r="AR65" s="112">
        <f t="shared" ref="AR65:AW65" si="22">+AR62+AR59+AR56+AR53+AR50+AR47+AR44</f>
        <v>4408</v>
      </c>
      <c r="AS65" s="112"/>
      <c r="AT65" s="113"/>
      <c r="AU65" s="111">
        <f t="shared" ref="AU65:AW65" si="23">+AU62+AU59+AU56+AU53+AU50+AU47+AU44</f>
        <v>3714.8333333333335</v>
      </c>
      <c r="AV65" s="112"/>
      <c r="AW65" s="113"/>
      <c r="AX65" s="39"/>
    </row>
    <row r="66" spans="2:50">
      <c r="B66" s="38"/>
      <c r="C66" s="90"/>
      <c r="D66" s="53"/>
      <c r="E66" s="53"/>
      <c r="F66" s="53"/>
      <c r="G66" s="53"/>
      <c r="H66" s="105">
        <v>2018</v>
      </c>
      <c r="I66" s="106"/>
      <c r="J66" s="107"/>
      <c r="K66" s="114">
        <f t="shared" ref="K66:K67" si="24">+K63+K60+K57+K54+K51+K48+K45</f>
        <v>1470.4</v>
      </c>
      <c r="L66" s="115"/>
      <c r="M66" s="115"/>
      <c r="N66" s="115">
        <f t="shared" si="12"/>
        <v>1470.4</v>
      </c>
      <c r="O66" s="115"/>
      <c r="P66" s="115"/>
      <c r="Q66" s="115">
        <f t="shared" si="12"/>
        <v>2001.3</v>
      </c>
      <c r="R66" s="115"/>
      <c r="S66" s="116"/>
      <c r="T66" s="114">
        <f t="shared" si="12"/>
        <v>2001.3</v>
      </c>
      <c r="U66" s="115"/>
      <c r="V66" s="115"/>
      <c r="W66" s="115">
        <f t="shared" si="12"/>
        <v>2001.3</v>
      </c>
      <c r="X66" s="115"/>
      <c r="Y66" s="115"/>
      <c r="Z66" s="115">
        <f t="shared" si="12"/>
        <v>2001.3</v>
      </c>
      <c r="AA66" s="115"/>
      <c r="AB66" s="116"/>
      <c r="AC66" s="114">
        <f t="shared" si="12"/>
        <v>2001.3</v>
      </c>
      <c r="AD66" s="115"/>
      <c r="AE66" s="115"/>
      <c r="AF66" s="115">
        <f t="shared" si="12"/>
        <v>2001.3</v>
      </c>
      <c r="AG66" s="115"/>
      <c r="AH66" s="115"/>
      <c r="AI66" s="115">
        <f t="shared" si="12"/>
        <v>2001.3</v>
      </c>
      <c r="AJ66" s="115"/>
      <c r="AK66" s="116"/>
      <c r="AL66" s="114">
        <f t="shared" si="12"/>
        <v>2001.3</v>
      </c>
      <c r="AM66" s="115"/>
      <c r="AN66" s="115"/>
      <c r="AO66" s="115">
        <f t="shared" si="12"/>
        <v>2001.3</v>
      </c>
      <c r="AP66" s="115"/>
      <c r="AQ66" s="115"/>
      <c r="AR66" s="115">
        <f t="shared" si="12"/>
        <v>2001.3</v>
      </c>
      <c r="AS66" s="115"/>
      <c r="AT66" s="116"/>
      <c r="AU66" s="114">
        <f t="shared" si="12"/>
        <v>1912.8166666666666</v>
      </c>
      <c r="AV66" s="115"/>
      <c r="AW66" s="116"/>
      <c r="AX66" s="39"/>
    </row>
    <row r="67" spans="2:50">
      <c r="B67" s="38"/>
      <c r="C67" s="91"/>
      <c r="D67" s="92"/>
      <c r="E67" s="92"/>
      <c r="F67" s="92"/>
      <c r="G67" s="92"/>
      <c r="H67" s="108">
        <v>2019</v>
      </c>
      <c r="I67" s="109"/>
      <c r="J67" s="110"/>
      <c r="K67" s="120">
        <f t="shared" si="24"/>
        <v>3800</v>
      </c>
      <c r="L67" s="121"/>
      <c r="M67" s="121"/>
      <c r="N67" s="121">
        <f t="shared" si="12"/>
        <v>3800</v>
      </c>
      <c r="O67" s="121"/>
      <c r="P67" s="121"/>
      <c r="Q67" s="121">
        <f t="shared" si="12"/>
        <v>3800</v>
      </c>
      <c r="R67" s="121"/>
      <c r="S67" s="122"/>
      <c r="T67" s="120">
        <f t="shared" si="12"/>
        <v>3800</v>
      </c>
      <c r="U67" s="121"/>
      <c r="V67" s="121"/>
      <c r="W67" s="121">
        <f t="shared" si="12"/>
        <v>3800</v>
      </c>
      <c r="X67" s="121"/>
      <c r="Y67" s="121"/>
      <c r="Z67" s="121">
        <f t="shared" si="12"/>
        <v>3800</v>
      </c>
      <c r="AA67" s="121"/>
      <c r="AB67" s="122"/>
      <c r="AC67" s="120">
        <f t="shared" si="12"/>
        <v>3800</v>
      </c>
      <c r="AD67" s="121"/>
      <c r="AE67" s="121"/>
      <c r="AF67" s="121">
        <f t="shared" si="12"/>
        <v>3800</v>
      </c>
      <c r="AG67" s="121"/>
      <c r="AH67" s="121"/>
      <c r="AI67" s="121">
        <f t="shared" si="12"/>
        <v>3800</v>
      </c>
      <c r="AJ67" s="121"/>
      <c r="AK67" s="122"/>
      <c r="AL67" s="120">
        <f t="shared" si="12"/>
        <v>3800</v>
      </c>
      <c r="AM67" s="121"/>
      <c r="AN67" s="121"/>
      <c r="AO67" s="121">
        <f t="shared" si="12"/>
        <v>3800</v>
      </c>
      <c r="AP67" s="121"/>
      <c r="AQ67" s="121"/>
      <c r="AR67" s="121">
        <f t="shared" si="12"/>
        <v>3800</v>
      </c>
      <c r="AS67" s="121"/>
      <c r="AT67" s="122"/>
      <c r="AU67" s="120">
        <f t="shared" si="12"/>
        <v>3800</v>
      </c>
      <c r="AV67" s="121"/>
      <c r="AW67" s="122"/>
      <c r="AX67" s="39"/>
    </row>
    <row r="68" spans="2:50" ht="15" thickBot="1">
      <c r="B68" s="33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40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41"/>
    </row>
    <row r="69" spans="2:50">
      <c r="B69" s="84" t="s">
        <v>16</v>
      </c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85"/>
    </row>
    <row r="70" spans="2:50">
      <c r="B70" s="123" t="s">
        <v>93</v>
      </c>
      <c r="C70" s="30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42"/>
    </row>
    <row r="71" spans="2:50">
      <c r="B71" s="123" t="s">
        <v>94</v>
      </c>
      <c r="C71" s="30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42"/>
    </row>
    <row r="72" spans="2:50">
      <c r="B72" s="123" t="s">
        <v>95</v>
      </c>
      <c r="C72" s="30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8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39"/>
    </row>
    <row r="73" spans="2:50" ht="15" thickBot="1">
      <c r="B73" s="124" t="s">
        <v>96</v>
      </c>
      <c r="C73" s="125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43"/>
      <c r="U73" s="43"/>
      <c r="V73" s="43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40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41"/>
    </row>
  </sheetData>
  <mergeCells count="383">
    <mergeCell ref="AO67:AQ67"/>
    <mergeCell ref="AR67:AT67"/>
    <mergeCell ref="AU67:AW67"/>
    <mergeCell ref="Z67:AB67"/>
    <mergeCell ref="AC67:AE67"/>
    <mergeCell ref="AF67:AH67"/>
    <mergeCell ref="AI67:AK67"/>
    <mergeCell ref="AL67:AN67"/>
    <mergeCell ref="K67:M67"/>
    <mergeCell ref="N67:P67"/>
    <mergeCell ref="Q67:S67"/>
    <mergeCell ref="T67:V67"/>
    <mergeCell ref="W67:Y67"/>
    <mergeCell ref="AO65:AQ65"/>
    <mergeCell ref="AR65:AT65"/>
    <mergeCell ref="AU65:AW65"/>
    <mergeCell ref="K66:M66"/>
    <mergeCell ref="N66:P66"/>
    <mergeCell ref="Q66:S66"/>
    <mergeCell ref="T66:V66"/>
    <mergeCell ref="W66:Y66"/>
    <mergeCell ref="Z66:AB66"/>
    <mergeCell ref="AC66:AE66"/>
    <mergeCell ref="AF66:AH66"/>
    <mergeCell ref="AI66:AK66"/>
    <mergeCell ref="AL66:AN66"/>
    <mergeCell ref="AO66:AQ66"/>
    <mergeCell ref="AR66:AT66"/>
    <mergeCell ref="AU66:AW66"/>
    <mergeCell ref="Z65:AB65"/>
    <mergeCell ref="AC65:AE65"/>
    <mergeCell ref="AF65:AH65"/>
    <mergeCell ref="AI65:AK65"/>
    <mergeCell ref="AL65:AN65"/>
    <mergeCell ref="K65:M65"/>
    <mergeCell ref="N65:P65"/>
    <mergeCell ref="Q65:S65"/>
    <mergeCell ref="T65:V65"/>
    <mergeCell ref="W65:Y65"/>
    <mergeCell ref="AO63:AQ63"/>
    <mergeCell ref="AR63:AT63"/>
    <mergeCell ref="AU63:AW63"/>
    <mergeCell ref="K64:M64"/>
    <mergeCell ref="N64:P64"/>
    <mergeCell ref="Q64:S64"/>
    <mergeCell ref="T64:V64"/>
    <mergeCell ref="W64:Y64"/>
    <mergeCell ref="Z64:AB64"/>
    <mergeCell ref="AC64:AE64"/>
    <mergeCell ref="AF64:AH64"/>
    <mergeCell ref="AI64:AK64"/>
    <mergeCell ref="AL64:AN64"/>
    <mergeCell ref="AO64:AQ64"/>
    <mergeCell ref="AR64:AT64"/>
    <mergeCell ref="AU64:AW64"/>
    <mergeCell ref="Z63:AB63"/>
    <mergeCell ref="AC63:AE63"/>
    <mergeCell ref="AF63:AH63"/>
    <mergeCell ref="AI63:AK63"/>
    <mergeCell ref="AL63:AN63"/>
    <mergeCell ref="K63:M63"/>
    <mergeCell ref="N63:P63"/>
    <mergeCell ref="Q63:S63"/>
    <mergeCell ref="T63:V63"/>
    <mergeCell ref="W63:Y63"/>
    <mergeCell ref="AO61:AQ61"/>
    <mergeCell ref="AR61:AT61"/>
    <mergeCell ref="AU61:AW61"/>
    <mergeCell ref="K62:M62"/>
    <mergeCell ref="N62:P62"/>
    <mergeCell ref="Q62:S62"/>
    <mergeCell ref="T62:V62"/>
    <mergeCell ref="W62:Y62"/>
    <mergeCell ref="Z62:AB62"/>
    <mergeCell ref="AC62:AE62"/>
    <mergeCell ref="AF62:AH62"/>
    <mergeCell ref="AI62:AK62"/>
    <mergeCell ref="AL62:AN62"/>
    <mergeCell ref="AO62:AQ62"/>
    <mergeCell ref="AR62:AT62"/>
    <mergeCell ref="AU62:AW62"/>
    <mergeCell ref="Z61:AB61"/>
    <mergeCell ref="AC61:AE61"/>
    <mergeCell ref="AF61:AH61"/>
    <mergeCell ref="AI61:AK61"/>
    <mergeCell ref="AL61:AN61"/>
    <mergeCell ref="K61:M61"/>
    <mergeCell ref="N61:P61"/>
    <mergeCell ref="Q61:S61"/>
    <mergeCell ref="T61:V61"/>
    <mergeCell ref="W61:Y61"/>
    <mergeCell ref="AO59:AQ59"/>
    <mergeCell ref="AR59:AT59"/>
    <mergeCell ref="AU59:AW59"/>
    <mergeCell ref="K60:M60"/>
    <mergeCell ref="N60:P60"/>
    <mergeCell ref="Q60:S60"/>
    <mergeCell ref="T60:V60"/>
    <mergeCell ref="W60:Y60"/>
    <mergeCell ref="Z60:AB60"/>
    <mergeCell ref="AC60:AE60"/>
    <mergeCell ref="AF60:AH60"/>
    <mergeCell ref="AI60:AK60"/>
    <mergeCell ref="AL60:AN60"/>
    <mergeCell ref="AO60:AQ60"/>
    <mergeCell ref="AR60:AT60"/>
    <mergeCell ref="AU60:AW60"/>
    <mergeCell ref="Z59:AB59"/>
    <mergeCell ref="AC59:AE59"/>
    <mergeCell ref="AF59:AH59"/>
    <mergeCell ref="AI59:AK59"/>
    <mergeCell ref="AL59:AN59"/>
    <mergeCell ref="K59:M59"/>
    <mergeCell ref="N59:P59"/>
    <mergeCell ref="Q59:S59"/>
    <mergeCell ref="T59:V59"/>
    <mergeCell ref="W59:Y59"/>
    <mergeCell ref="AO57:AQ57"/>
    <mergeCell ref="AR57:AT57"/>
    <mergeCell ref="AU57:AW57"/>
    <mergeCell ref="K58:M58"/>
    <mergeCell ref="N58:P58"/>
    <mergeCell ref="Q58:S58"/>
    <mergeCell ref="T58:V58"/>
    <mergeCell ref="W58:Y58"/>
    <mergeCell ref="Z58:AB58"/>
    <mergeCell ref="AC58:AE58"/>
    <mergeCell ref="AF58:AH58"/>
    <mergeCell ref="AI58:AK58"/>
    <mergeCell ref="AL58:AN58"/>
    <mergeCell ref="AO58:AQ58"/>
    <mergeCell ref="AR58:AT58"/>
    <mergeCell ref="AU58:AW58"/>
    <mergeCell ref="Z57:AB57"/>
    <mergeCell ref="AC57:AE57"/>
    <mergeCell ref="AF57:AH57"/>
    <mergeCell ref="AI57:AK57"/>
    <mergeCell ref="AL57:AN57"/>
    <mergeCell ref="K57:M57"/>
    <mergeCell ref="N57:P57"/>
    <mergeCell ref="Q57:S57"/>
    <mergeCell ref="T57:V57"/>
    <mergeCell ref="W57:Y57"/>
    <mergeCell ref="AO55:AQ55"/>
    <mergeCell ref="AR55:AT55"/>
    <mergeCell ref="AU55:AW55"/>
    <mergeCell ref="K56:M56"/>
    <mergeCell ref="N56:P56"/>
    <mergeCell ref="Q56:S56"/>
    <mergeCell ref="T56:V56"/>
    <mergeCell ref="W56:Y56"/>
    <mergeCell ref="Z56:AB56"/>
    <mergeCell ref="AC56:AE56"/>
    <mergeCell ref="AF56:AH56"/>
    <mergeCell ref="AI56:AK56"/>
    <mergeCell ref="AL56:AN56"/>
    <mergeCell ref="AO56:AQ56"/>
    <mergeCell ref="AR56:AT56"/>
    <mergeCell ref="AU56:AW56"/>
    <mergeCell ref="Z55:AB55"/>
    <mergeCell ref="AC55:AE55"/>
    <mergeCell ref="AF55:AH55"/>
    <mergeCell ref="AI55:AK55"/>
    <mergeCell ref="AL55:AN55"/>
    <mergeCell ref="K55:M55"/>
    <mergeCell ref="N55:P55"/>
    <mergeCell ref="Q55:S55"/>
    <mergeCell ref="T55:V55"/>
    <mergeCell ref="W55:Y55"/>
    <mergeCell ref="AO53:AQ53"/>
    <mergeCell ref="AR53:AT53"/>
    <mergeCell ref="AU53:AW53"/>
    <mergeCell ref="K54:M54"/>
    <mergeCell ref="N54:P54"/>
    <mergeCell ref="Q54:S54"/>
    <mergeCell ref="T54:V54"/>
    <mergeCell ref="W54:Y54"/>
    <mergeCell ref="Z54:AB54"/>
    <mergeCell ref="AC54:AE54"/>
    <mergeCell ref="AF54:AH54"/>
    <mergeCell ref="AI54:AK54"/>
    <mergeCell ref="AL54:AN54"/>
    <mergeCell ref="AO54:AQ54"/>
    <mergeCell ref="AR54:AT54"/>
    <mergeCell ref="AU54:AW54"/>
    <mergeCell ref="Z53:AB53"/>
    <mergeCell ref="AC53:AE53"/>
    <mergeCell ref="AF53:AH53"/>
    <mergeCell ref="AI53:AK53"/>
    <mergeCell ref="AL53:AN53"/>
    <mergeCell ref="K53:M53"/>
    <mergeCell ref="N53:P53"/>
    <mergeCell ref="Q53:S53"/>
    <mergeCell ref="T53:V53"/>
    <mergeCell ref="W53:Y53"/>
    <mergeCell ref="AO51:AQ51"/>
    <mergeCell ref="AR51:AT51"/>
    <mergeCell ref="AU51:AW51"/>
    <mergeCell ref="K52:M52"/>
    <mergeCell ref="N52:P52"/>
    <mergeCell ref="Q52:S52"/>
    <mergeCell ref="T52:V52"/>
    <mergeCell ref="W52:Y52"/>
    <mergeCell ref="Z52:AB52"/>
    <mergeCell ref="AC52:AE52"/>
    <mergeCell ref="AF52:AH52"/>
    <mergeCell ref="AI52:AK52"/>
    <mergeCell ref="AL52:AN52"/>
    <mergeCell ref="AO52:AQ52"/>
    <mergeCell ref="AR52:AT52"/>
    <mergeCell ref="AU52:AW52"/>
    <mergeCell ref="Z51:AB51"/>
    <mergeCell ref="AC51:AE51"/>
    <mergeCell ref="AF51:AH51"/>
    <mergeCell ref="AI51:AK51"/>
    <mergeCell ref="AL51:AN51"/>
    <mergeCell ref="K51:M51"/>
    <mergeCell ref="N51:P51"/>
    <mergeCell ref="Q51:S51"/>
    <mergeCell ref="T51:V51"/>
    <mergeCell ref="W51:Y51"/>
    <mergeCell ref="AO49:AQ49"/>
    <mergeCell ref="AR49:AT49"/>
    <mergeCell ref="AU49:AW49"/>
    <mergeCell ref="K50:M50"/>
    <mergeCell ref="N50:P50"/>
    <mergeCell ref="Q50:S50"/>
    <mergeCell ref="T50:V50"/>
    <mergeCell ref="W50:Y50"/>
    <mergeCell ref="Z50:AB50"/>
    <mergeCell ref="AC50:AE50"/>
    <mergeCell ref="AF50:AH50"/>
    <mergeCell ref="AI50:AK50"/>
    <mergeCell ref="AL50:AN50"/>
    <mergeCell ref="AO50:AQ50"/>
    <mergeCell ref="AR50:AT50"/>
    <mergeCell ref="AU50:AW50"/>
    <mergeCell ref="Z49:AB49"/>
    <mergeCell ref="AC49:AE49"/>
    <mergeCell ref="AF49:AH49"/>
    <mergeCell ref="AI49:AK49"/>
    <mergeCell ref="AL49:AN49"/>
    <mergeCell ref="K49:M49"/>
    <mergeCell ref="N49:P49"/>
    <mergeCell ref="Q49:S49"/>
    <mergeCell ref="T49:V49"/>
    <mergeCell ref="W49:Y49"/>
    <mergeCell ref="AO47:AQ47"/>
    <mergeCell ref="AR47:AT47"/>
    <mergeCell ref="AU47:AW47"/>
    <mergeCell ref="K48:M48"/>
    <mergeCell ref="N48:P48"/>
    <mergeCell ref="Q48:S48"/>
    <mergeCell ref="T48:V48"/>
    <mergeCell ref="W48:Y48"/>
    <mergeCell ref="Z48:AB48"/>
    <mergeCell ref="AC48:AE48"/>
    <mergeCell ref="AF48:AH48"/>
    <mergeCell ref="AI48:AK48"/>
    <mergeCell ref="AL48:AN48"/>
    <mergeCell ref="AO48:AQ48"/>
    <mergeCell ref="AR48:AT48"/>
    <mergeCell ref="AU48:AW48"/>
    <mergeCell ref="Z47:AB47"/>
    <mergeCell ref="AC47:AE47"/>
    <mergeCell ref="AF47:AH47"/>
    <mergeCell ref="AI47:AK47"/>
    <mergeCell ref="AL47:AN47"/>
    <mergeCell ref="K47:M47"/>
    <mergeCell ref="N47:P47"/>
    <mergeCell ref="Q47:S47"/>
    <mergeCell ref="T47:V47"/>
    <mergeCell ref="W47:Y47"/>
    <mergeCell ref="AI45:AK45"/>
    <mergeCell ref="K46:M46"/>
    <mergeCell ref="N46:P46"/>
    <mergeCell ref="Q46:S46"/>
    <mergeCell ref="T46:V46"/>
    <mergeCell ref="W46:Y46"/>
    <mergeCell ref="Z46:AB46"/>
    <mergeCell ref="AC46:AE46"/>
    <mergeCell ref="AF46:AH46"/>
    <mergeCell ref="AI46:AK46"/>
    <mergeCell ref="T45:V45"/>
    <mergeCell ref="W45:Y45"/>
    <mergeCell ref="Z45:AB45"/>
    <mergeCell ref="AC45:AE45"/>
    <mergeCell ref="AF45:AH45"/>
    <mergeCell ref="AL46:AN46"/>
    <mergeCell ref="AO46:AQ46"/>
    <mergeCell ref="AR46:AT46"/>
    <mergeCell ref="AU46:AW46"/>
    <mergeCell ref="K44:M44"/>
    <mergeCell ref="N44:P44"/>
    <mergeCell ref="Q44:S44"/>
    <mergeCell ref="T44:V44"/>
    <mergeCell ref="W44:Y44"/>
    <mergeCell ref="Z44:AB44"/>
    <mergeCell ref="AC44:AE44"/>
    <mergeCell ref="AF44:AH44"/>
    <mergeCell ref="AI44:AK44"/>
    <mergeCell ref="K45:M45"/>
    <mergeCell ref="N45:P45"/>
    <mergeCell ref="Q45:S45"/>
    <mergeCell ref="AU44:AW44"/>
    <mergeCell ref="AR44:AT44"/>
    <mergeCell ref="AO44:AQ44"/>
    <mergeCell ref="AL44:AN44"/>
    <mergeCell ref="AL45:AN45"/>
    <mergeCell ref="AO45:AQ45"/>
    <mergeCell ref="AR45:AT45"/>
    <mergeCell ref="AU45:AW45"/>
    <mergeCell ref="C62:G64"/>
    <mergeCell ref="H62:J62"/>
    <mergeCell ref="H63:J63"/>
    <mergeCell ref="H64:J64"/>
    <mergeCell ref="C65:G67"/>
    <mergeCell ref="H65:J65"/>
    <mergeCell ref="H66:J66"/>
    <mergeCell ref="H67:J67"/>
    <mergeCell ref="C56:G58"/>
    <mergeCell ref="H56:J56"/>
    <mergeCell ref="H57:J57"/>
    <mergeCell ref="H58:J58"/>
    <mergeCell ref="C59:G61"/>
    <mergeCell ref="H59:J59"/>
    <mergeCell ref="H60:J60"/>
    <mergeCell ref="H61:J61"/>
    <mergeCell ref="H51:J51"/>
    <mergeCell ref="H52:J52"/>
    <mergeCell ref="C53:G55"/>
    <mergeCell ref="H53:J53"/>
    <mergeCell ref="H54:J54"/>
    <mergeCell ref="H55:J55"/>
    <mergeCell ref="B69:AX69"/>
    <mergeCell ref="H7:J9"/>
    <mergeCell ref="L7:N9"/>
    <mergeCell ref="AU42:AW42"/>
    <mergeCell ref="H44:J44"/>
    <mergeCell ref="H45:J45"/>
    <mergeCell ref="H46:J46"/>
    <mergeCell ref="C44:G46"/>
    <mergeCell ref="C47:G49"/>
    <mergeCell ref="H47:J47"/>
    <mergeCell ref="H48:J48"/>
    <mergeCell ref="H49:J49"/>
    <mergeCell ref="C50:G52"/>
    <mergeCell ref="H50:J50"/>
    <mergeCell ref="S1:AJ3"/>
    <mergeCell ref="B5:F6"/>
    <mergeCell ref="S5:X6"/>
    <mergeCell ref="S7:X9"/>
    <mergeCell ref="Y6:AJ6"/>
    <mergeCell ref="Y5:AJ5"/>
    <mergeCell ref="G5:Q6"/>
    <mergeCell ref="Y7:AJ7"/>
    <mergeCell ref="Y8:AJ8"/>
    <mergeCell ref="Y9:AJ9"/>
    <mergeCell ref="BE13:BF14"/>
    <mergeCell ref="B14:F18"/>
    <mergeCell ref="B7:F9"/>
    <mergeCell ref="B11:F13"/>
    <mergeCell ref="Z11:AD13"/>
    <mergeCell ref="Z14:AD18"/>
    <mergeCell ref="G11:Y13"/>
    <mergeCell ref="B19:AX19"/>
    <mergeCell ref="C42:J43"/>
    <mergeCell ref="AL43:AN43"/>
    <mergeCell ref="AO43:AQ43"/>
    <mergeCell ref="AR43:AT43"/>
    <mergeCell ref="AL42:AT42"/>
    <mergeCell ref="K42:S42"/>
    <mergeCell ref="T42:AB42"/>
    <mergeCell ref="AC42:AK42"/>
    <mergeCell ref="K43:M43"/>
    <mergeCell ref="N43:P43"/>
    <mergeCell ref="Q43:S43"/>
    <mergeCell ref="T43:V43"/>
    <mergeCell ref="W43:Y43"/>
    <mergeCell ref="Z43:AB43"/>
    <mergeCell ref="AC43:AE43"/>
    <mergeCell ref="AF43:AH43"/>
    <mergeCell ref="AI43:AK43"/>
  </mergeCells>
  <printOptions horizontalCentered="1" verticalCentered="1"/>
  <pageMargins left="0.19685039370078741" right="0.19685039370078741" top="0" bottom="0" header="0.19685039370078741" footer="0.19685039370078741"/>
  <pageSetup paperSize="9" scale="78" orientation="portrait" r:id="rId1"/>
  <headerFooter>
    <oddFooter>&amp;L&amp;D&amp;C&amp;P&amp;R&amp;F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2018-11-28T14:36:12Z</cp:lastPrinted>
  <dcterms:created xsi:type="dcterms:W3CDTF">2016-09-01T00:00:56Z</dcterms:created>
  <dcterms:modified xsi:type="dcterms:W3CDTF">2018-11-28T14:36:24Z</dcterms:modified>
</cp:coreProperties>
</file>