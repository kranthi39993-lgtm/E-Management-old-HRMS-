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 activeTab="1"/>
  </bookViews>
  <sheets>
    <sheet name="BTF" sheetId="2" r:id="rId1"/>
    <sheet name="7910M" sheetId="4" r:id="rId2"/>
    <sheet name="Price" sheetId="3" r:id="rId3"/>
    <sheet name="Qty Request For MM" sheetId="6" r:id="rId4"/>
    <sheet name="Sheet1" sheetId="5" r:id="rId5"/>
  </sheets>
  <definedNames>
    <definedName name="_xlnm.Print_Area" localSheetId="1">'7910M'!$B$1:$AB$61</definedName>
    <definedName name="_xlnm.Print_Area" localSheetId="0">BTF!$B$1:$AX$75</definedName>
    <definedName name="_xlnm.Print_Area" localSheetId="3">'Qty Request For MM'!$B$2:$Q$25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5" i="6" l="1"/>
  <c r="O25" i="6"/>
  <c r="N25" i="6"/>
  <c r="M25" i="6"/>
  <c r="L25" i="6"/>
  <c r="K25" i="6"/>
  <c r="J25" i="6"/>
  <c r="I25" i="6"/>
  <c r="H25" i="6"/>
  <c r="G25" i="6"/>
  <c r="F25" i="6"/>
  <c r="E25" i="6"/>
  <c r="Q22" i="6"/>
  <c r="Q19" i="6"/>
  <c r="Q16" i="6"/>
  <c r="Q13" i="6"/>
  <c r="Q10" i="6"/>
  <c r="Q7" i="6"/>
  <c r="Q4" i="6"/>
  <c r="AE38" i="2" l="1"/>
  <c r="AE33" i="2"/>
  <c r="AK35" i="2"/>
  <c r="AO35" i="2" s="1"/>
  <c r="AK36" i="2"/>
  <c r="AO36" i="2" s="1"/>
  <c r="AK37" i="2"/>
  <c r="AO37" i="2" s="1"/>
  <c r="AK38" i="2"/>
  <c r="AO38" i="2" s="1"/>
  <c r="AK39" i="2"/>
  <c r="AO39" i="2" s="1"/>
  <c r="AK34" i="2"/>
  <c r="AO34" i="2" s="1"/>
  <c r="AK33" i="2"/>
  <c r="AO33" i="2" s="1"/>
  <c r="AK32" i="2"/>
  <c r="AK41" i="2"/>
  <c r="AK42" i="2"/>
  <c r="AK43" i="2"/>
  <c r="AK40" i="2"/>
  <c r="W34" i="2"/>
  <c r="AE34" i="2" s="1"/>
  <c r="W35" i="2"/>
  <c r="AE35" i="2" s="1"/>
  <c r="W36" i="2"/>
  <c r="AE36" i="2" s="1"/>
  <c r="W37" i="2"/>
  <c r="AA37" i="2" s="1"/>
  <c r="W38" i="2"/>
  <c r="W39" i="2"/>
  <c r="AE39" i="2" s="1"/>
  <c r="W33" i="2"/>
  <c r="AA33" i="2" s="1"/>
  <c r="AA43" i="2"/>
  <c r="AA42" i="2"/>
  <c r="AA41" i="2"/>
  <c r="AA40" i="2"/>
  <c r="AA38" i="2"/>
  <c r="AA35" i="2"/>
  <c r="AA32" i="2"/>
  <c r="S43" i="2"/>
  <c r="S42" i="2"/>
  <c r="S41" i="2"/>
  <c r="S40" i="2"/>
  <c r="S39" i="2"/>
  <c r="S38" i="2"/>
  <c r="S37" i="2"/>
  <c r="S36" i="2"/>
  <c r="S35" i="2"/>
  <c r="S34" i="2"/>
  <c r="S33" i="2"/>
  <c r="S32" i="2"/>
  <c r="F4" i="3"/>
  <c r="O15" i="3"/>
  <c r="O14" i="3"/>
  <c r="O13" i="3"/>
  <c r="O12" i="3"/>
  <c r="O11" i="3"/>
  <c r="O10" i="3"/>
  <c r="O9" i="3"/>
  <c r="O8" i="3"/>
  <c r="O7" i="3"/>
  <c r="O6" i="3"/>
  <c r="O5" i="3"/>
  <c r="M11" i="3"/>
  <c r="M10" i="3"/>
  <c r="M9" i="3"/>
  <c r="M8" i="3"/>
  <c r="M7" i="3"/>
  <c r="M6" i="3"/>
  <c r="M5" i="3"/>
  <c r="M15" i="3"/>
  <c r="M14" i="3"/>
  <c r="M13" i="3"/>
  <c r="M12" i="3"/>
  <c r="J15" i="3"/>
  <c r="J14" i="3"/>
  <c r="J13" i="3"/>
  <c r="H15" i="3"/>
  <c r="H14" i="3"/>
  <c r="H13" i="3"/>
  <c r="J12" i="3"/>
  <c r="H12" i="3"/>
  <c r="F15" i="3"/>
  <c r="F14" i="3"/>
  <c r="F13" i="3"/>
  <c r="F12" i="3"/>
  <c r="AA39" i="2" l="1"/>
  <c r="AA34" i="2"/>
  <c r="AE37" i="2"/>
  <c r="AA36" i="2"/>
  <c r="K5" i="3" l="1"/>
  <c r="K6" i="3"/>
  <c r="K7" i="3"/>
  <c r="K8" i="3"/>
  <c r="K9" i="3"/>
  <c r="K10" i="3"/>
  <c r="K11" i="3"/>
  <c r="K12" i="3"/>
  <c r="K13" i="3"/>
  <c r="K14" i="3"/>
  <c r="K15" i="3"/>
  <c r="K4" i="3"/>
  <c r="I5" i="3"/>
  <c r="I6" i="3"/>
  <c r="I7" i="3"/>
  <c r="I8" i="3"/>
  <c r="I9" i="3"/>
  <c r="I10" i="3"/>
  <c r="I11" i="3"/>
  <c r="I12" i="3"/>
  <c r="I13" i="3"/>
  <c r="I14" i="3"/>
  <c r="I15" i="3"/>
  <c r="I4" i="3"/>
  <c r="G5" i="3"/>
  <c r="G6" i="3"/>
  <c r="G7" i="3"/>
  <c r="G8" i="3"/>
  <c r="G9" i="3"/>
  <c r="G10" i="3"/>
  <c r="G11" i="3"/>
  <c r="G12" i="3"/>
  <c r="G13" i="3"/>
  <c r="G14" i="3"/>
  <c r="G15" i="3"/>
  <c r="G4" i="3"/>
  <c r="O4" i="3" s="1"/>
  <c r="J5" i="3"/>
  <c r="J6" i="3"/>
  <c r="J7" i="3"/>
  <c r="J8" i="3"/>
  <c r="J9" i="3"/>
  <c r="J10" i="3"/>
  <c r="J11" i="3"/>
  <c r="J4" i="3"/>
  <c r="H11" i="3"/>
  <c r="H10" i="3"/>
  <c r="H9" i="3"/>
  <c r="H8" i="3"/>
  <c r="H7" i="3"/>
  <c r="H6" i="3"/>
  <c r="H5" i="3"/>
  <c r="H4" i="3"/>
  <c r="F11" i="3"/>
  <c r="F10" i="3"/>
  <c r="F9" i="3"/>
  <c r="F8" i="3"/>
  <c r="F7" i="3"/>
  <c r="F6" i="3"/>
  <c r="F5" i="3"/>
  <c r="Q60" i="4" l="1"/>
  <c r="S9" i="4" l="1"/>
  <c r="Y12" i="4"/>
  <c r="X12" i="4"/>
  <c r="U7" i="4"/>
  <c r="Y11" i="4"/>
  <c r="T8" i="4"/>
  <c r="E5" i="3" l="1"/>
  <c r="E6" i="3"/>
  <c r="E7" i="3"/>
  <c r="E8" i="3"/>
  <c r="E9" i="3"/>
  <c r="E10" i="3"/>
  <c r="E11" i="3"/>
  <c r="E12" i="3"/>
  <c r="E13" i="3"/>
  <c r="E14" i="3"/>
  <c r="E15" i="3"/>
  <c r="E4" i="3"/>
  <c r="W12" i="4" l="1"/>
  <c r="V12" i="4"/>
  <c r="U12" i="4"/>
  <c r="T12" i="4"/>
  <c r="S12" i="4"/>
  <c r="X11" i="4"/>
  <c r="W11" i="4"/>
  <c r="V11" i="4"/>
  <c r="U11" i="4"/>
  <c r="T11" i="4"/>
  <c r="S11" i="4"/>
  <c r="Y10" i="4"/>
  <c r="X10" i="4"/>
  <c r="W10" i="4"/>
  <c r="V10" i="4"/>
  <c r="U10" i="4"/>
  <c r="T10" i="4"/>
  <c r="S10" i="4"/>
  <c r="Y9" i="4"/>
  <c r="X9" i="4"/>
  <c r="W9" i="4"/>
  <c r="V9" i="4"/>
  <c r="U9" i="4"/>
  <c r="T9" i="4"/>
  <c r="Y8" i="4"/>
  <c r="X8" i="4"/>
  <c r="W8" i="4"/>
  <c r="V8" i="4"/>
  <c r="U8" i="4"/>
  <c r="Y7" i="4"/>
  <c r="X7" i="4"/>
  <c r="W7" i="4"/>
  <c r="V7" i="4"/>
</calcChain>
</file>

<file path=xl/sharedStrings.xml><?xml version="1.0" encoding="utf-8"?>
<sst xmlns="http://schemas.openxmlformats.org/spreadsheetml/2006/main" count="308" uniqueCount="232">
  <si>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</si>
  <si>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</si>
  <si>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</si>
  <si>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</si>
  <si>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</si>
  <si>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</si>
  <si>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</si>
  <si>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</si>
  <si>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</si>
  <si>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</si>
  <si>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</si>
  <si>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</si>
  <si>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</si>
  <si>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</si>
  <si>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</si>
  <si>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</si>
  <si>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</si>
  <si>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</si>
  <si>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</si>
  <si>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</si>
  <si>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</si>
  <si>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</si>
  <si>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</si>
  <si>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</si>
  <si>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</si>
  <si>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</si>
  <si>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</si>
  <si>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</si>
  <si>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</si>
  <si>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</si>
  <si>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Mr. Yasuhiro Ogawa</t>
  </si>
  <si>
    <t>KAMAYA</t>
  </si>
  <si>
    <t>New Price Kamaya (M) &amp; Kamaya (J)</t>
  </si>
  <si>
    <t>7910M shipment rank</t>
  </si>
  <si>
    <t>7910M</t>
  </si>
  <si>
    <t>E6</t>
  </si>
  <si>
    <t>E7</t>
  </si>
  <si>
    <t>E8</t>
  </si>
  <si>
    <t>E9</t>
  </si>
  <si>
    <t>EA</t>
  </si>
  <si>
    <t>EB</t>
  </si>
  <si>
    <t>EC</t>
  </si>
  <si>
    <t>D5</t>
  </si>
  <si>
    <t>D6</t>
  </si>
  <si>
    <t>D7</t>
  </si>
  <si>
    <t>D8</t>
  </si>
  <si>
    <t>D9</t>
  </si>
  <si>
    <t>DA</t>
  </si>
  <si>
    <t>DB</t>
  </si>
  <si>
    <t>DC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</si>
  <si>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</si>
  <si>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</si>
  <si>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</si>
  <si>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</si>
  <si>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</si>
  <si>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</si>
  <si>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</si>
  <si>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</si>
  <si>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</si>
  <si>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</si>
  <si>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</si>
  <si>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</si>
  <si>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</si>
  <si>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</si>
  <si>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</si>
  <si>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</si>
  <si>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</si>
  <si>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</si>
  <si>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</si>
  <si>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</si>
  <si>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</si>
  <si>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</si>
  <si>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</si>
  <si>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</si>
  <si>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</si>
  <si>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</si>
  <si>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</si>
  <si>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</si>
  <si>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</si>
  <si>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</si>
  <si>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9A</t>
  </si>
  <si>
    <t>9B</t>
  </si>
  <si>
    <t>9C</t>
  </si>
  <si>
    <t>8A</t>
  </si>
  <si>
    <t>8B</t>
  </si>
  <si>
    <t>8C</t>
  </si>
  <si>
    <t>7A</t>
  </si>
  <si>
    <t>7B</t>
  </si>
  <si>
    <t>7C</t>
  </si>
  <si>
    <t>6A</t>
  </si>
  <si>
    <t>6B</t>
  </si>
  <si>
    <t>6C</t>
  </si>
  <si>
    <t>5A</t>
  </si>
  <si>
    <t>5B</t>
  </si>
  <si>
    <t>4A</t>
  </si>
  <si>
    <t>Ranks</t>
  </si>
  <si>
    <t>Mthly</t>
  </si>
  <si>
    <t xml:space="preserve"> KAMAYA current rak</t>
  </si>
  <si>
    <t>150K</t>
  </si>
  <si>
    <t xml:space="preserve"> New KAMAYA rank proposal</t>
  </si>
  <si>
    <t>300K</t>
  </si>
  <si>
    <t>Red</t>
  </si>
  <si>
    <t xml:space="preserve"> R customer rank </t>
  </si>
  <si>
    <t>800K</t>
  </si>
  <si>
    <t xml:space="preserve"> A customer rank</t>
  </si>
  <si>
    <t>1000K</t>
  </si>
  <si>
    <t xml:space="preserve"> Lane 14</t>
  </si>
  <si>
    <t xml:space="preserve"> Lane 15</t>
  </si>
  <si>
    <t>KA0201</t>
  </si>
  <si>
    <t>3080M</t>
  </si>
  <si>
    <t>1598M</t>
  </si>
  <si>
    <t>874M</t>
  </si>
  <si>
    <t>YA1210</t>
  </si>
  <si>
    <t>YA2010</t>
  </si>
  <si>
    <t>YA2512</t>
  </si>
  <si>
    <t>HR75ARW</t>
  </si>
  <si>
    <t>R1020MRW</t>
  </si>
  <si>
    <t>R1020KRW</t>
  </si>
  <si>
    <t>R1532LRW</t>
  </si>
  <si>
    <t xml:space="preserve">1632AM </t>
  </si>
  <si>
    <t xml:space="preserve">T1005-4AMM </t>
  </si>
  <si>
    <t xml:space="preserve">T1005-4AMK </t>
  </si>
  <si>
    <t>T1608-4AML</t>
  </si>
  <si>
    <t>Kamaya (J)</t>
  </si>
  <si>
    <t>Kamaya (M)</t>
  </si>
  <si>
    <t>Rank</t>
  </si>
  <si>
    <t>Quantity</t>
  </si>
  <si>
    <t>65R</t>
  </si>
  <si>
    <t>68R</t>
  </si>
  <si>
    <t>69R</t>
  </si>
  <si>
    <t>6AR</t>
  </si>
  <si>
    <t>75L</t>
  </si>
  <si>
    <t>75R</t>
  </si>
  <si>
    <t>79R</t>
  </si>
  <si>
    <t>7AR</t>
  </si>
  <si>
    <t>86R</t>
  </si>
  <si>
    <t>87L</t>
  </si>
  <si>
    <t>87R</t>
  </si>
  <si>
    <t>89R</t>
  </si>
  <si>
    <t>8AR</t>
  </si>
  <si>
    <t>95R</t>
  </si>
  <si>
    <t>96R</t>
  </si>
  <si>
    <t>97L</t>
  </si>
  <si>
    <t>97R</t>
  </si>
  <si>
    <t>98L</t>
  </si>
  <si>
    <t>98R</t>
  </si>
  <si>
    <t>99R</t>
  </si>
  <si>
    <t>9AR</t>
  </si>
  <si>
    <t>Total</t>
  </si>
  <si>
    <t>Rank Position</t>
  </si>
  <si>
    <t>Ranking % by Rank</t>
  </si>
  <si>
    <t>Current 7 Ranks</t>
  </si>
  <si>
    <t>MARUWA only can commit 150K/mth.</t>
  </si>
  <si>
    <t>MARUWA can commit 400K/mth</t>
  </si>
  <si>
    <t>KA0201 new order</t>
  </si>
  <si>
    <t>KMAYA 2019 order forecast</t>
  </si>
  <si>
    <t>Oct-18</t>
  </si>
  <si>
    <t>MYR</t>
  </si>
  <si>
    <t>JPY</t>
  </si>
  <si>
    <t>Mr. Tony</t>
  </si>
  <si>
    <t>Ms. Emily</t>
  </si>
  <si>
    <t>Price Down</t>
  </si>
  <si>
    <t>65L</t>
  </si>
  <si>
    <t>68L</t>
  </si>
  <si>
    <t>69L</t>
  </si>
  <si>
    <t>6AL</t>
  </si>
  <si>
    <t>79L</t>
  </si>
  <si>
    <t>7AL</t>
  </si>
  <si>
    <t>86L</t>
  </si>
  <si>
    <t>89L</t>
  </si>
  <si>
    <t>8AL</t>
  </si>
  <si>
    <t>95L</t>
  </si>
  <si>
    <t>96L</t>
  </si>
  <si>
    <t>99L</t>
  </si>
  <si>
    <t>9AL</t>
  </si>
  <si>
    <t>New 17 Ranks + 7 Current Rank = 24 Ranks (3 Ranks/Q)</t>
  </si>
  <si>
    <t>Date</t>
  </si>
  <si>
    <t>Mr. Tony expected 5% cost down from new p/o. Due to exchange rate impact MYR, we suggest 3% and agreed by Mr. Tony.</t>
  </si>
  <si>
    <t>Jan-19</t>
  </si>
  <si>
    <t>Jan-19 (0.0372)</t>
  </si>
  <si>
    <t>Oct-18 (0.0372)</t>
  </si>
  <si>
    <t>KAMAYA (M)</t>
  </si>
  <si>
    <t>KAMAYA (J)</t>
  </si>
  <si>
    <t>New quotation 3% cost down for 7910M, 3080M, 1598M, YA1210, YA2010 and YA2512 from new p/o.</t>
  </si>
  <si>
    <t>KAMAYA Capacity</t>
  </si>
  <si>
    <t>Old Plant</t>
  </si>
  <si>
    <t>13B</t>
  </si>
  <si>
    <t>New Plant (Factory A)</t>
  </si>
  <si>
    <t>10B</t>
  </si>
  <si>
    <t>0.4B</t>
  </si>
  <si>
    <t>Full Cap</t>
  </si>
  <si>
    <t>10.4B</t>
  </si>
  <si>
    <t>22B</t>
  </si>
  <si>
    <t>7910M current use 100-150K/mth, increase to 350K in Apr and 650K in Jul. We suggest 17 new ranks + 7 current rank = 24 ranks</t>
  </si>
  <si>
    <t>gradually increase to achive 400K supply by MARUWA.</t>
  </si>
  <si>
    <t>Overall KAMAYA (M) production run at 85% with 1400 workers. KA0201 are most qty effected 1000K reduce to 650K/mth.</t>
  </si>
  <si>
    <t>Mr. Roger President request MARUWA suuport KAMAYA future business increase.</t>
  </si>
  <si>
    <t>I once again request to Mr. Roger and Mr. Tony to start small quantity order of KA0201 ASAP. Sample already approved.</t>
  </si>
  <si>
    <t>Jan shipment plan 1,600K and 1,700K in Feb.</t>
  </si>
  <si>
    <t>Unit= Sheet</t>
  </si>
  <si>
    <t>Q1 2019</t>
  </si>
  <si>
    <t>Q2 2019</t>
  </si>
  <si>
    <t>Q3 2019</t>
  </si>
  <si>
    <t>Q4 2019</t>
  </si>
  <si>
    <t>Supplier</t>
  </si>
  <si>
    <t>Substrate</t>
  </si>
  <si>
    <t>Status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</si>
  <si>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</si>
  <si>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</si>
  <si>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</si>
  <si>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</si>
  <si>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</si>
  <si>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</si>
  <si>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</si>
  <si>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</si>
  <si>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</si>
  <si>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</si>
  <si>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</si>
  <si>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</si>
  <si>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Grand Total</t>
  </si>
  <si>
    <t>Maruwa Malaysia</t>
  </si>
  <si>
    <t>SUBSTRATE 7910M</t>
  </si>
  <si>
    <t>KM Demand</t>
  </si>
  <si>
    <t>Supplier Reply</t>
  </si>
  <si>
    <t>SUBSTRATE 3080M</t>
  </si>
  <si>
    <t>SUBSTRATE 1598M</t>
  </si>
  <si>
    <t>SUBSTARTE 874M</t>
  </si>
  <si>
    <t>SUBSTRATE YA2010</t>
  </si>
  <si>
    <t>SUBSTRATE YA2512</t>
  </si>
  <si>
    <r>
      <t>Diff (±</t>
    </r>
    <r>
      <rPr>
        <sz val="8.1"/>
        <rFont val="MS UI Gothic"/>
        <family val="2"/>
      </rPr>
      <t>)</t>
    </r>
  </si>
  <si>
    <t>(2000K x 80%) - 7% = 1488K x 22% = 327Kpcs</t>
  </si>
  <si>
    <t>(2000K x 80%) - 7% = 1488K x 54% = 803Kpcs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</si>
</sst>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yyyy/m/d;@"/>
    <numFmt numFmtId="165" formatCode="[$$-409]#,##0.0000"/>
    <numFmt numFmtId="166" formatCode="&quot;¥&quot;#,##0.00"/>
    <numFmt numFmtId="167" formatCode="#,##0.0000"/>
    <numFmt numFmtId="168" formatCode="[$-409]d\-mmm;@"/>
    <numFmt numFmtId="169" formatCode="_(* #,##0.00_);_(* \(#,##0.00\);_(* &quot;-&quot;??_);_(@_)"/>
    <numFmt numFmtId="170" formatCode="_(* #,##0_);_(* \(#,##0\);_(* &quot;-&quot;??_);_(@_)"/>
  </numFmts>
  <fonts count="2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sz val="11"/>
      <color theme="1"/>
      <name val="Calibri"/>
      <family val="2"/>
      <charset val="128"/>
      <scheme val="minor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sz val="16"/>
      <color rgb="FFFF0000"/>
      <name val="Arial Narrow"/>
      <family val="2"/>
    </font>
    <font>
      <sz val="16"/>
      <name val="Arial Narrow"/>
      <family val="2"/>
    </font>
    <font>
      <b/>
      <sz val="16"/>
      <color rgb="FF0070C0"/>
      <name val="Arial Narrow"/>
      <family val="2"/>
    </font>
    <font>
      <sz val="14"/>
      <color theme="1"/>
      <name val="MS UI Gothic"/>
      <family val="2"/>
    </font>
    <font>
      <sz val="14"/>
      <color indexed="8"/>
      <name val="MS UI Gothic"/>
      <family val="2"/>
    </font>
    <font>
      <sz val="14"/>
      <color rgb="FFFF0000"/>
      <name val="MS UI Gothic"/>
      <family val="2"/>
    </font>
    <font>
      <sz val="12"/>
      <color indexed="8"/>
      <name val="MS UI Gothic"/>
      <family val="2"/>
    </font>
    <font>
      <sz val="12"/>
      <color rgb="FFFF0000"/>
      <name val="MS UI Gothic"/>
      <family val="2"/>
    </font>
    <font>
      <b/>
      <sz val="12"/>
      <color theme="1"/>
      <name val="MS UI Gothic"/>
      <family val="2"/>
    </font>
    <font>
      <sz val="10"/>
      <name val="Arial"/>
      <family val="2"/>
    </font>
    <font>
      <sz val="9"/>
      <name val="Times New Roman"/>
      <family val="1"/>
    </font>
    <font>
      <sz val="11"/>
      <color indexed="8"/>
      <name val="Calibri"/>
      <family val="2"/>
    </font>
    <font>
      <sz val="9"/>
      <name val="MS UI Gothic"/>
      <family val="2"/>
    </font>
    <font>
      <b/>
      <sz val="9"/>
      <name val="MS UI Gothic"/>
      <family val="2"/>
    </font>
    <font>
      <sz val="8.1"/>
      <name val="MS UI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8"/>
      </left>
      <right style="thin">
        <color indexed="64"/>
      </right>
      <top style="thick">
        <color theme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8"/>
      </top>
      <bottom style="thin">
        <color indexed="64"/>
      </bottom>
      <diagonal/>
    </border>
    <border>
      <left style="thin">
        <color indexed="64"/>
      </left>
      <right style="thick">
        <color theme="8"/>
      </right>
      <top style="thick">
        <color theme="8"/>
      </top>
      <bottom style="thin">
        <color indexed="64"/>
      </bottom>
      <diagonal/>
    </border>
    <border>
      <left style="thick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8"/>
      </right>
      <top style="thin">
        <color indexed="64"/>
      </top>
      <bottom style="thin">
        <color indexed="64"/>
      </bottom>
      <diagonal/>
    </border>
    <border>
      <left style="thick">
        <color theme="8"/>
      </left>
      <right style="thin">
        <color indexed="64"/>
      </right>
      <top style="thin">
        <color indexed="64"/>
      </top>
      <bottom style="thick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8"/>
      </bottom>
      <diagonal/>
    </border>
    <border>
      <left style="thin">
        <color indexed="64"/>
      </left>
      <right style="thick">
        <color theme="8"/>
      </right>
      <top style="thin">
        <color indexed="64"/>
      </top>
      <bottom style="thick">
        <color theme="8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 style="thin">
        <color indexed="64"/>
      </right>
      <top style="thick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70C0"/>
      </top>
      <bottom style="thin">
        <color indexed="64"/>
      </bottom>
      <diagonal/>
    </border>
    <border>
      <left style="thin">
        <color indexed="64"/>
      </left>
      <right style="thick">
        <color rgb="FF0070C0"/>
      </right>
      <top style="thick">
        <color rgb="FF0070C0"/>
      </top>
      <bottom style="thin">
        <color indexed="64"/>
      </bottom>
      <diagonal/>
    </border>
    <border>
      <left style="thick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n">
        <color indexed="64"/>
      </bottom>
      <diagonal/>
    </border>
    <border>
      <left style="thick">
        <color rgb="FF0070C0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ck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23" fillId="0" borderId="0"/>
    <xf numFmtId="169" fontId="25" fillId="0" borderId="0" applyFont="0" applyFill="0" applyBorder="0" applyAlignment="0" applyProtection="0"/>
  </cellStyleXfs>
  <cellXfs count="299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4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4" fontId="12" fillId="3" borderId="0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" fontId="13" fillId="3" borderId="0" xfId="0" applyNumberFormat="1" applyFont="1" applyFill="1" applyBorder="1" applyAlignment="1">
      <alignment horizontal="left" vertical="center"/>
    </xf>
    <xf numFmtId="4" fontId="12" fillId="3" borderId="9" xfId="0" applyNumberFormat="1" applyFont="1" applyFill="1" applyBorder="1" applyAlignment="1">
      <alignment horizontal="center" vertical="center"/>
    </xf>
    <xf numFmtId="4" fontId="12" fillId="3" borderId="10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4" fontId="14" fillId="3" borderId="10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4" fontId="12" fillId="3" borderId="11" xfId="0" applyNumberFormat="1" applyFont="1" applyFill="1" applyBorder="1" applyAlignment="1">
      <alignment horizontal="center" vertical="center"/>
    </xf>
    <xf numFmtId="4" fontId="12" fillId="3" borderId="12" xfId="0" applyNumberFormat="1" applyFont="1" applyFill="1" applyBorder="1" applyAlignment="1">
      <alignment horizontal="center" vertical="center"/>
    </xf>
    <xf numFmtId="4" fontId="14" fillId="3" borderId="12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4" fontId="12" fillId="3" borderId="13" xfId="0" applyNumberFormat="1" applyFont="1" applyFill="1" applyBorder="1" applyAlignment="1">
      <alignment horizontal="center" vertical="center"/>
    </xf>
    <xf numFmtId="4" fontId="12" fillId="3" borderId="14" xfId="0" applyNumberFormat="1" applyFont="1" applyFill="1" applyBorder="1" applyAlignment="1">
      <alignment horizontal="center" vertical="center"/>
    </xf>
    <xf numFmtId="4" fontId="14" fillId="3" borderId="14" xfId="0" applyNumberFormat="1" applyFont="1" applyFill="1" applyBorder="1" applyAlignment="1">
      <alignment horizontal="center" vertical="center"/>
    </xf>
    <xf numFmtId="4" fontId="14" fillId="3" borderId="15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4" fontId="14" fillId="3" borderId="9" xfId="0" applyNumberFormat="1" applyFont="1" applyFill="1" applyBorder="1" applyAlignment="1">
      <alignment horizontal="center" vertical="center"/>
    </xf>
    <xf numFmtId="4" fontId="14" fillId="3" borderId="16" xfId="0" applyNumberFormat="1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4" fontId="15" fillId="3" borderId="10" xfId="0" applyNumberFormat="1" applyFont="1" applyFill="1" applyBorder="1" applyAlignment="1">
      <alignment horizontal="center" vertical="center"/>
    </xf>
    <xf numFmtId="4" fontId="14" fillId="3" borderId="17" xfId="0" applyNumberFormat="1" applyFont="1" applyFill="1" applyBorder="1" applyAlignment="1">
      <alignment horizontal="center" vertical="center"/>
    </xf>
    <xf numFmtId="4" fontId="14" fillId="3" borderId="32" xfId="0" applyNumberFormat="1" applyFont="1" applyFill="1" applyBorder="1" applyAlignment="1">
      <alignment horizontal="center" vertical="center"/>
    </xf>
    <xf numFmtId="4" fontId="14" fillId="3" borderId="33" xfId="0" applyNumberFormat="1" applyFont="1" applyFill="1" applyBorder="1" applyAlignment="1">
      <alignment horizontal="center" vertical="center"/>
    </xf>
    <xf numFmtId="4" fontId="14" fillId="3" borderId="34" xfId="0" applyNumberFormat="1" applyFont="1" applyFill="1" applyBorder="1" applyAlignment="1">
      <alignment horizontal="center" vertical="center"/>
    </xf>
    <xf numFmtId="4" fontId="12" fillId="3" borderId="18" xfId="0" applyNumberFormat="1" applyFont="1" applyFill="1" applyBorder="1" applyAlignment="1">
      <alignment horizontal="center" vertical="center"/>
    </xf>
    <xf numFmtId="4" fontId="12" fillId="3" borderId="16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4" fontId="12" fillId="3" borderId="19" xfId="0" applyNumberFormat="1" applyFont="1" applyFill="1" applyBorder="1" applyAlignment="1">
      <alignment horizontal="center" vertical="center"/>
    </xf>
    <xf numFmtId="4" fontId="14" fillId="5" borderId="35" xfId="0" applyNumberFormat="1" applyFont="1" applyFill="1" applyBorder="1" applyAlignment="1">
      <alignment horizontal="center" vertical="center"/>
    </xf>
    <xf numFmtId="4" fontId="14" fillId="5" borderId="10" xfId="0" applyNumberFormat="1" applyFont="1" applyFill="1" applyBorder="1" applyAlignment="1">
      <alignment horizontal="center" vertical="center"/>
    </xf>
    <xf numFmtId="4" fontId="12" fillId="3" borderId="36" xfId="0" applyNumberFormat="1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/>
    </xf>
    <xf numFmtId="4" fontId="14" fillId="3" borderId="35" xfId="0" applyNumberFormat="1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4" fontId="14" fillId="3" borderId="37" xfId="0" applyNumberFormat="1" applyFont="1" applyFill="1" applyBorder="1" applyAlignment="1">
      <alignment horizontal="center" vertical="center"/>
    </xf>
    <xf numFmtId="4" fontId="14" fillId="5" borderId="38" xfId="0" applyNumberFormat="1" applyFont="1" applyFill="1" applyBorder="1" applyAlignment="1">
      <alignment horizontal="center" vertical="center"/>
    </xf>
    <xf numFmtId="4" fontId="14" fillId="3" borderId="38" xfId="0" applyNumberFormat="1" applyFont="1" applyFill="1" applyBorder="1" applyAlignment="1">
      <alignment horizontal="center" vertical="center"/>
    </xf>
    <xf numFmtId="4" fontId="12" fillId="3" borderId="39" xfId="0" applyNumberFormat="1" applyFont="1" applyFill="1" applyBorder="1" applyAlignment="1">
      <alignment horizontal="center" vertical="center"/>
    </xf>
    <xf numFmtId="4" fontId="14" fillId="3" borderId="18" xfId="0" applyNumberFormat="1" applyFont="1" applyFill="1" applyBorder="1" applyAlignment="1">
      <alignment horizontal="center" vertical="center"/>
    </xf>
    <xf numFmtId="4" fontId="12" fillId="3" borderId="20" xfId="0" applyNumberFormat="1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4" fontId="12" fillId="3" borderId="21" xfId="0" applyNumberFormat="1" applyFont="1" applyFill="1" applyBorder="1" applyAlignment="1">
      <alignment horizontal="center" vertical="center"/>
    </xf>
    <xf numFmtId="9" fontId="12" fillId="5" borderId="10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/>
    </xf>
    <xf numFmtId="4" fontId="12" fillId="3" borderId="0" xfId="0" quotePrefix="1" applyNumberFormat="1" applyFont="1" applyFill="1" applyBorder="1" applyAlignment="1">
      <alignment horizontal="left" vertical="center"/>
    </xf>
    <xf numFmtId="4" fontId="12" fillId="3" borderId="0" xfId="0" applyNumberFormat="1" applyFont="1" applyFill="1" applyBorder="1" applyAlignment="1">
      <alignment horizontal="left" vertical="center"/>
    </xf>
    <xf numFmtId="9" fontId="12" fillId="3" borderId="31" xfId="0" applyNumberFormat="1" applyFont="1" applyFill="1" applyBorder="1" applyAlignment="1">
      <alignment horizontal="center" vertical="center"/>
    </xf>
    <xf numFmtId="4" fontId="16" fillId="3" borderId="0" xfId="0" applyNumberFormat="1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right" vertical="center"/>
    </xf>
    <xf numFmtId="3" fontId="12" fillId="3" borderId="0" xfId="0" applyNumberFormat="1" applyFont="1" applyFill="1" applyBorder="1" applyAlignment="1">
      <alignment horizontal="right" vertical="center"/>
    </xf>
    <xf numFmtId="9" fontId="12" fillId="3" borderId="0" xfId="0" applyNumberFormat="1" applyFont="1" applyFill="1" applyBorder="1" applyAlignment="1">
      <alignment horizontal="center" vertical="center"/>
    </xf>
    <xf numFmtId="4" fontId="12" fillId="3" borderId="0" xfId="0" applyNumberFormat="1" applyFont="1" applyFill="1" applyAlignment="1">
      <alignment horizontal="center" vertical="center"/>
    </xf>
    <xf numFmtId="0" fontId="17" fillId="0" borderId="0" xfId="0" applyFont="1"/>
    <xf numFmtId="165" fontId="17" fillId="0" borderId="0" xfId="0" applyNumberFormat="1" applyFont="1"/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2" borderId="5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" fontId="17" fillId="2" borderId="5" xfId="0" applyNumberFormat="1" applyFont="1" applyFill="1" applyBorder="1" applyAlignment="1">
      <alignment horizontal="center"/>
    </xf>
    <xf numFmtId="9" fontId="17" fillId="0" borderId="6" xfId="3" applyFont="1" applyBorder="1" applyAlignment="1">
      <alignment horizontal="center"/>
    </xf>
    <xf numFmtId="4" fontId="17" fillId="2" borderId="7" xfId="0" applyNumberFormat="1" applyFont="1" applyFill="1" applyBorder="1" applyAlignment="1">
      <alignment horizontal="center"/>
    </xf>
    <xf numFmtId="9" fontId="17" fillId="0" borderId="8" xfId="3" applyFont="1" applyBorder="1" applyAlignment="1">
      <alignment horizontal="center"/>
    </xf>
    <xf numFmtId="165" fontId="17" fillId="2" borderId="5" xfId="0" applyNumberFormat="1" applyFont="1" applyFill="1" applyBorder="1" applyAlignment="1">
      <alignment horizontal="center"/>
    </xf>
    <xf numFmtId="166" fontId="17" fillId="6" borderId="0" xfId="0" applyNumberFormat="1" applyFont="1" applyFill="1" applyBorder="1" applyAlignment="1">
      <alignment horizontal="center"/>
    </xf>
    <xf numFmtId="166" fontId="17" fillId="0" borderId="0" xfId="0" applyNumberFormat="1" applyFont="1" applyBorder="1" applyAlignment="1">
      <alignment horizontal="center"/>
    </xf>
    <xf numFmtId="166" fontId="17" fillId="0" borderId="6" xfId="0" applyNumberFormat="1" applyFont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4" fontId="17" fillId="0" borderId="0" xfId="0" applyNumberFormat="1" applyFont="1" applyBorder="1" applyAlignment="1">
      <alignment horizontal="center"/>
    </xf>
    <xf numFmtId="167" fontId="17" fillId="6" borderId="0" xfId="0" applyNumberFormat="1" applyFont="1" applyFill="1" applyBorder="1" applyAlignment="1">
      <alignment horizontal="center"/>
    </xf>
    <xf numFmtId="4" fontId="17" fillId="0" borderId="6" xfId="0" applyNumberFormat="1" applyFont="1" applyBorder="1" applyAlignment="1">
      <alignment horizontal="center"/>
    </xf>
    <xf numFmtId="167" fontId="17" fillId="2" borderId="7" xfId="0" applyNumberFormat="1" applyFont="1" applyFill="1" applyBorder="1" applyAlignment="1">
      <alignment horizontal="center"/>
    </xf>
    <xf numFmtId="4" fontId="17" fillId="0" borderId="1" xfId="0" applyNumberFormat="1" applyFont="1" applyBorder="1" applyAlignment="1">
      <alignment horizontal="center"/>
    </xf>
    <xf numFmtId="167" fontId="17" fillId="6" borderId="1" xfId="0" applyNumberFormat="1" applyFont="1" applyFill="1" applyBorder="1" applyAlignment="1">
      <alignment horizontal="center"/>
    </xf>
    <xf numFmtId="4" fontId="17" fillId="0" borderId="8" xfId="0" applyNumberFormat="1" applyFont="1" applyBorder="1" applyAlignment="1">
      <alignment horizontal="center"/>
    </xf>
    <xf numFmtId="165" fontId="17" fillId="0" borderId="7" xfId="0" applyNumberFormat="1" applyFont="1" applyBorder="1"/>
    <xf numFmtId="0" fontId="17" fillId="0" borderId="1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2" xfId="0" applyFont="1" applyBorder="1"/>
    <xf numFmtId="0" fontId="18" fillId="3" borderId="5" xfId="1" applyFont="1" applyFill="1" applyBorder="1" applyAlignment="1">
      <alignment horizontal="left" vertical="center"/>
    </xf>
    <xf numFmtId="0" fontId="18" fillId="3" borderId="7" xfId="1" applyFont="1" applyFill="1" applyBorder="1" applyAlignment="1">
      <alignment horizontal="left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4" fontId="12" fillId="3" borderId="3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" fontId="12" fillId="3" borderId="1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4" fontId="14" fillId="3" borderId="0" xfId="0" applyNumberFormat="1" applyFont="1" applyFill="1" applyBorder="1" applyAlignment="1">
      <alignment horizontal="right" vertical="center"/>
    </xf>
    <xf numFmtId="9" fontId="17" fillId="0" borderId="0" xfId="3" applyFont="1"/>
    <xf numFmtId="4" fontId="19" fillId="0" borderId="0" xfId="0" applyNumberFormat="1" applyFont="1" applyBorder="1" applyAlignment="1">
      <alignment horizontal="center"/>
    </xf>
    <xf numFmtId="167" fontId="19" fillId="6" borderId="0" xfId="0" applyNumberFormat="1" applyFont="1" applyFill="1" applyBorder="1" applyAlignment="1">
      <alignment horizontal="center"/>
    </xf>
    <xf numFmtId="0" fontId="20" fillId="3" borderId="0" xfId="1" applyFont="1" applyFill="1" applyBorder="1" applyAlignment="1">
      <alignment horizontal="left" vertical="center"/>
    </xf>
    <xf numFmtId="0" fontId="3" fillId="3" borderId="0" xfId="0" applyFont="1" applyFill="1" applyBorder="1"/>
    <xf numFmtId="0" fontId="3" fillId="3" borderId="6" xfId="0" applyFont="1" applyFill="1" applyBorder="1"/>
    <xf numFmtId="0" fontId="22" fillId="3" borderId="5" xfId="1" applyFont="1" applyFill="1" applyBorder="1">
      <alignment vertical="center"/>
    </xf>
    <xf numFmtId="0" fontId="3" fillId="3" borderId="5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9" fontId="19" fillId="0" borderId="0" xfId="3" applyFont="1"/>
    <xf numFmtId="0" fontId="24" fillId="0" borderId="0" xfId="4" quotePrefix="1" applyFont="1" applyFill="1" applyBorder="1" applyAlignment="1">
      <alignment vertical="top" wrapText="1"/>
    </xf>
    <xf numFmtId="0" fontId="24" fillId="0" borderId="0" xfId="4" quotePrefix="1" applyFont="1" applyFill="1" applyBorder="1" applyAlignment="1">
      <alignment vertical="top"/>
    </xf>
    <xf numFmtId="170" fontId="24" fillId="0" borderId="0" xfId="5" quotePrefix="1" applyNumberFormat="1" applyFont="1" applyFill="1" applyBorder="1" applyAlignment="1">
      <alignment vertical="top"/>
    </xf>
    <xf numFmtId="170" fontId="24" fillId="0" borderId="0" xfId="5" applyNumberFormat="1" applyFont="1" applyFill="1" applyBorder="1" applyAlignment="1">
      <alignment vertical="top" wrapText="1"/>
    </xf>
    <xf numFmtId="0" fontId="24" fillId="0" borderId="0" xfId="4" applyFont="1" applyFill="1" applyBorder="1" applyAlignment="1">
      <alignment vertical="top"/>
    </xf>
    <xf numFmtId="0" fontId="26" fillId="0" borderId="0" xfId="4" applyFont="1" applyFill="1" applyBorder="1" applyAlignment="1">
      <alignment vertical="top"/>
    </xf>
    <xf numFmtId="0" fontId="26" fillId="0" borderId="43" xfId="4" applyFont="1" applyFill="1" applyBorder="1" applyAlignment="1">
      <alignment vertical="top" wrapText="1"/>
    </xf>
    <xf numFmtId="0" fontId="26" fillId="0" borderId="44" xfId="4" applyFont="1" applyFill="1" applyBorder="1" applyAlignment="1">
      <alignment vertical="top" wrapText="1"/>
    </xf>
    <xf numFmtId="0" fontId="26" fillId="0" borderId="45" xfId="4" applyFont="1" applyFill="1" applyBorder="1" applyAlignment="1">
      <alignment vertical="center" wrapText="1"/>
    </xf>
    <xf numFmtId="0" fontId="26" fillId="0" borderId="43" xfId="4" applyFont="1" applyFill="1" applyBorder="1" applyAlignment="1">
      <alignment horizontal="center" vertical="center" wrapText="1"/>
    </xf>
    <xf numFmtId="0" fontId="26" fillId="0" borderId="44" xfId="4" applyFont="1" applyFill="1" applyBorder="1" applyAlignment="1">
      <alignment horizontal="center" vertical="center" wrapText="1"/>
    </xf>
    <xf numFmtId="0" fontId="26" fillId="0" borderId="46" xfId="4" applyFont="1" applyFill="1" applyBorder="1" applyAlignment="1">
      <alignment horizontal="center" vertical="center" wrapText="1"/>
    </xf>
    <xf numFmtId="0" fontId="26" fillId="0" borderId="47" xfId="4" applyFont="1" applyFill="1" applyBorder="1" applyAlignment="1">
      <alignment horizontal="center" vertical="center" wrapText="1"/>
    </xf>
    <xf numFmtId="0" fontId="26" fillId="0" borderId="48" xfId="4" applyFont="1" applyFill="1" applyBorder="1" applyAlignment="1">
      <alignment horizontal="center" vertical="center" wrapText="1"/>
    </xf>
    <xf numFmtId="0" fontId="26" fillId="0" borderId="51" xfId="4" quotePrefix="1" applyFont="1" applyFill="1" applyBorder="1" applyAlignment="1">
      <alignment vertical="top" wrapText="1"/>
    </xf>
    <xf numFmtId="170" fontId="26" fillId="0" borderId="43" xfId="5" quotePrefix="1" applyNumberFormat="1" applyFont="1" applyFill="1" applyBorder="1" applyAlignment="1">
      <alignment vertical="top"/>
    </xf>
    <xf numFmtId="170" fontId="26" fillId="0" borderId="44" xfId="5" quotePrefix="1" applyNumberFormat="1" applyFont="1" applyFill="1" applyBorder="1" applyAlignment="1">
      <alignment vertical="top"/>
    </xf>
    <xf numFmtId="170" fontId="26" fillId="0" borderId="46" xfId="5" quotePrefix="1" applyNumberFormat="1" applyFont="1" applyFill="1" applyBorder="1" applyAlignment="1">
      <alignment vertical="top"/>
    </xf>
    <xf numFmtId="170" fontId="26" fillId="0" borderId="47" xfId="5" quotePrefix="1" applyNumberFormat="1" applyFont="1" applyFill="1" applyBorder="1" applyAlignment="1">
      <alignment vertical="top"/>
    </xf>
    <xf numFmtId="0" fontId="26" fillId="0" borderId="17" xfId="4" quotePrefix="1" applyFont="1" applyFill="1" applyBorder="1" applyAlignment="1">
      <alignment vertical="top" wrapText="1"/>
    </xf>
    <xf numFmtId="170" fontId="26" fillId="8" borderId="55" xfId="5" applyNumberFormat="1" applyFont="1" applyFill="1" applyBorder="1" applyAlignment="1">
      <alignment vertical="top" wrapText="1"/>
    </xf>
    <xf numFmtId="170" fontId="26" fillId="8" borderId="10" xfId="5" applyNumberFormat="1" applyFont="1" applyFill="1" applyBorder="1" applyAlignment="1">
      <alignment vertical="top" wrapText="1"/>
    </xf>
    <xf numFmtId="170" fontId="26" fillId="8" borderId="56" xfId="5" applyNumberFormat="1" applyFont="1" applyFill="1" applyBorder="1" applyAlignment="1">
      <alignment vertical="top" wrapText="1"/>
    </xf>
    <xf numFmtId="170" fontId="26" fillId="8" borderId="18" xfId="5" applyNumberFormat="1" applyFont="1" applyFill="1" applyBorder="1" applyAlignment="1">
      <alignment vertical="top" wrapText="1"/>
    </xf>
    <xf numFmtId="170" fontId="26" fillId="0" borderId="55" xfId="5" quotePrefix="1" applyNumberFormat="1" applyFont="1" applyFill="1" applyBorder="1" applyAlignment="1">
      <alignment vertical="top"/>
    </xf>
    <xf numFmtId="170" fontId="26" fillId="0" borderId="10" xfId="5" quotePrefix="1" applyNumberFormat="1" applyFont="1" applyFill="1" applyBorder="1" applyAlignment="1">
      <alignment vertical="top"/>
    </xf>
    <xf numFmtId="170" fontId="26" fillId="0" borderId="56" xfId="5" quotePrefix="1" applyNumberFormat="1" applyFont="1" applyFill="1" applyBorder="1" applyAlignment="1">
      <alignment vertical="top"/>
    </xf>
    <xf numFmtId="170" fontId="26" fillId="0" borderId="18" xfId="5" quotePrefix="1" applyNumberFormat="1" applyFont="1" applyFill="1" applyBorder="1" applyAlignment="1">
      <alignment vertical="top"/>
    </xf>
    <xf numFmtId="170" fontId="26" fillId="0" borderId="17" xfId="5" quotePrefix="1" applyNumberFormat="1" applyFont="1" applyFill="1" applyBorder="1" applyAlignment="1">
      <alignment vertical="top"/>
    </xf>
    <xf numFmtId="0" fontId="26" fillId="0" borderId="64" xfId="4" quotePrefix="1" applyFont="1" applyFill="1" applyBorder="1" applyAlignment="1">
      <alignment vertical="top" wrapText="1"/>
    </xf>
    <xf numFmtId="170" fontId="26" fillId="8" borderId="65" xfId="5" applyNumberFormat="1" applyFont="1" applyFill="1" applyBorder="1" applyAlignment="1">
      <alignment vertical="top" wrapText="1"/>
    </xf>
    <xf numFmtId="170" fontId="26" fillId="8" borderId="66" xfId="5" applyNumberFormat="1" applyFont="1" applyFill="1" applyBorder="1" applyAlignment="1">
      <alignment vertical="top" wrapText="1"/>
    </xf>
    <xf numFmtId="170" fontId="26" fillId="8" borderId="67" xfId="5" applyNumberFormat="1" applyFont="1" applyFill="1" applyBorder="1" applyAlignment="1">
      <alignment vertical="top" wrapText="1"/>
    </xf>
    <xf numFmtId="170" fontId="26" fillId="8" borderId="68" xfId="5" applyNumberFormat="1" applyFont="1" applyFill="1" applyBorder="1" applyAlignment="1">
      <alignment vertical="top" wrapText="1"/>
    </xf>
    <xf numFmtId="170" fontId="26" fillId="0" borderId="0" xfId="4" applyNumberFormat="1" applyFont="1" applyFill="1" applyBorder="1" applyAlignment="1">
      <alignment vertical="top"/>
    </xf>
    <xf numFmtId="4" fontId="3" fillId="3" borderId="0" xfId="0" applyNumberFormat="1" applyFont="1" applyFill="1" applyBorder="1" applyAlignment="1">
      <alignment horizontal="center"/>
    </xf>
    <xf numFmtId="4" fontId="3" fillId="8" borderId="0" xfId="0" applyNumberFormat="1" applyFont="1" applyFill="1" applyBorder="1" applyAlignment="1">
      <alignment horizontal="center"/>
    </xf>
    <xf numFmtId="4" fontId="21" fillId="8" borderId="0" xfId="0" applyNumberFormat="1" applyFont="1" applyFill="1" applyBorder="1" applyAlignment="1">
      <alignment horizontal="center"/>
    </xf>
    <xf numFmtId="9" fontId="21" fillId="3" borderId="0" xfId="3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/>
    </xf>
    <xf numFmtId="167" fontId="21" fillId="5" borderId="0" xfId="0" applyNumberFormat="1" applyFont="1" applyFill="1" applyBorder="1" applyAlignment="1">
      <alignment horizontal="center"/>
    </xf>
    <xf numFmtId="4" fontId="21" fillId="3" borderId="0" xfId="0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  <xf numFmtId="0" fontId="3" fillId="8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167" fontId="3" fillId="5" borderId="0" xfId="0" applyNumberFormat="1" applyFont="1" applyFill="1" applyBorder="1" applyAlignment="1">
      <alignment horizontal="center"/>
    </xf>
    <xf numFmtId="0" fontId="3" fillId="5" borderId="0" xfId="1" applyFont="1" applyFill="1" applyBorder="1" applyAlignment="1">
      <alignment horizontal="center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8" fontId="14" fillId="3" borderId="0" xfId="0" applyNumberFormat="1" applyFont="1" applyFill="1" applyBorder="1" applyAlignment="1">
      <alignment horizontal="right" vertical="center"/>
    </xf>
    <xf numFmtId="4" fontId="13" fillId="3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3" fontId="12" fillId="3" borderId="0" xfId="0" applyNumberFormat="1" applyFont="1" applyFill="1" applyBorder="1" applyAlignment="1">
      <alignment horizontal="right" vertical="center"/>
    </xf>
    <xf numFmtId="4" fontId="14" fillId="3" borderId="0" xfId="0" applyNumberFormat="1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right" vertical="center"/>
    </xf>
    <xf numFmtId="9" fontId="19" fillId="3" borderId="1" xfId="0" applyNumberFormat="1" applyFont="1" applyFill="1" applyBorder="1" applyAlignment="1">
      <alignment horizontal="center"/>
    </xf>
    <xf numFmtId="9" fontId="17" fillId="0" borderId="1" xfId="0" applyNumberFormat="1" applyFont="1" applyBorder="1" applyAlignment="1">
      <alignment horizontal="center"/>
    </xf>
    <xf numFmtId="9" fontId="17" fillId="0" borderId="8" xfId="0" applyNumberFormat="1" applyFont="1" applyBorder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165" fontId="17" fillId="0" borderId="4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6" fillId="0" borderId="40" xfId="4" applyFont="1" applyFill="1" applyBorder="1" applyAlignment="1">
      <alignment horizontal="center" vertical="top"/>
    </xf>
    <xf numFmtId="0" fontId="26" fillId="0" borderId="41" xfId="4" applyFont="1" applyFill="1" applyBorder="1" applyAlignment="1">
      <alignment horizontal="center" vertical="top"/>
    </xf>
    <xf numFmtId="0" fontId="26" fillId="0" borderId="42" xfId="4" applyFont="1" applyFill="1" applyBorder="1" applyAlignment="1">
      <alignment horizontal="center" vertical="top"/>
    </xf>
    <xf numFmtId="0" fontId="27" fillId="0" borderId="49" xfId="4" quotePrefix="1" applyFont="1" applyFill="1" applyBorder="1" applyAlignment="1">
      <alignment horizontal="left" vertical="top" wrapText="1"/>
    </xf>
    <xf numFmtId="0" fontId="27" fillId="0" borderId="53" xfId="4" quotePrefix="1" applyFont="1" applyFill="1" applyBorder="1" applyAlignment="1">
      <alignment horizontal="left" vertical="top" wrapText="1"/>
    </xf>
    <xf numFmtId="0" fontId="27" fillId="0" borderId="58" xfId="4" quotePrefix="1" applyFont="1" applyFill="1" applyBorder="1" applyAlignment="1">
      <alignment horizontal="left" vertical="top" wrapText="1"/>
    </xf>
    <xf numFmtId="0" fontId="26" fillId="0" borderId="50" xfId="4" quotePrefix="1" applyFont="1" applyFill="1" applyBorder="1" applyAlignment="1">
      <alignment horizontal="left" vertical="top" wrapText="1"/>
    </xf>
    <xf numFmtId="0" fontId="26" fillId="0" borderId="54" xfId="4" quotePrefix="1" applyFont="1" applyFill="1" applyBorder="1" applyAlignment="1">
      <alignment horizontal="left" vertical="top" wrapText="1"/>
    </xf>
    <xf numFmtId="0" fontId="26" fillId="0" borderId="14" xfId="4" quotePrefix="1" applyFont="1" applyFill="1" applyBorder="1" applyAlignment="1">
      <alignment horizontal="left" vertical="top" wrapText="1"/>
    </xf>
    <xf numFmtId="170" fontId="26" fillId="0" borderId="52" xfId="5" applyNumberFormat="1" applyFont="1" applyFill="1" applyBorder="1" applyAlignment="1">
      <alignment horizontal="center" vertical="top" wrapText="1"/>
    </xf>
    <xf numFmtId="170" fontId="26" fillId="0" borderId="57" xfId="5" applyNumberFormat="1" applyFont="1" applyFill="1" applyBorder="1" applyAlignment="1">
      <alignment horizontal="center" vertical="top" wrapText="1"/>
    </xf>
    <xf numFmtId="170" fontId="26" fillId="0" borderId="59" xfId="5" applyNumberFormat="1" applyFont="1" applyFill="1" applyBorder="1" applyAlignment="1">
      <alignment horizontal="center" vertical="top" wrapText="1"/>
    </xf>
    <xf numFmtId="0" fontId="27" fillId="0" borderId="60" xfId="4" quotePrefix="1" applyFont="1" applyFill="1" applyBorder="1" applyAlignment="1">
      <alignment horizontal="left" vertical="top" wrapText="1"/>
    </xf>
    <xf numFmtId="0" fontId="26" fillId="0" borderId="9" xfId="4" quotePrefix="1" applyFont="1" applyFill="1" applyBorder="1" applyAlignment="1">
      <alignment horizontal="left" vertical="top" wrapText="1"/>
    </xf>
    <xf numFmtId="170" fontId="26" fillId="0" borderId="61" xfId="5" applyNumberFormat="1" applyFont="1" applyFill="1" applyBorder="1" applyAlignment="1">
      <alignment horizontal="center" vertical="top" wrapText="1"/>
    </xf>
    <xf numFmtId="0" fontId="27" fillId="0" borderId="62" xfId="4" quotePrefix="1" applyFont="1" applyFill="1" applyBorder="1" applyAlignment="1">
      <alignment horizontal="left" vertical="top" wrapText="1"/>
    </xf>
    <xf numFmtId="0" fontId="26" fillId="0" borderId="63" xfId="4" quotePrefix="1" applyFont="1" applyFill="1" applyBorder="1" applyAlignment="1">
      <alignment horizontal="left" vertical="top" wrapText="1"/>
    </xf>
    <xf numFmtId="170" fontId="26" fillId="0" borderId="69" xfId="5" applyNumberFormat="1" applyFont="1" applyFill="1" applyBorder="1" applyAlignment="1">
      <alignment horizontal="center" vertical="top" wrapText="1"/>
    </xf>
  </cellXfs>
  <cellStyles count="6">
    <cellStyle name="Comma 2" xfId="2"/>
    <cellStyle name="Comma 3" xfId="5"/>
    <cellStyle name="Normal" xfId="0" builtinId="0"/>
    <cellStyle name="Normal 2" xfId="1"/>
    <cellStyle name="Normal 3" xfId="4"/>
    <cellStyle name="Percent" xfId="3" builtinId="5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5"/>
  <sheetViews>
    <sheetView topLeftCell="A64" zoomScale="125" zoomScaleNormal="125" workbookViewId="0">
      <selection activeCell="C28" sqref="C28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57" t="s">
        <v>8</v>
      </c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258" t="s">
        <v>11</v>
      </c>
      <c r="C5" s="258"/>
      <c r="D5" s="258"/>
      <c r="E5" s="258"/>
      <c r="F5" s="258"/>
      <c r="G5" s="260">
        <v>43487</v>
      </c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"/>
      <c r="S5" s="232" t="s">
        <v>9</v>
      </c>
      <c r="T5" s="232"/>
      <c r="U5" s="232"/>
      <c r="V5" s="232"/>
      <c r="W5" s="232"/>
      <c r="X5" s="232"/>
      <c r="Y5" s="222" t="s">
        <v>21</v>
      </c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258"/>
      <c r="C6" s="258"/>
      <c r="D6" s="258"/>
      <c r="E6" s="258"/>
      <c r="F6" s="258"/>
      <c r="G6" s="260"/>
      <c r="H6" s="260"/>
      <c r="I6" s="260"/>
      <c r="J6" s="260"/>
      <c r="K6" s="260"/>
      <c r="L6" s="260"/>
      <c r="M6" s="260"/>
      <c r="N6" s="260"/>
      <c r="O6" s="260"/>
      <c r="P6" s="260"/>
      <c r="Q6" s="260"/>
      <c r="R6" s="2"/>
      <c r="S6" s="235"/>
      <c r="T6" s="235"/>
      <c r="U6" s="235"/>
      <c r="V6" s="235"/>
      <c r="W6" s="235"/>
      <c r="X6" s="235"/>
      <c r="Y6" s="259" t="s">
        <v>20</v>
      </c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237" t="s">
        <v>3</v>
      </c>
      <c r="C7" s="237"/>
      <c r="D7" s="237"/>
      <c r="E7" s="237"/>
      <c r="F7" s="237"/>
      <c r="G7" s="2"/>
      <c r="H7" s="258" t="s">
        <v>17</v>
      </c>
      <c r="I7" s="258"/>
      <c r="J7" s="258"/>
      <c r="K7" s="2"/>
      <c r="L7" s="265" t="s">
        <v>18</v>
      </c>
      <c r="M7" s="265"/>
      <c r="N7" s="265"/>
      <c r="O7" s="2"/>
      <c r="P7" s="2"/>
      <c r="Q7" s="2"/>
      <c r="R7" s="2"/>
      <c r="S7" s="229" t="s">
        <v>10</v>
      </c>
      <c r="T7" s="229"/>
      <c r="U7" s="229"/>
      <c r="V7" s="229"/>
      <c r="W7" s="229"/>
      <c r="X7" s="229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237"/>
      <c r="C8" s="237"/>
      <c r="D8" s="237"/>
      <c r="E8" s="237"/>
      <c r="F8" s="237"/>
      <c r="G8" s="2"/>
      <c r="H8" s="258"/>
      <c r="I8" s="258"/>
      <c r="J8" s="258"/>
      <c r="K8" s="12"/>
      <c r="L8" s="265"/>
      <c r="M8" s="265"/>
      <c r="N8" s="265"/>
      <c r="O8" s="2"/>
      <c r="P8" s="2"/>
      <c r="Q8" s="2"/>
      <c r="R8" s="2"/>
      <c r="S8" s="232"/>
      <c r="T8" s="232"/>
      <c r="U8" s="232"/>
      <c r="V8" s="232"/>
      <c r="W8" s="232"/>
      <c r="X8" s="232"/>
      <c r="Y8" s="262" t="s">
        <v>30</v>
      </c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237"/>
      <c r="C9" s="237"/>
      <c r="D9" s="237"/>
      <c r="E9" s="237"/>
      <c r="F9" s="237"/>
      <c r="G9" s="2"/>
      <c r="H9" s="258"/>
      <c r="I9" s="258"/>
      <c r="J9" s="258"/>
      <c r="K9" s="2"/>
      <c r="L9" s="265"/>
      <c r="M9" s="265"/>
      <c r="N9" s="265"/>
      <c r="O9" s="2"/>
      <c r="P9" s="2"/>
      <c r="Q9" s="2"/>
      <c r="R9" s="2"/>
      <c r="S9" s="235"/>
      <c r="T9" s="235"/>
      <c r="U9" s="235"/>
      <c r="V9" s="235"/>
      <c r="W9" s="235"/>
      <c r="X9" s="235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228" t="s">
        <v>0</v>
      </c>
      <c r="C11" s="229"/>
      <c r="D11" s="229"/>
      <c r="E11" s="229"/>
      <c r="F11" s="229"/>
      <c r="G11" s="248" t="s">
        <v>31</v>
      </c>
      <c r="H11" s="249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50"/>
      <c r="Z11" s="238" t="s">
        <v>1</v>
      </c>
      <c r="AA11" s="229"/>
      <c r="AB11" s="229"/>
      <c r="AC11" s="229"/>
      <c r="AD11" s="230"/>
      <c r="AE11" s="15" t="s">
        <v>159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44"/>
    </row>
    <row r="12" spans="2:66" ht="15" customHeight="1">
      <c r="B12" s="231"/>
      <c r="C12" s="232"/>
      <c r="D12" s="232"/>
      <c r="E12" s="232"/>
      <c r="F12" s="232"/>
      <c r="G12" s="251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3"/>
      <c r="Z12" s="231"/>
      <c r="AA12" s="232"/>
      <c r="AB12" s="232"/>
      <c r="AC12" s="232"/>
      <c r="AD12" s="233"/>
      <c r="AE12" s="18" t="s">
        <v>160</v>
      </c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  <c r="AX12" s="45"/>
    </row>
    <row r="13" spans="2:66" ht="15" customHeight="1">
      <c r="B13" s="231"/>
      <c r="C13" s="232"/>
      <c r="D13" s="232"/>
      <c r="E13" s="232"/>
      <c r="F13" s="232"/>
      <c r="G13" s="251"/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/>
      <c r="Y13" s="253"/>
      <c r="Z13" s="231"/>
      <c r="AA13" s="232"/>
      <c r="AB13" s="232"/>
      <c r="AC13" s="232"/>
      <c r="AD13" s="233"/>
      <c r="AE13" s="18"/>
      <c r="AF13" s="18"/>
      <c r="AG13" s="19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20"/>
      <c r="AX13" s="45"/>
    </row>
    <row r="14" spans="2:66" ht="15.75" customHeight="1" thickBot="1">
      <c r="B14" s="234"/>
      <c r="C14" s="235"/>
      <c r="D14" s="235"/>
      <c r="E14" s="235"/>
      <c r="F14" s="235"/>
      <c r="G14" s="254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6"/>
      <c r="Z14" s="234"/>
      <c r="AA14" s="235"/>
      <c r="AB14" s="235"/>
      <c r="AC14" s="235"/>
      <c r="AD14" s="236"/>
      <c r="AE14" s="18"/>
      <c r="AF14" s="18"/>
      <c r="AG14" s="19"/>
      <c r="AH14" s="18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2"/>
      <c r="AX14" s="46"/>
      <c r="BE14" s="227"/>
      <c r="BF14" s="227"/>
    </row>
    <row r="15" spans="2:66" ht="14.25" customHeight="1">
      <c r="B15" s="228" t="s">
        <v>22</v>
      </c>
      <c r="C15" s="229"/>
      <c r="D15" s="229"/>
      <c r="E15" s="229"/>
      <c r="F15" s="230"/>
      <c r="G15" s="23" t="s">
        <v>23</v>
      </c>
      <c r="H15" s="24" t="s">
        <v>32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39" t="s">
        <v>24</v>
      </c>
      <c r="AA15" s="240"/>
      <c r="AB15" s="240"/>
      <c r="AC15" s="240"/>
      <c r="AD15" s="241"/>
      <c r="AE15" s="25" t="s">
        <v>23</v>
      </c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7"/>
      <c r="BE15" s="227"/>
      <c r="BF15" s="227"/>
    </row>
    <row r="16" spans="2:66">
      <c r="B16" s="231"/>
      <c r="C16" s="232"/>
      <c r="D16" s="232"/>
      <c r="E16" s="232"/>
      <c r="F16" s="233"/>
      <c r="G16" s="2" t="s">
        <v>23</v>
      </c>
      <c r="H16" s="2" t="s">
        <v>33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42"/>
      <c r="AA16" s="243"/>
      <c r="AB16" s="243"/>
      <c r="AC16" s="243"/>
      <c r="AD16" s="244"/>
      <c r="AE16" s="28" t="s">
        <v>23</v>
      </c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9"/>
    </row>
    <row r="17" spans="2:50">
      <c r="B17" s="231"/>
      <c r="C17" s="232"/>
      <c r="D17" s="232"/>
      <c r="E17" s="232"/>
      <c r="F17" s="233"/>
      <c r="G17" s="2" t="s">
        <v>23</v>
      </c>
      <c r="H17" s="30" t="s">
        <v>154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242"/>
      <c r="AA17" s="243"/>
      <c r="AB17" s="243"/>
      <c r="AC17" s="243"/>
      <c r="AD17" s="244"/>
      <c r="AE17" s="28" t="s">
        <v>23</v>
      </c>
      <c r="AF17" s="31"/>
      <c r="AG17" s="3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9"/>
    </row>
    <row r="18" spans="2:50">
      <c r="B18" s="231"/>
      <c r="C18" s="232"/>
      <c r="D18" s="232"/>
      <c r="E18" s="232"/>
      <c r="F18" s="233"/>
      <c r="G18" s="2" t="s">
        <v>23</v>
      </c>
      <c r="H18" s="30" t="s">
        <v>155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242"/>
      <c r="AA18" s="243"/>
      <c r="AB18" s="243"/>
      <c r="AC18" s="243"/>
      <c r="AD18" s="244"/>
      <c r="AE18" s="28" t="s">
        <v>23</v>
      </c>
      <c r="AF18" s="31"/>
      <c r="AG18" s="32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9"/>
    </row>
    <row r="19" spans="2:50">
      <c r="B19" s="231"/>
      <c r="C19" s="232"/>
      <c r="D19" s="232"/>
      <c r="E19" s="232"/>
      <c r="F19" s="233"/>
      <c r="G19" s="2" t="s">
        <v>23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42"/>
      <c r="AA19" s="243"/>
      <c r="AB19" s="243"/>
      <c r="AC19" s="243"/>
      <c r="AD19" s="244"/>
      <c r="AE19" s="28" t="s">
        <v>23</v>
      </c>
      <c r="AF19" s="31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9"/>
    </row>
    <row r="20" spans="2:50" ht="15" thickBot="1">
      <c r="B20" s="234"/>
      <c r="C20" s="235"/>
      <c r="D20" s="235"/>
      <c r="E20" s="235"/>
      <c r="F20" s="236"/>
      <c r="G20" s="33" t="s">
        <v>23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245"/>
      <c r="AA20" s="246"/>
      <c r="AB20" s="246"/>
      <c r="AC20" s="246"/>
      <c r="AD20" s="247"/>
      <c r="AE20" s="35" t="s">
        <v>23</v>
      </c>
      <c r="AF20" s="36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7"/>
    </row>
    <row r="21" spans="2:50" ht="13.5" customHeight="1">
      <c r="B21" s="231" t="s">
        <v>2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  <c r="AT21" s="232"/>
      <c r="AU21" s="232"/>
      <c r="AV21" s="232"/>
      <c r="AW21" s="232"/>
      <c r="AX21" s="233"/>
    </row>
    <row r="22" spans="2:50">
      <c r="B22" s="3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9"/>
    </row>
    <row r="23" spans="2:50">
      <c r="B23" s="176" t="s">
        <v>161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9"/>
    </row>
    <row r="24" spans="2:50">
      <c r="B24" s="38" t="s">
        <v>23</v>
      </c>
      <c r="C24" s="2" t="s">
        <v>177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9"/>
    </row>
    <row r="25" spans="2:50">
      <c r="B25" s="38"/>
      <c r="C25" s="2" t="s">
        <v>183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39"/>
    </row>
    <row r="26" spans="2:50">
      <c r="B26" s="3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39"/>
    </row>
    <row r="27" spans="2:50">
      <c r="B27" s="38" t="s">
        <v>23</v>
      </c>
      <c r="C27" s="2" t="s">
        <v>198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39"/>
    </row>
    <row r="28" spans="2:50">
      <c r="B28" s="3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39"/>
    </row>
    <row r="29" spans="2:50">
      <c r="B29" s="3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22" t="s">
        <v>181</v>
      </c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"/>
      <c r="AF29" s="2"/>
      <c r="AG29" s="224" t="s">
        <v>182</v>
      </c>
      <c r="AH29" s="224"/>
      <c r="AI29" s="224"/>
      <c r="AJ29" s="224"/>
      <c r="AK29" s="224"/>
      <c r="AL29" s="224"/>
      <c r="AM29" s="224"/>
      <c r="AN29" s="224"/>
      <c r="AO29" s="2"/>
      <c r="AP29" s="2"/>
      <c r="AQ29" s="2"/>
      <c r="AR29" s="2"/>
      <c r="AS29" s="2"/>
      <c r="AT29" s="2"/>
      <c r="AU29" s="2"/>
      <c r="AV29" s="2"/>
      <c r="AW29" s="2"/>
      <c r="AX29" s="39"/>
    </row>
    <row r="30" spans="2:50">
      <c r="B30" s="3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22" t="s">
        <v>180</v>
      </c>
      <c r="P30" s="222"/>
      <c r="Q30" s="222"/>
      <c r="R30" s="222"/>
      <c r="S30" s="222"/>
      <c r="T30" s="222"/>
      <c r="U30" s="222"/>
      <c r="V30" s="222"/>
      <c r="W30" s="222" t="s">
        <v>179</v>
      </c>
      <c r="X30" s="222"/>
      <c r="Y30" s="222"/>
      <c r="Z30" s="222"/>
      <c r="AA30" s="222"/>
      <c r="AB30" s="222"/>
      <c r="AC30" s="222"/>
      <c r="AD30" s="222"/>
      <c r="AE30" s="2"/>
      <c r="AF30" s="2"/>
      <c r="AG30" s="224" t="s">
        <v>156</v>
      </c>
      <c r="AH30" s="224"/>
      <c r="AI30" s="224"/>
      <c r="AJ30" s="224"/>
      <c r="AK30" s="224" t="s">
        <v>178</v>
      </c>
      <c r="AL30" s="224"/>
      <c r="AM30" s="224"/>
      <c r="AN30" s="224"/>
      <c r="AO30" s="2"/>
      <c r="AP30" s="2"/>
      <c r="AQ30" s="2"/>
      <c r="AR30" s="2"/>
      <c r="AS30" s="2"/>
      <c r="AT30" s="2"/>
      <c r="AU30" s="2"/>
      <c r="AV30" s="2"/>
      <c r="AW30" s="2"/>
      <c r="AX30" s="39"/>
    </row>
    <row r="31" spans="2:50"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22" t="s">
        <v>157</v>
      </c>
      <c r="P31" s="222"/>
      <c r="Q31" s="222"/>
      <c r="R31" s="222"/>
      <c r="S31" s="222" t="s">
        <v>158</v>
      </c>
      <c r="T31" s="222"/>
      <c r="U31" s="222"/>
      <c r="V31" s="222"/>
      <c r="W31" s="226" t="s">
        <v>157</v>
      </c>
      <c r="X31" s="226"/>
      <c r="Y31" s="226"/>
      <c r="Z31" s="226"/>
      <c r="AA31" s="222" t="s">
        <v>158</v>
      </c>
      <c r="AB31" s="222"/>
      <c r="AC31" s="222"/>
      <c r="AD31" s="222"/>
      <c r="AE31" s="2"/>
      <c r="AF31" s="2"/>
      <c r="AG31" s="222" t="s">
        <v>158</v>
      </c>
      <c r="AH31" s="222"/>
      <c r="AI31" s="222"/>
      <c r="AJ31" s="222"/>
      <c r="AK31" s="223" t="s">
        <v>158</v>
      </c>
      <c r="AL31" s="223"/>
      <c r="AM31" s="223"/>
      <c r="AN31" s="223"/>
      <c r="AO31" s="2"/>
      <c r="AP31" s="2"/>
      <c r="AQ31" s="2"/>
      <c r="AR31" s="2"/>
      <c r="AS31" s="2"/>
      <c r="AT31" s="2"/>
      <c r="AU31" s="2"/>
      <c r="AV31" s="2"/>
      <c r="AW31" s="2"/>
      <c r="AX31" s="39"/>
    </row>
    <row r="32" spans="2:50">
      <c r="B32" s="38"/>
      <c r="C32" s="174" t="s">
        <v>108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19">
        <v>0.8175</v>
      </c>
      <c r="P32" s="219"/>
      <c r="Q32" s="219"/>
      <c r="R32" s="219"/>
      <c r="S32" s="215">
        <f>O32/0.0372</f>
        <v>21.975806451612904</v>
      </c>
      <c r="T32" s="215"/>
      <c r="U32" s="215"/>
      <c r="V32" s="215"/>
      <c r="W32" s="225">
        <v>0.8175</v>
      </c>
      <c r="X32" s="225"/>
      <c r="Y32" s="225"/>
      <c r="Z32" s="225"/>
      <c r="AA32" s="215">
        <f>W32/0.0372</f>
        <v>21.975806451612904</v>
      </c>
      <c r="AB32" s="215"/>
      <c r="AC32" s="215"/>
      <c r="AD32" s="215"/>
      <c r="AE32" s="2"/>
      <c r="AF32" s="2"/>
      <c r="AG32" s="215">
        <v>25</v>
      </c>
      <c r="AH32" s="215"/>
      <c r="AI32" s="215"/>
      <c r="AJ32" s="215"/>
      <c r="AK32" s="216">
        <f>AG32</f>
        <v>25</v>
      </c>
      <c r="AL32" s="216"/>
      <c r="AM32" s="216"/>
      <c r="AN32" s="216"/>
      <c r="AO32" s="2"/>
      <c r="AP32" s="2"/>
      <c r="AQ32" s="2"/>
      <c r="AR32" s="2"/>
      <c r="AS32" s="2"/>
      <c r="AT32" s="2"/>
      <c r="AU32" s="2"/>
      <c r="AV32" s="2"/>
      <c r="AW32" s="2"/>
      <c r="AX32" s="39"/>
    </row>
    <row r="33" spans="2:50">
      <c r="B33" s="38"/>
      <c r="C33" s="174" t="s">
        <v>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19">
        <v>0.60940000000000005</v>
      </c>
      <c r="P33" s="219"/>
      <c r="Q33" s="219"/>
      <c r="R33" s="219"/>
      <c r="S33" s="215">
        <f t="shared" ref="S33:S43" si="0">O33/0.0372</f>
        <v>16.381720430107528</v>
      </c>
      <c r="T33" s="215"/>
      <c r="U33" s="215"/>
      <c r="V33" s="215"/>
      <c r="W33" s="220">
        <f>O33*0.97</f>
        <v>0.59111800000000003</v>
      </c>
      <c r="X33" s="220"/>
      <c r="Y33" s="220"/>
      <c r="Z33" s="220"/>
      <c r="AA33" s="221">
        <f t="shared" ref="AA33:AA43" si="1">W33/0.0372</f>
        <v>15.890268817204303</v>
      </c>
      <c r="AB33" s="221"/>
      <c r="AC33" s="221"/>
      <c r="AD33" s="221"/>
      <c r="AE33" s="218">
        <f>(W33/O33)-1</f>
        <v>-3.0000000000000027E-2</v>
      </c>
      <c r="AF33" s="218"/>
      <c r="AG33" s="215">
        <v>17</v>
      </c>
      <c r="AH33" s="215"/>
      <c r="AI33" s="215"/>
      <c r="AJ33" s="215"/>
      <c r="AK33" s="217">
        <f>AG33*0.99</f>
        <v>16.829999999999998</v>
      </c>
      <c r="AL33" s="217"/>
      <c r="AM33" s="217"/>
      <c r="AN33" s="217"/>
      <c r="AO33" s="218">
        <f>(AK33/AG33)-1</f>
        <v>-1.000000000000012E-2</v>
      </c>
      <c r="AP33" s="218"/>
      <c r="AQ33" s="2"/>
      <c r="AR33" s="2"/>
      <c r="AS33" s="2"/>
      <c r="AT33" s="2"/>
      <c r="AU33" s="2"/>
      <c r="AV33" s="2"/>
      <c r="AW33" s="2"/>
      <c r="AX33" s="39"/>
    </row>
    <row r="34" spans="2:50">
      <c r="B34" s="38"/>
      <c r="C34" s="174" t="s">
        <v>109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19">
        <v>0.46050000000000002</v>
      </c>
      <c r="P34" s="219"/>
      <c r="Q34" s="219"/>
      <c r="R34" s="219"/>
      <c r="S34" s="215">
        <f t="shared" si="0"/>
        <v>12.379032258064518</v>
      </c>
      <c r="T34" s="215"/>
      <c r="U34" s="215"/>
      <c r="V34" s="215"/>
      <c r="W34" s="220">
        <f t="shared" ref="W34:W39" si="2">O34*0.97</f>
        <v>0.446685</v>
      </c>
      <c r="X34" s="220"/>
      <c r="Y34" s="220"/>
      <c r="Z34" s="220"/>
      <c r="AA34" s="221">
        <f t="shared" si="1"/>
        <v>12.007661290322581</v>
      </c>
      <c r="AB34" s="221"/>
      <c r="AC34" s="221"/>
      <c r="AD34" s="221"/>
      <c r="AE34" s="218">
        <f t="shared" ref="AE34:AE39" si="3">(W34/O34)-1</f>
        <v>-3.0000000000000027E-2</v>
      </c>
      <c r="AF34" s="218"/>
      <c r="AG34" s="215">
        <v>13.07</v>
      </c>
      <c r="AH34" s="215"/>
      <c r="AI34" s="215"/>
      <c r="AJ34" s="215"/>
      <c r="AK34" s="217">
        <f>AG34*0.97</f>
        <v>12.677899999999999</v>
      </c>
      <c r="AL34" s="217"/>
      <c r="AM34" s="217"/>
      <c r="AN34" s="217"/>
      <c r="AO34" s="218">
        <f t="shared" ref="AO34:AO39" si="4">(AK34/AG34)-1</f>
        <v>-3.0000000000000027E-2</v>
      </c>
      <c r="AP34" s="218"/>
      <c r="AQ34" s="2"/>
      <c r="AR34" s="2"/>
      <c r="AS34" s="2"/>
      <c r="AT34" s="2"/>
      <c r="AU34" s="2"/>
      <c r="AV34" s="2"/>
      <c r="AW34" s="2"/>
      <c r="AX34" s="39"/>
    </row>
    <row r="35" spans="2:50">
      <c r="B35" s="38"/>
      <c r="C35" s="174" t="s">
        <v>110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19">
        <v>0.46050000000000002</v>
      </c>
      <c r="P35" s="219"/>
      <c r="Q35" s="219"/>
      <c r="R35" s="219"/>
      <c r="S35" s="215">
        <f t="shared" si="0"/>
        <v>12.379032258064518</v>
      </c>
      <c r="T35" s="215"/>
      <c r="U35" s="215"/>
      <c r="V35" s="215"/>
      <c r="W35" s="220">
        <f t="shared" si="2"/>
        <v>0.446685</v>
      </c>
      <c r="X35" s="220"/>
      <c r="Y35" s="220"/>
      <c r="Z35" s="220"/>
      <c r="AA35" s="221">
        <f t="shared" si="1"/>
        <v>12.007661290322581</v>
      </c>
      <c r="AB35" s="221"/>
      <c r="AC35" s="221"/>
      <c r="AD35" s="221"/>
      <c r="AE35" s="218">
        <f t="shared" si="3"/>
        <v>-3.0000000000000027E-2</v>
      </c>
      <c r="AF35" s="218"/>
      <c r="AG35" s="215">
        <v>13.07</v>
      </c>
      <c r="AH35" s="215"/>
      <c r="AI35" s="215"/>
      <c r="AJ35" s="215"/>
      <c r="AK35" s="217">
        <f t="shared" ref="AK35:AK39" si="5">AG35*0.97</f>
        <v>12.677899999999999</v>
      </c>
      <c r="AL35" s="217"/>
      <c r="AM35" s="217"/>
      <c r="AN35" s="217"/>
      <c r="AO35" s="218">
        <f t="shared" si="4"/>
        <v>-3.0000000000000027E-2</v>
      </c>
      <c r="AP35" s="218"/>
      <c r="AQ35" s="2"/>
      <c r="AR35" s="2"/>
      <c r="AS35" s="2"/>
      <c r="AT35" s="2"/>
      <c r="AU35" s="2"/>
      <c r="AV35" s="2"/>
      <c r="AW35" s="2"/>
      <c r="AX35" s="39"/>
    </row>
    <row r="36" spans="2:50">
      <c r="B36" s="38"/>
      <c r="C36" s="174" t="s">
        <v>111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19">
        <v>0.46050000000000002</v>
      </c>
      <c r="P36" s="219"/>
      <c r="Q36" s="219"/>
      <c r="R36" s="219"/>
      <c r="S36" s="215">
        <f t="shared" si="0"/>
        <v>12.379032258064518</v>
      </c>
      <c r="T36" s="215"/>
      <c r="U36" s="215"/>
      <c r="V36" s="215"/>
      <c r="W36" s="220">
        <f t="shared" si="2"/>
        <v>0.446685</v>
      </c>
      <c r="X36" s="220"/>
      <c r="Y36" s="220"/>
      <c r="Z36" s="220"/>
      <c r="AA36" s="221">
        <f t="shared" si="1"/>
        <v>12.007661290322581</v>
      </c>
      <c r="AB36" s="221"/>
      <c r="AC36" s="221"/>
      <c r="AD36" s="221"/>
      <c r="AE36" s="218">
        <f t="shared" si="3"/>
        <v>-3.0000000000000027E-2</v>
      </c>
      <c r="AF36" s="218"/>
      <c r="AG36" s="215">
        <v>13.07</v>
      </c>
      <c r="AH36" s="215"/>
      <c r="AI36" s="215"/>
      <c r="AJ36" s="215"/>
      <c r="AK36" s="217">
        <f t="shared" si="5"/>
        <v>12.677899999999999</v>
      </c>
      <c r="AL36" s="217"/>
      <c r="AM36" s="217"/>
      <c r="AN36" s="217"/>
      <c r="AO36" s="218">
        <f t="shared" si="4"/>
        <v>-3.0000000000000027E-2</v>
      </c>
      <c r="AP36" s="218"/>
      <c r="AQ36" s="2"/>
      <c r="AR36" s="2"/>
      <c r="AS36" s="2"/>
      <c r="AT36" s="2"/>
      <c r="AU36" s="2"/>
      <c r="AV36" s="2"/>
      <c r="AW36" s="2"/>
      <c r="AX36" s="39"/>
    </row>
    <row r="37" spans="2:50">
      <c r="B37" s="38"/>
      <c r="C37" s="174" t="s">
        <v>112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19">
        <v>0.47389999999999999</v>
      </c>
      <c r="P37" s="219"/>
      <c r="Q37" s="219"/>
      <c r="R37" s="219"/>
      <c r="S37" s="215">
        <f t="shared" si="0"/>
        <v>12.739247311827958</v>
      </c>
      <c r="T37" s="215"/>
      <c r="U37" s="215"/>
      <c r="V37" s="215"/>
      <c r="W37" s="220">
        <f t="shared" si="2"/>
        <v>0.45968299999999995</v>
      </c>
      <c r="X37" s="220"/>
      <c r="Y37" s="220"/>
      <c r="Z37" s="220"/>
      <c r="AA37" s="221">
        <f t="shared" si="1"/>
        <v>12.357069892473119</v>
      </c>
      <c r="AB37" s="221"/>
      <c r="AC37" s="221"/>
      <c r="AD37" s="221"/>
      <c r="AE37" s="218">
        <f t="shared" si="3"/>
        <v>-3.0000000000000027E-2</v>
      </c>
      <c r="AF37" s="218"/>
      <c r="AG37" s="215">
        <v>13.45</v>
      </c>
      <c r="AH37" s="215"/>
      <c r="AI37" s="215"/>
      <c r="AJ37" s="215"/>
      <c r="AK37" s="217">
        <f t="shared" si="5"/>
        <v>13.046499999999998</v>
      </c>
      <c r="AL37" s="217"/>
      <c r="AM37" s="217"/>
      <c r="AN37" s="217"/>
      <c r="AO37" s="218">
        <f t="shared" si="4"/>
        <v>-3.0000000000000027E-2</v>
      </c>
      <c r="AP37" s="218"/>
      <c r="AQ37" s="2"/>
      <c r="AR37" s="2"/>
      <c r="AS37" s="2"/>
      <c r="AT37" s="2"/>
      <c r="AU37" s="2"/>
      <c r="AV37" s="2"/>
      <c r="AW37" s="2"/>
      <c r="AX37" s="39"/>
    </row>
    <row r="38" spans="2:50">
      <c r="B38" s="38"/>
      <c r="C38" s="174" t="s">
        <v>113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19">
        <v>0.47389999999999999</v>
      </c>
      <c r="P38" s="219"/>
      <c r="Q38" s="219"/>
      <c r="R38" s="219"/>
      <c r="S38" s="215">
        <f t="shared" si="0"/>
        <v>12.739247311827958</v>
      </c>
      <c r="T38" s="215"/>
      <c r="U38" s="215"/>
      <c r="V38" s="215"/>
      <c r="W38" s="220">
        <f t="shared" si="2"/>
        <v>0.45968299999999995</v>
      </c>
      <c r="X38" s="220"/>
      <c r="Y38" s="220"/>
      <c r="Z38" s="220"/>
      <c r="AA38" s="221">
        <f t="shared" si="1"/>
        <v>12.357069892473119</v>
      </c>
      <c r="AB38" s="221"/>
      <c r="AC38" s="221"/>
      <c r="AD38" s="221"/>
      <c r="AE38" s="218">
        <f t="shared" si="3"/>
        <v>-3.0000000000000027E-2</v>
      </c>
      <c r="AF38" s="218"/>
      <c r="AG38" s="215">
        <v>13.45</v>
      </c>
      <c r="AH38" s="215"/>
      <c r="AI38" s="215"/>
      <c r="AJ38" s="215"/>
      <c r="AK38" s="217">
        <f t="shared" si="5"/>
        <v>13.046499999999998</v>
      </c>
      <c r="AL38" s="217"/>
      <c r="AM38" s="217"/>
      <c r="AN38" s="217"/>
      <c r="AO38" s="218">
        <f t="shared" si="4"/>
        <v>-3.0000000000000027E-2</v>
      </c>
      <c r="AP38" s="218"/>
      <c r="AQ38" s="2"/>
      <c r="AR38" s="2"/>
      <c r="AS38" s="2"/>
      <c r="AT38" s="2"/>
      <c r="AU38" s="2"/>
      <c r="AV38" s="2"/>
      <c r="AW38" s="2"/>
      <c r="AX38" s="39"/>
    </row>
    <row r="39" spans="2:50">
      <c r="B39" s="38"/>
      <c r="C39" s="174" t="s">
        <v>114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19">
        <v>0.47389999999999999</v>
      </c>
      <c r="P39" s="219"/>
      <c r="Q39" s="219"/>
      <c r="R39" s="219"/>
      <c r="S39" s="215">
        <f t="shared" si="0"/>
        <v>12.739247311827958</v>
      </c>
      <c r="T39" s="215"/>
      <c r="U39" s="215"/>
      <c r="V39" s="215"/>
      <c r="W39" s="220">
        <f t="shared" si="2"/>
        <v>0.45968299999999995</v>
      </c>
      <c r="X39" s="220"/>
      <c r="Y39" s="220"/>
      <c r="Z39" s="220"/>
      <c r="AA39" s="221">
        <f t="shared" si="1"/>
        <v>12.357069892473119</v>
      </c>
      <c r="AB39" s="221"/>
      <c r="AC39" s="221"/>
      <c r="AD39" s="221"/>
      <c r="AE39" s="218">
        <f t="shared" si="3"/>
        <v>-3.0000000000000027E-2</v>
      </c>
      <c r="AF39" s="218"/>
      <c r="AG39" s="215">
        <v>13.45</v>
      </c>
      <c r="AH39" s="215"/>
      <c r="AI39" s="215"/>
      <c r="AJ39" s="215"/>
      <c r="AK39" s="217">
        <f t="shared" si="5"/>
        <v>13.046499999999998</v>
      </c>
      <c r="AL39" s="217"/>
      <c r="AM39" s="217"/>
      <c r="AN39" s="217"/>
      <c r="AO39" s="218">
        <f t="shared" si="4"/>
        <v>-3.0000000000000027E-2</v>
      </c>
      <c r="AP39" s="218"/>
      <c r="AQ39" s="2"/>
      <c r="AR39" s="2"/>
      <c r="AS39" s="2"/>
      <c r="AT39" s="2"/>
      <c r="AU39" s="2"/>
      <c r="AV39" s="2"/>
      <c r="AW39" s="2"/>
      <c r="AX39" s="39"/>
    </row>
    <row r="40" spans="2:50">
      <c r="B40" s="38"/>
      <c r="C40" s="173" t="s">
        <v>119</v>
      </c>
      <c r="D40" s="2"/>
      <c r="E40" s="2"/>
      <c r="F40" s="2"/>
      <c r="G40" s="2"/>
      <c r="H40" s="2"/>
      <c r="I40" s="175" t="s">
        <v>115</v>
      </c>
      <c r="J40" s="2"/>
      <c r="K40" s="2"/>
      <c r="L40" s="2"/>
      <c r="M40" s="2"/>
      <c r="N40" s="2"/>
      <c r="O40" s="219">
        <v>0.94930000000000003</v>
      </c>
      <c r="P40" s="219"/>
      <c r="Q40" s="219"/>
      <c r="R40" s="219"/>
      <c r="S40" s="215">
        <f t="shared" si="0"/>
        <v>25.518817204301079</v>
      </c>
      <c r="T40" s="215"/>
      <c r="U40" s="215"/>
      <c r="V40" s="215"/>
      <c r="W40" s="225">
        <v>0.94930000000000003</v>
      </c>
      <c r="X40" s="225"/>
      <c r="Y40" s="225"/>
      <c r="Z40" s="225"/>
      <c r="AA40" s="215">
        <f t="shared" si="1"/>
        <v>25.518817204301079</v>
      </c>
      <c r="AB40" s="215"/>
      <c r="AC40" s="215"/>
      <c r="AD40" s="215"/>
      <c r="AE40" s="2"/>
      <c r="AF40" s="2"/>
      <c r="AG40" s="215">
        <v>26.94</v>
      </c>
      <c r="AH40" s="215"/>
      <c r="AI40" s="215"/>
      <c r="AJ40" s="215"/>
      <c r="AK40" s="216">
        <f>AG40</f>
        <v>26.94</v>
      </c>
      <c r="AL40" s="216"/>
      <c r="AM40" s="216"/>
      <c r="AN40" s="216"/>
      <c r="AO40" s="2"/>
      <c r="AP40" s="2"/>
      <c r="AQ40" s="2"/>
      <c r="AR40" s="2"/>
      <c r="AS40" s="2"/>
      <c r="AT40" s="2"/>
      <c r="AU40" s="2"/>
      <c r="AV40" s="2"/>
      <c r="AW40" s="2"/>
      <c r="AX40" s="39"/>
    </row>
    <row r="41" spans="2:50" ht="15" customHeight="1">
      <c r="B41" s="38"/>
      <c r="C41" s="173" t="s">
        <v>120</v>
      </c>
      <c r="D41" s="2"/>
      <c r="E41" s="2"/>
      <c r="F41" s="2"/>
      <c r="G41" s="2"/>
      <c r="H41" s="2"/>
      <c r="I41" s="175" t="s">
        <v>116</v>
      </c>
      <c r="J41" s="2"/>
      <c r="K41" s="2"/>
      <c r="L41" s="2"/>
      <c r="M41" s="2"/>
      <c r="N41" s="2"/>
      <c r="O41" s="219">
        <v>1.9097999999999999</v>
      </c>
      <c r="P41" s="219"/>
      <c r="Q41" s="219"/>
      <c r="R41" s="219"/>
      <c r="S41" s="215">
        <f t="shared" si="0"/>
        <v>51.338709677419359</v>
      </c>
      <c r="T41" s="215"/>
      <c r="U41" s="215"/>
      <c r="V41" s="215"/>
      <c r="W41" s="225">
        <v>1.9097999999999999</v>
      </c>
      <c r="X41" s="225"/>
      <c r="Y41" s="225"/>
      <c r="Z41" s="225"/>
      <c r="AA41" s="215">
        <f t="shared" si="1"/>
        <v>51.338709677419359</v>
      </c>
      <c r="AB41" s="215"/>
      <c r="AC41" s="215"/>
      <c r="AD41" s="215"/>
      <c r="AE41" s="2"/>
      <c r="AF41" s="2"/>
      <c r="AG41" s="215">
        <v>54.52</v>
      </c>
      <c r="AH41" s="215"/>
      <c r="AI41" s="215"/>
      <c r="AJ41" s="215"/>
      <c r="AK41" s="216">
        <f t="shared" ref="AK41:AK43" si="6">AG41</f>
        <v>54.52</v>
      </c>
      <c r="AL41" s="216"/>
      <c r="AM41" s="216"/>
      <c r="AN41" s="216"/>
      <c r="AO41" s="2"/>
      <c r="AP41" s="2"/>
      <c r="AQ41" s="2"/>
      <c r="AR41" s="2"/>
      <c r="AS41" s="2"/>
      <c r="AT41" s="2"/>
      <c r="AU41" s="2"/>
      <c r="AV41" s="2"/>
      <c r="AW41" s="2"/>
      <c r="AX41" s="39"/>
    </row>
    <row r="42" spans="2:50">
      <c r="B42" s="38"/>
      <c r="C42" s="173" t="s">
        <v>121</v>
      </c>
      <c r="D42" s="2"/>
      <c r="E42" s="2"/>
      <c r="F42" s="2"/>
      <c r="G42" s="2"/>
      <c r="H42" s="2"/>
      <c r="I42" s="175" t="s">
        <v>117</v>
      </c>
      <c r="J42" s="2"/>
      <c r="K42" s="2"/>
      <c r="L42" s="2"/>
      <c r="M42" s="2"/>
      <c r="N42" s="2"/>
      <c r="O42" s="219">
        <v>3.9847000000000001</v>
      </c>
      <c r="P42" s="219"/>
      <c r="Q42" s="219"/>
      <c r="R42" s="219"/>
      <c r="S42" s="215">
        <f t="shared" si="0"/>
        <v>107.11559139784947</v>
      </c>
      <c r="T42" s="215"/>
      <c r="U42" s="215"/>
      <c r="V42" s="215"/>
      <c r="W42" s="225">
        <v>3.9847000000000001</v>
      </c>
      <c r="X42" s="225"/>
      <c r="Y42" s="225"/>
      <c r="Z42" s="225"/>
      <c r="AA42" s="215">
        <f t="shared" si="1"/>
        <v>107.11559139784947</v>
      </c>
      <c r="AB42" s="215"/>
      <c r="AC42" s="215"/>
      <c r="AD42" s="215"/>
      <c r="AE42" s="2"/>
      <c r="AF42" s="2"/>
      <c r="AG42" s="215">
        <v>113.07</v>
      </c>
      <c r="AH42" s="215"/>
      <c r="AI42" s="215"/>
      <c r="AJ42" s="215"/>
      <c r="AK42" s="216">
        <f t="shared" si="6"/>
        <v>113.07</v>
      </c>
      <c r="AL42" s="216"/>
      <c r="AM42" s="216"/>
      <c r="AN42" s="216"/>
      <c r="AO42" s="2"/>
      <c r="AP42" s="2"/>
      <c r="AQ42" s="2"/>
      <c r="AR42" s="2"/>
      <c r="AS42" s="2"/>
      <c r="AT42" s="2"/>
      <c r="AU42" s="2"/>
      <c r="AV42" s="2"/>
      <c r="AW42" s="2"/>
      <c r="AX42" s="39"/>
    </row>
    <row r="43" spans="2:50" ht="14.25" customHeight="1">
      <c r="B43" s="38"/>
      <c r="C43" s="173" t="s">
        <v>122</v>
      </c>
      <c r="D43" s="2"/>
      <c r="E43" s="2"/>
      <c r="F43" s="2"/>
      <c r="G43" s="2"/>
      <c r="H43" s="2"/>
      <c r="I43" s="174" t="s">
        <v>118</v>
      </c>
      <c r="J43" s="2"/>
      <c r="K43" s="2"/>
      <c r="L43" s="2"/>
      <c r="M43" s="2"/>
      <c r="N43" s="2"/>
      <c r="O43" s="219">
        <v>1.2827999999999999</v>
      </c>
      <c r="P43" s="219"/>
      <c r="Q43" s="219"/>
      <c r="R43" s="219"/>
      <c r="S43" s="215">
        <f t="shared" si="0"/>
        <v>34.483870967741936</v>
      </c>
      <c r="T43" s="215"/>
      <c r="U43" s="215"/>
      <c r="V43" s="215"/>
      <c r="W43" s="225">
        <v>1.2827999999999999</v>
      </c>
      <c r="X43" s="225"/>
      <c r="Y43" s="225"/>
      <c r="Z43" s="225"/>
      <c r="AA43" s="215">
        <f t="shared" si="1"/>
        <v>34.483870967741936</v>
      </c>
      <c r="AB43" s="215"/>
      <c r="AC43" s="215"/>
      <c r="AD43" s="215"/>
      <c r="AE43" s="2"/>
      <c r="AF43" s="2"/>
      <c r="AG43" s="215">
        <v>36.549999999999997</v>
      </c>
      <c r="AH43" s="215"/>
      <c r="AI43" s="215"/>
      <c r="AJ43" s="215"/>
      <c r="AK43" s="216">
        <f t="shared" si="6"/>
        <v>36.549999999999997</v>
      </c>
      <c r="AL43" s="216"/>
      <c r="AM43" s="216"/>
      <c r="AN43" s="216"/>
      <c r="AO43" s="2"/>
      <c r="AP43" s="2"/>
      <c r="AQ43" s="2"/>
      <c r="AR43" s="2"/>
      <c r="AS43" s="2"/>
      <c r="AT43" s="2"/>
      <c r="AU43" s="2"/>
      <c r="AV43" s="2"/>
      <c r="AW43" s="2"/>
      <c r="AX43" s="39"/>
    </row>
    <row r="44" spans="2:50"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39"/>
    </row>
    <row r="45" spans="2:50" ht="15" customHeight="1">
      <c r="B45" s="176" t="s">
        <v>184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39"/>
    </row>
    <row r="46" spans="2:50" ht="15" customHeight="1">
      <c r="B46" s="38" t="s">
        <v>23</v>
      </c>
      <c r="C46" s="2" t="s">
        <v>195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39"/>
    </row>
    <row r="47" spans="2:50" ht="15" customHeight="1">
      <c r="B47" s="3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39"/>
    </row>
    <row r="48" spans="2:50" ht="15" customHeight="1">
      <c r="B48" s="3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 t="s">
        <v>178</v>
      </c>
      <c r="P48" s="2"/>
      <c r="Q48" s="2"/>
      <c r="R48" s="2"/>
      <c r="S48" s="2"/>
      <c r="T48" s="2"/>
      <c r="U48" s="2"/>
      <c r="V48" s="2"/>
      <c r="W48" s="7" t="s">
        <v>190</v>
      </c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39"/>
    </row>
    <row r="49" spans="2:50">
      <c r="B49" s="38" t="s">
        <v>185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7"/>
      <c r="N49" s="2"/>
      <c r="O49" s="2"/>
      <c r="P49" s="2"/>
      <c r="Q49" s="7" t="s">
        <v>188</v>
      </c>
      <c r="R49" s="2"/>
      <c r="S49" s="2"/>
      <c r="T49" s="2"/>
      <c r="U49" s="2"/>
      <c r="V49" s="2"/>
      <c r="W49" s="7" t="s">
        <v>186</v>
      </c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39"/>
    </row>
    <row r="50" spans="2:50">
      <c r="B50" s="38" t="s">
        <v>187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7"/>
      <c r="N50" s="2"/>
      <c r="O50" s="2"/>
      <c r="P50" s="2"/>
      <c r="Q50" s="7" t="s">
        <v>189</v>
      </c>
      <c r="R50" s="2"/>
      <c r="S50" s="2"/>
      <c r="T50" s="2"/>
      <c r="U50" s="2"/>
      <c r="V50" s="2"/>
      <c r="W50" s="7" t="s">
        <v>81</v>
      </c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39"/>
    </row>
    <row r="51" spans="2:50">
      <c r="B51" s="38" t="s">
        <v>148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 t="s">
        <v>191</v>
      </c>
      <c r="R51" s="2"/>
      <c r="S51" s="2"/>
      <c r="T51" s="2"/>
      <c r="U51" s="2"/>
      <c r="V51" s="2"/>
      <c r="W51" s="7" t="s">
        <v>192</v>
      </c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39"/>
    </row>
    <row r="52" spans="2:50">
      <c r="B52" s="38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39"/>
    </row>
    <row r="53" spans="2:50">
      <c r="B53" s="38" t="s">
        <v>193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39"/>
    </row>
    <row r="54" spans="2:50">
      <c r="B54" s="38" t="s">
        <v>194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39"/>
    </row>
    <row r="55" spans="2:50"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39"/>
    </row>
    <row r="56" spans="2:50">
      <c r="B56" s="38" t="s">
        <v>197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39"/>
    </row>
    <row r="57" spans="2:50"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39"/>
    </row>
    <row r="58" spans="2:50"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39"/>
    </row>
    <row r="59" spans="2:50"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39"/>
    </row>
    <row r="60" spans="2:50"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39"/>
    </row>
    <row r="61" spans="2:50"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39"/>
    </row>
    <row r="62" spans="2:50"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39"/>
    </row>
    <row r="63" spans="2:50"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39"/>
    </row>
    <row r="64" spans="2:50"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39"/>
    </row>
    <row r="65" spans="2:50"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39"/>
    </row>
    <row r="66" spans="2:50">
      <c r="B66" s="3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39"/>
    </row>
    <row r="67" spans="2:50">
      <c r="B67" s="3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39"/>
    </row>
    <row r="68" spans="2:50">
      <c r="B68" s="3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39"/>
    </row>
    <row r="69" spans="2:50">
      <c r="B69" s="3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39"/>
    </row>
    <row r="70" spans="2:50" ht="15" thickBot="1"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40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41"/>
    </row>
    <row r="71" spans="2:50">
      <c r="B71" s="263" t="s">
        <v>16</v>
      </c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  <c r="AC71" s="222"/>
      <c r="AD71" s="222"/>
      <c r="AE71" s="222"/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64"/>
    </row>
    <row r="72" spans="2:50">
      <c r="B72" s="177" t="s">
        <v>196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42"/>
    </row>
    <row r="73" spans="2:50">
      <c r="B73" s="177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42"/>
    </row>
    <row r="74" spans="2:50">
      <c r="B74" s="17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8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39"/>
    </row>
    <row r="75" spans="2:50" ht="15" thickBot="1">
      <c r="B75" s="178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43"/>
      <c r="U75" s="43"/>
      <c r="V75" s="43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40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41"/>
    </row>
  </sheetData>
  <mergeCells count="119">
    <mergeCell ref="B21:AX21"/>
    <mergeCell ref="Y7:AJ7"/>
    <mergeCell ref="Y8:AJ8"/>
    <mergeCell ref="Y9:AJ9"/>
    <mergeCell ref="B71:AX71"/>
    <mergeCell ref="H7:J9"/>
    <mergeCell ref="L7:N9"/>
    <mergeCell ref="O32:R32"/>
    <mergeCell ref="O33:R33"/>
    <mergeCell ref="O34:R34"/>
    <mergeCell ref="O35:R35"/>
    <mergeCell ref="O36:R36"/>
    <mergeCell ref="O37:R37"/>
    <mergeCell ref="O38:R38"/>
    <mergeCell ref="O39:R39"/>
    <mergeCell ref="O40:R40"/>
    <mergeCell ref="O43:R43"/>
    <mergeCell ref="S32:V32"/>
    <mergeCell ref="S33:V33"/>
    <mergeCell ref="S34:V34"/>
    <mergeCell ref="S35:V35"/>
    <mergeCell ref="S36:V36"/>
    <mergeCell ref="S37:V37"/>
    <mergeCell ref="S38:V38"/>
    <mergeCell ref="BE14:BF15"/>
    <mergeCell ref="B15:F20"/>
    <mergeCell ref="B7:F9"/>
    <mergeCell ref="B11:F14"/>
    <mergeCell ref="Z11:AD14"/>
    <mergeCell ref="Z15:AD20"/>
    <mergeCell ref="G11:Y14"/>
    <mergeCell ref="S1:AJ3"/>
    <mergeCell ref="B5:F6"/>
    <mergeCell ref="S5:X6"/>
    <mergeCell ref="S7:X9"/>
    <mergeCell ref="Y6:AJ6"/>
    <mergeCell ref="Y5:AJ5"/>
    <mergeCell ref="G5:Q6"/>
    <mergeCell ref="S43:V43"/>
    <mergeCell ref="W43:Z43"/>
    <mergeCell ref="AA43:AD43"/>
    <mergeCell ref="W38:Z38"/>
    <mergeCell ref="AA38:AD38"/>
    <mergeCell ref="W39:Z39"/>
    <mergeCell ref="AA39:AD39"/>
    <mergeCell ref="W40:Z40"/>
    <mergeCell ref="AA40:AD40"/>
    <mergeCell ref="W41:Z41"/>
    <mergeCell ref="AA41:AD41"/>
    <mergeCell ref="W42:Z42"/>
    <mergeCell ref="AA42:AD42"/>
    <mergeCell ref="O29:AD29"/>
    <mergeCell ref="AG31:AJ31"/>
    <mergeCell ref="AK31:AN31"/>
    <mergeCell ref="AG30:AJ30"/>
    <mergeCell ref="AK30:AN30"/>
    <mergeCell ref="AG29:AN29"/>
    <mergeCell ref="W32:Z32"/>
    <mergeCell ref="AA32:AD32"/>
    <mergeCell ref="W33:Z33"/>
    <mergeCell ref="AA33:AD33"/>
    <mergeCell ref="O30:V30"/>
    <mergeCell ref="O31:R31"/>
    <mergeCell ref="S31:V31"/>
    <mergeCell ref="W30:AD30"/>
    <mergeCell ref="W31:Z31"/>
    <mergeCell ref="AA31:AD31"/>
    <mergeCell ref="O41:R41"/>
    <mergeCell ref="O42:R42"/>
    <mergeCell ref="AG34:AJ34"/>
    <mergeCell ref="AG35:AJ35"/>
    <mergeCell ref="AK34:AN34"/>
    <mergeCell ref="AK35:AN35"/>
    <mergeCell ref="AE34:AF34"/>
    <mergeCell ref="AE35:AF35"/>
    <mergeCell ref="AO34:AP34"/>
    <mergeCell ref="AO35:AP35"/>
    <mergeCell ref="AG42:AJ42"/>
    <mergeCell ref="W35:Z35"/>
    <mergeCell ref="AA35:AD35"/>
    <mergeCell ref="W36:Z36"/>
    <mergeCell ref="AA36:AD36"/>
    <mergeCell ref="W37:Z37"/>
    <mergeCell ref="AA37:AD37"/>
    <mergeCell ref="W34:Z34"/>
    <mergeCell ref="AA34:AD34"/>
    <mergeCell ref="S39:V39"/>
    <mergeCell ref="S40:V40"/>
    <mergeCell ref="S41:V41"/>
    <mergeCell ref="S42:V42"/>
    <mergeCell ref="AG32:AJ32"/>
    <mergeCell ref="AG33:AJ33"/>
    <mergeCell ref="AK32:AN32"/>
    <mergeCell ref="AK33:AN33"/>
    <mergeCell ref="AE33:AF33"/>
    <mergeCell ref="AO33:AP33"/>
    <mergeCell ref="AE38:AF38"/>
    <mergeCell ref="AE39:AF39"/>
    <mergeCell ref="AO38:AP38"/>
    <mergeCell ref="AO39:AP39"/>
    <mergeCell ref="AG36:AJ36"/>
    <mergeCell ref="AG37:AJ37"/>
    <mergeCell ref="AK36:AN36"/>
    <mergeCell ref="AK37:AN37"/>
    <mergeCell ref="AE36:AF36"/>
    <mergeCell ref="AE37:AF37"/>
    <mergeCell ref="AO36:AP36"/>
    <mergeCell ref="AO37:AP37"/>
    <mergeCell ref="AG43:AJ43"/>
    <mergeCell ref="AK42:AN42"/>
    <mergeCell ref="AK43:AN43"/>
    <mergeCell ref="AG40:AJ40"/>
    <mergeCell ref="AG41:AJ41"/>
    <mergeCell ref="AK40:AN40"/>
    <mergeCell ref="AK41:AN41"/>
    <mergeCell ref="AG38:AJ38"/>
    <mergeCell ref="AG39:AJ39"/>
    <mergeCell ref="AK38:AN38"/>
    <mergeCell ref="AK39:AN39"/>
  </mergeCells>
  <printOptions horizontalCentered="1" verticalCentered="1"/>
  <pageMargins left="0.19685039370078741" right="0.19685039370078741" top="0" bottom="0" header="0.19685039370078741" footer="0.19685039370078741"/>
  <pageSetup paperSize="9" scale="77" orientation="portrait" r:id="rId1"/>
  <headerFooter>
    <oddFooter>&amp;L&amp;D&amp;C&amp;P&amp;R&amp;F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B61"/>
  <sheetViews>
    <sheetView tabSelected="1" topLeftCell="A14" zoomScale="75" zoomScaleNormal="75" workbookViewId="0">
      <selection activeCell="P24" sqref="P24"/>
    </sheetView>
  </sheetViews>
  <sheetFormatPr defaultColWidth="4.7109375" defaultRowHeight="20.100000000000001" customHeight="1"/>
  <cols>
    <col min="1" max="2" width="4.7109375" style="47"/>
    <col min="3" max="3" width="6.42578125" style="47" customWidth="1"/>
    <col min="4" max="14" width="5.7109375" style="47" customWidth="1"/>
    <col min="15" max="15" width="4.7109375" style="47"/>
    <col min="16" max="27" width="5.7109375" style="124" customWidth="1"/>
    <col min="28" max="16384" width="4.7109375" style="47"/>
  </cols>
  <sheetData>
    <row r="1" spans="2:28" ht="20.100000000000001" customHeight="1">
      <c r="B1" s="159"/>
      <c r="C1" s="160"/>
      <c r="D1" s="160"/>
      <c r="E1" s="160"/>
      <c r="F1" s="160"/>
      <c r="G1" s="160"/>
      <c r="H1" s="268" t="s">
        <v>149</v>
      </c>
      <c r="I1" s="268"/>
      <c r="J1" s="268"/>
      <c r="K1" s="268"/>
      <c r="L1" s="268"/>
      <c r="M1" s="268"/>
      <c r="N1" s="268"/>
      <c r="O1" s="160"/>
      <c r="P1" s="161"/>
      <c r="Q1" s="161"/>
      <c r="R1" s="161"/>
      <c r="S1" s="161"/>
      <c r="T1" s="161"/>
      <c r="U1" s="267" t="s">
        <v>150</v>
      </c>
      <c r="V1" s="267"/>
      <c r="W1" s="267"/>
      <c r="X1" s="267"/>
      <c r="Y1" s="267"/>
      <c r="Z1" s="267"/>
      <c r="AA1" s="267"/>
      <c r="AB1" s="162"/>
    </row>
    <row r="2" spans="2:28" ht="20.100000000000001" customHeight="1">
      <c r="B2" s="163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164"/>
    </row>
    <row r="3" spans="2:28" ht="20.100000000000001" customHeight="1">
      <c r="B3" s="163"/>
      <c r="C3" s="50" t="s">
        <v>34</v>
      </c>
      <c r="D3" s="48"/>
      <c r="E3" s="48"/>
      <c r="F3" s="48"/>
      <c r="G3" s="48"/>
      <c r="H3" s="51" t="s">
        <v>35</v>
      </c>
      <c r="I3" s="52" t="s">
        <v>36</v>
      </c>
      <c r="J3" s="52" t="s">
        <v>37</v>
      </c>
      <c r="K3" s="52" t="s">
        <v>38</v>
      </c>
      <c r="L3" s="52" t="s">
        <v>39</v>
      </c>
      <c r="M3" s="52" t="s">
        <v>40</v>
      </c>
      <c r="N3" s="52" t="s">
        <v>41</v>
      </c>
      <c r="O3" s="48"/>
      <c r="P3" s="53"/>
      <c r="Q3" s="49"/>
      <c r="R3" s="49"/>
      <c r="S3" s="49"/>
      <c r="T3" s="49"/>
      <c r="U3" s="54"/>
      <c r="V3" s="55"/>
      <c r="W3" s="55"/>
      <c r="X3" s="55"/>
      <c r="Y3" s="55"/>
      <c r="Z3" s="55"/>
      <c r="AA3" s="55"/>
      <c r="AB3" s="164"/>
    </row>
    <row r="4" spans="2:28" ht="20.100000000000001" customHeight="1">
      <c r="B4" s="163"/>
      <c r="C4" s="48"/>
      <c r="D4" s="48"/>
      <c r="E4" s="48"/>
      <c r="F4" s="48"/>
      <c r="G4" s="52" t="s">
        <v>42</v>
      </c>
      <c r="H4" s="52" t="s">
        <v>43</v>
      </c>
      <c r="I4" s="52" t="s">
        <v>44</v>
      </c>
      <c r="J4" s="56" t="s">
        <v>45</v>
      </c>
      <c r="K4" s="52" t="s">
        <v>46</v>
      </c>
      <c r="L4" s="52" t="s">
        <v>47</v>
      </c>
      <c r="M4" s="52" t="s">
        <v>48</v>
      </c>
      <c r="N4" s="52" t="s">
        <v>49</v>
      </c>
      <c r="O4" s="48"/>
      <c r="P4" s="49"/>
      <c r="Q4" s="49"/>
      <c r="R4" s="49"/>
      <c r="S4" s="49"/>
      <c r="T4" s="55"/>
      <c r="U4" s="55"/>
      <c r="V4" s="55"/>
      <c r="W4" s="57"/>
      <c r="X4" s="55"/>
      <c r="Y4" s="55"/>
      <c r="Z4" s="55"/>
      <c r="AA4" s="55"/>
      <c r="AB4" s="164"/>
    </row>
    <row r="5" spans="2:28" ht="20.100000000000001" customHeight="1" thickBot="1">
      <c r="B5" s="163"/>
      <c r="C5" s="48"/>
      <c r="D5" s="48"/>
      <c r="E5" s="58"/>
      <c r="F5" s="59" t="s">
        <v>50</v>
      </c>
      <c r="G5" s="59" t="s">
        <v>51</v>
      </c>
      <c r="H5" s="59" t="s">
        <v>52</v>
      </c>
      <c r="I5" s="59" t="s">
        <v>53</v>
      </c>
      <c r="J5" s="59" t="s">
        <v>54</v>
      </c>
      <c r="K5" s="59" t="s">
        <v>55</v>
      </c>
      <c r="L5" s="60" t="s">
        <v>56</v>
      </c>
      <c r="M5" s="59" t="s">
        <v>57</v>
      </c>
      <c r="N5" s="59" t="s">
        <v>58</v>
      </c>
      <c r="O5" s="48"/>
      <c r="P5" s="49"/>
      <c r="Q5" s="49"/>
      <c r="R5" s="61"/>
      <c r="S5" s="62"/>
      <c r="T5" s="62"/>
      <c r="U5" s="62"/>
      <c r="V5" s="62"/>
      <c r="W5" s="62"/>
      <c r="X5" s="62"/>
      <c r="Y5" s="63"/>
      <c r="Z5" s="62"/>
      <c r="AA5" s="62"/>
      <c r="AB5" s="164"/>
    </row>
    <row r="6" spans="2:28" ht="20.100000000000001" customHeight="1" thickTop="1" thickBot="1">
      <c r="B6" s="163"/>
      <c r="C6" s="48"/>
      <c r="D6" s="48"/>
      <c r="E6" s="64" t="s">
        <v>59</v>
      </c>
      <c r="F6" s="65" t="s">
        <v>60</v>
      </c>
      <c r="G6" s="65" t="s">
        <v>61</v>
      </c>
      <c r="H6" s="65" t="s">
        <v>62</v>
      </c>
      <c r="I6" s="65" t="s">
        <v>63</v>
      </c>
      <c r="J6" s="66" t="s">
        <v>64</v>
      </c>
      <c r="K6" s="66" t="s">
        <v>65</v>
      </c>
      <c r="L6" s="66" t="s">
        <v>66</v>
      </c>
      <c r="M6" s="65" t="s">
        <v>67</v>
      </c>
      <c r="N6" s="67" t="s">
        <v>68</v>
      </c>
      <c r="O6" s="48"/>
      <c r="P6" s="49"/>
      <c r="Q6" s="49"/>
      <c r="R6" s="68"/>
      <c r="S6" s="69"/>
      <c r="T6" s="69"/>
      <c r="U6" s="69"/>
      <c r="V6" s="69"/>
      <c r="W6" s="70"/>
      <c r="X6" s="70"/>
      <c r="Y6" s="70">
        <v>0.56000000000000005</v>
      </c>
      <c r="Z6" s="69"/>
      <c r="AA6" s="71"/>
      <c r="AB6" s="164"/>
    </row>
    <row r="7" spans="2:28" ht="20.100000000000001" customHeight="1" thickTop="1" thickBot="1">
      <c r="B7" s="163"/>
      <c r="C7" s="48"/>
      <c r="D7" s="64" t="s">
        <v>69</v>
      </c>
      <c r="E7" s="52" t="s">
        <v>70</v>
      </c>
      <c r="F7" s="56" t="s">
        <v>71</v>
      </c>
      <c r="G7" s="51" t="s">
        <v>72</v>
      </c>
      <c r="H7" s="51" t="s">
        <v>73</v>
      </c>
      <c r="I7" s="72" t="s">
        <v>74</v>
      </c>
      <c r="J7" s="72" t="s">
        <v>75</v>
      </c>
      <c r="K7" s="72" t="s">
        <v>76</v>
      </c>
      <c r="L7" s="72" t="s">
        <v>77</v>
      </c>
      <c r="M7" s="56" t="s">
        <v>78</v>
      </c>
      <c r="N7" s="73" t="s">
        <v>79</v>
      </c>
      <c r="O7" s="48"/>
      <c r="P7" s="49"/>
      <c r="Q7" s="68"/>
      <c r="R7" s="55"/>
      <c r="S7" s="57"/>
      <c r="T7" s="54">
        <v>0.16</v>
      </c>
      <c r="U7" s="54">
        <f>0.09+0.02+0.13</f>
        <v>0.24</v>
      </c>
      <c r="V7" s="74">
        <f>0.49+0.3</f>
        <v>0.79</v>
      </c>
      <c r="W7" s="74">
        <f>0.77+0.6</f>
        <v>1.37</v>
      </c>
      <c r="X7" s="74">
        <f>1.08+0.88</f>
        <v>1.96</v>
      </c>
      <c r="Y7" s="74">
        <f>0.8+0.75</f>
        <v>1.55</v>
      </c>
      <c r="Z7" s="57">
        <v>0.21</v>
      </c>
      <c r="AA7" s="75"/>
      <c r="AB7" s="164"/>
    </row>
    <row r="8" spans="2:28" ht="20.100000000000001" customHeight="1" thickTop="1">
      <c r="B8" s="163"/>
      <c r="C8" s="64">
        <v>91</v>
      </c>
      <c r="D8" s="76">
        <v>92</v>
      </c>
      <c r="E8" s="76">
        <v>93</v>
      </c>
      <c r="F8" s="77">
        <v>94</v>
      </c>
      <c r="G8" s="78">
        <v>95</v>
      </c>
      <c r="H8" s="79">
        <v>96</v>
      </c>
      <c r="I8" s="79">
        <v>97</v>
      </c>
      <c r="J8" s="157">
        <v>98</v>
      </c>
      <c r="K8" s="79">
        <v>99</v>
      </c>
      <c r="L8" s="80" t="s">
        <v>80</v>
      </c>
      <c r="M8" s="81" t="s">
        <v>81</v>
      </c>
      <c r="N8" s="82" t="s">
        <v>82</v>
      </c>
      <c r="O8" s="48"/>
      <c r="P8" s="68"/>
      <c r="Q8" s="83"/>
      <c r="R8" s="83"/>
      <c r="S8" s="84">
        <v>0.03</v>
      </c>
      <c r="T8" s="85">
        <f>0.4+0.3</f>
        <v>0.7</v>
      </c>
      <c r="U8" s="86">
        <f>0.47+0.46</f>
        <v>0.92999999999999994</v>
      </c>
      <c r="V8" s="86">
        <f>1.2+0.993</f>
        <v>2.1930000000000001</v>
      </c>
      <c r="W8" s="86">
        <f>1.78+1.65</f>
        <v>3.4299999999999997</v>
      </c>
      <c r="X8" s="86">
        <f>1.74+1.52</f>
        <v>3.26</v>
      </c>
      <c r="Y8" s="87">
        <f>1.19+0.61</f>
        <v>1.7999999999999998</v>
      </c>
      <c r="Z8" s="88">
        <v>0.13</v>
      </c>
      <c r="AA8" s="89"/>
      <c r="AB8" s="164"/>
    </row>
    <row r="9" spans="2:28" ht="20.100000000000001" customHeight="1">
      <c r="B9" s="163"/>
      <c r="C9" s="90">
        <v>81</v>
      </c>
      <c r="D9" s="76">
        <v>82</v>
      </c>
      <c r="E9" s="56">
        <v>83</v>
      </c>
      <c r="F9" s="77">
        <v>84</v>
      </c>
      <c r="G9" s="91">
        <v>85</v>
      </c>
      <c r="H9" s="56">
        <v>86</v>
      </c>
      <c r="I9" s="156">
        <v>87</v>
      </c>
      <c r="J9" s="92">
        <v>88</v>
      </c>
      <c r="K9" s="56">
        <v>89</v>
      </c>
      <c r="L9" s="93" t="s">
        <v>83</v>
      </c>
      <c r="M9" s="81" t="s">
        <v>84</v>
      </c>
      <c r="N9" s="73" t="s">
        <v>85</v>
      </c>
      <c r="O9" s="48"/>
      <c r="P9" s="94"/>
      <c r="Q9" s="83"/>
      <c r="R9" s="57"/>
      <c r="S9" s="84">
        <f>0.07+0.02+0.07</f>
        <v>0.16000000000000003</v>
      </c>
      <c r="T9" s="95">
        <f>0.36+0.25</f>
        <v>0.61</v>
      </c>
      <c r="U9" s="57">
        <f>1.16+1.11</f>
        <v>2.27</v>
      </c>
      <c r="V9" s="57">
        <f>2.12+2.02</f>
        <v>4.1400000000000006</v>
      </c>
      <c r="W9" s="96">
        <f>2.8+2.07+0.24</f>
        <v>5.1099999999999994</v>
      </c>
      <c r="X9" s="57">
        <f>2.13+1.16</f>
        <v>3.29</v>
      </c>
      <c r="Y9" s="97">
        <f>0.79+0.46</f>
        <v>1.25</v>
      </c>
      <c r="Z9" s="88"/>
      <c r="AA9" s="75"/>
      <c r="AB9" s="164"/>
    </row>
    <row r="10" spans="2:28" ht="20.100000000000001" customHeight="1">
      <c r="B10" s="163"/>
      <c r="C10" s="90">
        <v>71</v>
      </c>
      <c r="D10" s="76">
        <v>72</v>
      </c>
      <c r="E10" s="56">
        <v>73</v>
      </c>
      <c r="F10" s="77">
        <v>74</v>
      </c>
      <c r="G10" s="98">
        <v>75</v>
      </c>
      <c r="H10" s="92">
        <v>76</v>
      </c>
      <c r="I10" s="92">
        <v>77</v>
      </c>
      <c r="J10" s="92">
        <v>78</v>
      </c>
      <c r="K10" s="56">
        <v>79</v>
      </c>
      <c r="L10" s="93" t="s">
        <v>86</v>
      </c>
      <c r="M10" s="81" t="s">
        <v>87</v>
      </c>
      <c r="N10" s="82" t="s">
        <v>88</v>
      </c>
      <c r="O10" s="48"/>
      <c r="P10" s="94"/>
      <c r="Q10" s="83"/>
      <c r="R10" s="57"/>
      <c r="S10" s="84">
        <f>0.23+0.09</f>
        <v>0.32</v>
      </c>
      <c r="T10" s="99">
        <f>0.8+0.53</f>
        <v>1.33</v>
      </c>
      <c r="U10" s="96">
        <f>1.39+1.378</f>
        <v>2.7679999999999998</v>
      </c>
      <c r="V10" s="96">
        <f>2.08+1.95+0.16</f>
        <v>4.1900000000000004</v>
      </c>
      <c r="W10" s="96">
        <f>2.56+1.92+0.19</f>
        <v>4.6700000000000008</v>
      </c>
      <c r="X10" s="57">
        <f>1.22+0.89</f>
        <v>2.11</v>
      </c>
      <c r="Y10" s="97">
        <f>0.23+0.18</f>
        <v>0.41000000000000003</v>
      </c>
      <c r="Z10" s="88"/>
      <c r="AA10" s="89"/>
      <c r="AB10" s="164"/>
    </row>
    <row r="11" spans="2:28" ht="20.100000000000001" customHeight="1" thickBot="1">
      <c r="B11" s="163"/>
      <c r="C11" s="90">
        <v>61</v>
      </c>
      <c r="D11" s="56">
        <v>62</v>
      </c>
      <c r="E11" s="56">
        <v>63</v>
      </c>
      <c r="F11" s="77">
        <v>64</v>
      </c>
      <c r="G11" s="100">
        <v>65</v>
      </c>
      <c r="H11" s="101">
        <v>66</v>
      </c>
      <c r="I11" s="101">
        <v>67</v>
      </c>
      <c r="J11" s="102">
        <v>68</v>
      </c>
      <c r="K11" s="102">
        <v>69</v>
      </c>
      <c r="L11" s="103" t="s">
        <v>89</v>
      </c>
      <c r="M11" s="104" t="s">
        <v>90</v>
      </c>
      <c r="N11" s="105" t="s">
        <v>91</v>
      </c>
      <c r="O11" s="48"/>
      <c r="P11" s="94"/>
      <c r="Q11" s="57"/>
      <c r="R11" s="57"/>
      <c r="S11" s="84">
        <f>0.25+0.13</f>
        <v>0.38</v>
      </c>
      <c r="T11" s="106">
        <f>0.54+0.45</f>
        <v>0.99</v>
      </c>
      <c r="U11" s="107">
        <f>1.21+1.1</f>
        <v>2.31</v>
      </c>
      <c r="V11" s="107">
        <f>1.8+1.11</f>
        <v>2.91</v>
      </c>
      <c r="W11" s="108">
        <f>1.12+0.88</f>
        <v>2</v>
      </c>
      <c r="X11" s="108">
        <f>0.34+0.32</f>
        <v>0.66</v>
      </c>
      <c r="Y11" s="109">
        <f>0.35+0.45</f>
        <v>0.8</v>
      </c>
      <c r="Z11" s="110"/>
      <c r="AA11" s="111"/>
      <c r="AB11" s="164"/>
    </row>
    <row r="12" spans="2:28" ht="20.100000000000001" customHeight="1" thickTop="1" thickBot="1">
      <c r="B12" s="163"/>
      <c r="C12" s="90">
        <v>51</v>
      </c>
      <c r="D12" s="56">
        <v>52</v>
      </c>
      <c r="E12" s="56">
        <v>53</v>
      </c>
      <c r="F12" s="56">
        <v>54</v>
      </c>
      <c r="G12" s="66">
        <v>55</v>
      </c>
      <c r="H12" s="66">
        <v>56</v>
      </c>
      <c r="I12" s="66">
        <v>57</v>
      </c>
      <c r="J12" s="66">
        <v>58</v>
      </c>
      <c r="K12" s="66">
        <v>59</v>
      </c>
      <c r="L12" s="65" t="s">
        <v>92</v>
      </c>
      <c r="M12" s="105" t="s">
        <v>93</v>
      </c>
      <c r="N12" s="48"/>
      <c r="O12" s="48"/>
      <c r="P12" s="94"/>
      <c r="Q12" s="57"/>
      <c r="R12" s="57"/>
      <c r="S12" s="57">
        <f>0.19+0.13</f>
        <v>0.32</v>
      </c>
      <c r="T12" s="70">
        <f>0.25+0.23</f>
        <v>0.48</v>
      </c>
      <c r="U12" s="70">
        <f>0.62+0.52</f>
        <v>1.1400000000000001</v>
      </c>
      <c r="V12" s="70">
        <f>0.6+0.42</f>
        <v>1.02</v>
      </c>
      <c r="W12" s="70">
        <f>0.29+0.14</f>
        <v>0.43</v>
      </c>
      <c r="X12" s="70">
        <f>0.11+0.08</f>
        <v>0.19</v>
      </c>
      <c r="Y12" s="69">
        <f>0.02+0.01</f>
        <v>0.03</v>
      </c>
      <c r="Z12" s="111"/>
      <c r="AA12" s="49"/>
      <c r="AB12" s="164"/>
    </row>
    <row r="13" spans="2:28" ht="20.100000000000001" customHeight="1" thickTop="1" thickBot="1">
      <c r="B13" s="163"/>
      <c r="C13" s="90">
        <v>41</v>
      </c>
      <c r="D13" s="76">
        <v>42</v>
      </c>
      <c r="E13" s="76">
        <v>43</v>
      </c>
      <c r="F13" s="56">
        <v>44</v>
      </c>
      <c r="G13" s="56">
        <v>45</v>
      </c>
      <c r="H13" s="56">
        <v>46</v>
      </c>
      <c r="I13" s="56">
        <v>47</v>
      </c>
      <c r="J13" s="56">
        <v>48</v>
      </c>
      <c r="K13" s="56">
        <v>49</v>
      </c>
      <c r="L13" s="105" t="s">
        <v>94</v>
      </c>
      <c r="M13" s="48"/>
      <c r="N13" s="48"/>
      <c r="O13" s="48"/>
      <c r="P13" s="94"/>
      <c r="Q13" s="83"/>
      <c r="R13" s="83"/>
      <c r="S13" s="57"/>
      <c r="T13" s="57"/>
      <c r="U13" s="57"/>
      <c r="V13" s="57"/>
      <c r="W13" s="57"/>
      <c r="X13" s="57"/>
      <c r="Y13" s="111"/>
      <c r="Z13" s="49"/>
      <c r="AA13" s="49"/>
      <c r="AB13" s="164"/>
    </row>
    <row r="14" spans="2:28" ht="20.100000000000001" customHeight="1" thickTop="1" thickBot="1">
      <c r="B14" s="163"/>
      <c r="C14" s="90">
        <v>31</v>
      </c>
      <c r="D14" s="76">
        <v>32</v>
      </c>
      <c r="E14" s="76">
        <v>33</v>
      </c>
      <c r="F14" s="56">
        <v>34</v>
      </c>
      <c r="G14" s="56">
        <v>35</v>
      </c>
      <c r="H14" s="56">
        <v>36</v>
      </c>
      <c r="I14" s="56">
        <v>37</v>
      </c>
      <c r="J14" s="52">
        <v>38</v>
      </c>
      <c r="K14" s="105">
        <v>39</v>
      </c>
      <c r="L14" s="48"/>
      <c r="M14" s="48"/>
      <c r="N14" s="48"/>
      <c r="O14" s="48"/>
      <c r="P14" s="94"/>
      <c r="Q14" s="83"/>
      <c r="R14" s="83"/>
      <c r="S14" s="57"/>
      <c r="T14" s="57"/>
      <c r="U14" s="57"/>
      <c r="V14" s="57"/>
      <c r="W14" s="55"/>
      <c r="X14" s="111"/>
      <c r="Y14" s="49"/>
      <c r="Z14" s="49"/>
      <c r="AA14" s="49"/>
      <c r="AB14" s="164"/>
    </row>
    <row r="15" spans="2:28" ht="20.100000000000001" customHeight="1" thickTop="1" thickBot="1">
      <c r="B15" s="163"/>
      <c r="C15" s="112">
        <v>21</v>
      </c>
      <c r="D15" s="59">
        <v>22</v>
      </c>
      <c r="E15" s="59">
        <v>23</v>
      </c>
      <c r="F15" s="60">
        <v>24</v>
      </c>
      <c r="G15" s="60">
        <v>25</v>
      </c>
      <c r="H15" s="59">
        <v>26</v>
      </c>
      <c r="I15" s="59">
        <v>27</v>
      </c>
      <c r="J15" s="105">
        <v>28</v>
      </c>
      <c r="K15" s="48"/>
      <c r="L15" s="48"/>
      <c r="M15" s="48"/>
      <c r="N15" s="48"/>
      <c r="O15" s="48"/>
      <c r="P15" s="113"/>
      <c r="Q15" s="62"/>
      <c r="R15" s="62"/>
      <c r="S15" s="63"/>
      <c r="T15" s="63"/>
      <c r="U15" s="62"/>
      <c r="V15" s="62"/>
      <c r="W15" s="111"/>
      <c r="X15" s="49"/>
      <c r="Y15" s="49"/>
      <c r="Z15" s="49"/>
      <c r="AA15" s="49"/>
      <c r="AB15" s="164"/>
    </row>
    <row r="16" spans="2:28" ht="20.100000000000001" customHeight="1" thickTop="1">
      <c r="B16" s="163"/>
      <c r="C16" s="65">
        <v>11</v>
      </c>
      <c r="D16" s="65">
        <v>12</v>
      </c>
      <c r="E16" s="65">
        <v>13</v>
      </c>
      <c r="F16" s="66">
        <v>14</v>
      </c>
      <c r="G16" s="66">
        <v>15</v>
      </c>
      <c r="H16" s="65">
        <v>16</v>
      </c>
      <c r="I16" s="65">
        <v>17</v>
      </c>
      <c r="J16" s="48"/>
      <c r="K16" s="48"/>
      <c r="L16" s="48"/>
      <c r="M16" s="48"/>
      <c r="N16" s="48"/>
      <c r="O16" s="48"/>
      <c r="P16" s="69"/>
      <c r="Q16" s="69"/>
      <c r="R16" s="69"/>
      <c r="S16" s="70"/>
      <c r="T16" s="70"/>
      <c r="U16" s="69"/>
      <c r="V16" s="69"/>
      <c r="W16" s="49"/>
      <c r="X16" s="49"/>
      <c r="Y16" s="49"/>
      <c r="Z16" s="49"/>
      <c r="AA16" s="49"/>
      <c r="AB16" s="164"/>
    </row>
    <row r="17" spans="2:28" ht="20.100000000000001" customHeight="1">
      <c r="B17" s="163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164"/>
    </row>
    <row r="18" spans="2:28" ht="20.100000000000001" customHeight="1">
      <c r="B18" s="163"/>
      <c r="C18" s="48"/>
      <c r="D18" s="48"/>
      <c r="E18" s="48"/>
      <c r="F18" s="48"/>
      <c r="G18" s="48"/>
      <c r="H18" s="48"/>
      <c r="I18" s="48"/>
      <c r="J18" s="48"/>
      <c r="K18" s="121" t="s">
        <v>95</v>
      </c>
      <c r="L18" s="48"/>
      <c r="M18" s="48"/>
      <c r="N18" s="121" t="s">
        <v>96</v>
      </c>
      <c r="O18" s="48"/>
      <c r="P18" s="53" t="s">
        <v>151</v>
      </c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164"/>
    </row>
    <row r="19" spans="2:28" ht="20.100000000000001" customHeight="1">
      <c r="B19" s="163"/>
      <c r="C19" s="114">
        <v>0.22</v>
      </c>
      <c r="D19" s="115" t="s">
        <v>97</v>
      </c>
      <c r="E19" s="48"/>
      <c r="F19" s="48"/>
      <c r="G19" s="48"/>
      <c r="H19" s="48"/>
      <c r="I19" s="48"/>
      <c r="J19" s="48"/>
      <c r="K19" s="121">
        <v>7</v>
      </c>
      <c r="L19" s="121"/>
      <c r="M19" s="48"/>
      <c r="N19" s="121" t="s">
        <v>98</v>
      </c>
      <c r="O19" s="48"/>
      <c r="P19" s="116" t="s">
        <v>230</v>
      </c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164"/>
    </row>
    <row r="20" spans="2:28" ht="20.100000000000001" customHeight="1" thickBot="1">
      <c r="B20" s="163"/>
      <c r="C20" s="48"/>
      <c r="D20" s="48"/>
      <c r="E20" s="48"/>
      <c r="F20" s="48"/>
      <c r="G20" s="48"/>
      <c r="H20" s="48"/>
      <c r="I20" s="48"/>
      <c r="J20" s="48"/>
      <c r="K20" s="121"/>
      <c r="L20" s="121"/>
      <c r="M20" s="48"/>
      <c r="N20" s="121"/>
      <c r="O20" s="48"/>
      <c r="P20" s="117" t="s">
        <v>152</v>
      </c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164"/>
    </row>
    <row r="21" spans="2:28" ht="20.100000000000001" customHeight="1" thickTop="1" thickBot="1">
      <c r="B21" s="163"/>
      <c r="C21" s="118">
        <v>0.52</v>
      </c>
      <c r="D21" s="115" t="s">
        <v>99</v>
      </c>
      <c r="E21" s="48"/>
      <c r="F21" s="48"/>
      <c r="G21" s="48"/>
      <c r="H21" s="48"/>
      <c r="I21" s="48"/>
      <c r="J21" s="48"/>
      <c r="K21" s="121">
        <v>24</v>
      </c>
      <c r="L21" s="121"/>
      <c r="M21" s="48"/>
      <c r="N21" s="121" t="s">
        <v>100</v>
      </c>
      <c r="O21" s="48"/>
      <c r="P21" s="116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164"/>
    </row>
    <row r="22" spans="2:28" ht="20.100000000000001" customHeight="1" thickTop="1">
      <c r="B22" s="163"/>
      <c r="C22" s="48"/>
      <c r="D22" s="48"/>
      <c r="E22" s="48"/>
      <c r="F22" s="48"/>
      <c r="G22" s="48"/>
      <c r="H22" s="48"/>
      <c r="I22" s="48"/>
      <c r="J22" s="48"/>
      <c r="K22" s="121"/>
      <c r="L22" s="121"/>
      <c r="M22" s="48"/>
      <c r="N22" s="121"/>
      <c r="O22" s="48"/>
      <c r="P22" s="119" t="s">
        <v>175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164"/>
    </row>
    <row r="23" spans="2:28" ht="20.100000000000001" customHeight="1">
      <c r="B23" s="163"/>
      <c r="C23" s="56" t="s">
        <v>101</v>
      </c>
      <c r="D23" s="115" t="s">
        <v>102</v>
      </c>
      <c r="E23" s="48"/>
      <c r="F23" s="48"/>
      <c r="G23" s="48"/>
      <c r="H23" s="48"/>
      <c r="I23" s="48"/>
      <c r="J23" s="48"/>
      <c r="K23" s="121">
        <v>66</v>
      </c>
      <c r="L23" s="121"/>
      <c r="M23" s="48"/>
      <c r="N23" s="121" t="s">
        <v>103</v>
      </c>
      <c r="O23" s="48"/>
      <c r="P23" s="116" t="s">
        <v>231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164"/>
    </row>
    <row r="24" spans="2:28" ht="20.100000000000001" customHeight="1" thickBot="1">
      <c r="B24" s="163"/>
      <c r="C24" s="48"/>
      <c r="D24" s="48"/>
      <c r="E24" s="48"/>
      <c r="F24" s="48"/>
      <c r="G24" s="48"/>
      <c r="H24" s="48"/>
      <c r="I24" s="48"/>
      <c r="J24" s="48"/>
      <c r="K24" s="121"/>
      <c r="L24" s="121"/>
      <c r="M24" s="48"/>
      <c r="N24" s="121"/>
      <c r="O24" s="48"/>
      <c r="P24" s="117" t="s">
        <v>153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164"/>
    </row>
    <row r="25" spans="2:28" ht="20.100000000000001" customHeight="1" thickTop="1" thickBot="1">
      <c r="B25" s="163"/>
      <c r="C25" s="120"/>
      <c r="D25" s="115" t="s">
        <v>104</v>
      </c>
      <c r="E25" s="48"/>
      <c r="F25" s="48"/>
      <c r="G25" s="48"/>
      <c r="H25" s="48"/>
      <c r="I25" s="48"/>
      <c r="J25" s="48"/>
      <c r="K25" s="121">
        <v>105</v>
      </c>
      <c r="L25" s="121"/>
      <c r="M25" s="48"/>
      <c r="N25" s="121" t="s">
        <v>105</v>
      </c>
      <c r="O25" s="48"/>
      <c r="P25" s="48" t="s">
        <v>125</v>
      </c>
      <c r="Q25" s="271" t="s">
        <v>126</v>
      </c>
      <c r="R25" s="271"/>
      <c r="S25" s="271"/>
      <c r="T25" s="270" t="s">
        <v>176</v>
      </c>
      <c r="U25" s="270"/>
      <c r="V25" s="49"/>
      <c r="W25" s="49"/>
      <c r="X25" s="49"/>
      <c r="Y25" s="49"/>
      <c r="Z25" s="49"/>
      <c r="AA25" s="49"/>
      <c r="AB25" s="164"/>
    </row>
    <row r="26" spans="2:28" ht="20.100000000000001" customHeight="1" thickTop="1">
      <c r="B26" s="163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 t="s">
        <v>162</v>
      </c>
      <c r="Q26" s="121"/>
      <c r="R26" s="121"/>
      <c r="S26" s="121"/>
      <c r="T26" s="266"/>
      <c r="U26" s="266"/>
      <c r="V26" s="49"/>
      <c r="W26" s="49"/>
      <c r="X26" s="49"/>
      <c r="Y26" s="49"/>
      <c r="Z26" s="49"/>
      <c r="AA26" s="49"/>
      <c r="AB26" s="164"/>
    </row>
    <row r="27" spans="2:28" ht="20.100000000000001" customHeight="1">
      <c r="B27" s="163"/>
      <c r="C27" s="123">
        <v>0.25</v>
      </c>
      <c r="D27" s="115" t="s">
        <v>106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 t="s">
        <v>127</v>
      </c>
      <c r="Q27" s="269">
        <v>9800</v>
      </c>
      <c r="R27" s="269"/>
      <c r="S27" s="269"/>
      <c r="T27" s="266"/>
      <c r="U27" s="266"/>
      <c r="V27" s="49"/>
      <c r="W27" s="49"/>
      <c r="X27" s="49"/>
      <c r="Y27" s="49"/>
      <c r="Z27" s="49"/>
      <c r="AA27" s="49"/>
      <c r="AB27" s="164"/>
    </row>
    <row r="28" spans="2:28" ht="20.100000000000001" customHeight="1">
      <c r="B28" s="163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 t="s">
        <v>163</v>
      </c>
      <c r="Q28" s="122"/>
      <c r="R28" s="122"/>
      <c r="S28" s="122"/>
      <c r="T28" s="266"/>
      <c r="U28" s="266"/>
      <c r="V28" s="49"/>
      <c r="W28" s="49"/>
      <c r="X28" s="49"/>
      <c r="Y28" s="49"/>
      <c r="Z28" s="49"/>
      <c r="AA28" s="49"/>
      <c r="AB28" s="164"/>
    </row>
    <row r="29" spans="2:28" ht="20.100000000000001" customHeight="1">
      <c r="B29" s="163"/>
      <c r="C29" s="123">
        <v>7.0000000000000007E-2</v>
      </c>
      <c r="D29" s="115" t="s">
        <v>107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 t="s">
        <v>128</v>
      </c>
      <c r="Q29" s="269">
        <v>7000</v>
      </c>
      <c r="R29" s="269"/>
      <c r="S29" s="269"/>
      <c r="T29" s="266"/>
      <c r="U29" s="266"/>
      <c r="V29" s="49"/>
      <c r="W29" s="49"/>
      <c r="X29" s="49"/>
      <c r="Y29" s="49"/>
      <c r="Z29" s="49"/>
      <c r="AA29" s="49"/>
      <c r="AB29" s="164"/>
    </row>
    <row r="30" spans="2:28" ht="20.100000000000001" customHeight="1">
      <c r="B30" s="163"/>
      <c r="C30" s="123"/>
      <c r="D30" s="115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 t="s">
        <v>164</v>
      </c>
      <c r="Q30" s="122"/>
      <c r="R30" s="122"/>
      <c r="S30" s="122"/>
      <c r="T30" s="266"/>
      <c r="U30" s="266"/>
      <c r="V30" s="49"/>
      <c r="W30" s="49"/>
      <c r="X30" s="49"/>
      <c r="Y30" s="49"/>
      <c r="Z30" s="49"/>
      <c r="AA30" s="49"/>
      <c r="AB30" s="164"/>
    </row>
    <row r="31" spans="2:28" ht="20.100000000000001" customHeight="1">
      <c r="B31" s="163"/>
      <c r="C31" s="123"/>
      <c r="D31" s="115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 t="s">
        <v>129</v>
      </c>
      <c r="Q31" s="269">
        <v>2800</v>
      </c>
      <c r="R31" s="269"/>
      <c r="S31" s="269"/>
      <c r="T31" s="266"/>
      <c r="U31" s="266"/>
      <c r="V31" s="49"/>
      <c r="W31" s="49"/>
      <c r="X31" s="49"/>
      <c r="Y31" s="49"/>
      <c r="Z31" s="49"/>
      <c r="AA31" s="49"/>
      <c r="AB31" s="164"/>
    </row>
    <row r="32" spans="2:28" ht="20.100000000000001" customHeight="1">
      <c r="B32" s="163"/>
      <c r="C32" s="123"/>
      <c r="D32" s="115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 t="s">
        <v>165</v>
      </c>
      <c r="Q32" s="122"/>
      <c r="R32" s="122"/>
      <c r="S32" s="122"/>
      <c r="T32" s="266"/>
      <c r="U32" s="266"/>
      <c r="V32" s="49"/>
      <c r="W32" s="49"/>
      <c r="X32" s="49"/>
      <c r="Y32" s="49"/>
      <c r="Z32" s="49"/>
      <c r="AA32" s="49"/>
      <c r="AB32" s="164"/>
    </row>
    <row r="33" spans="2:28" ht="20.100000000000001" customHeight="1">
      <c r="B33" s="163"/>
      <c r="C33" s="123"/>
      <c r="D33" s="115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 t="s">
        <v>130</v>
      </c>
      <c r="Q33" s="269">
        <v>5600</v>
      </c>
      <c r="R33" s="269"/>
      <c r="S33" s="269"/>
      <c r="T33" s="266"/>
      <c r="U33" s="266"/>
      <c r="V33" s="49"/>
      <c r="W33" s="49"/>
      <c r="X33" s="49"/>
      <c r="Y33" s="49"/>
      <c r="Z33" s="49"/>
      <c r="AA33" s="49"/>
      <c r="AB33" s="164"/>
    </row>
    <row r="34" spans="2:28" ht="20.100000000000001" customHeight="1">
      <c r="B34" s="163"/>
      <c r="C34" s="123"/>
      <c r="D34" s="115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 t="s">
        <v>131</v>
      </c>
      <c r="Q34" s="269">
        <v>1400</v>
      </c>
      <c r="R34" s="269"/>
      <c r="S34" s="269"/>
      <c r="T34" s="266"/>
      <c r="U34" s="266"/>
      <c r="V34" s="49"/>
      <c r="W34" s="49"/>
      <c r="X34" s="49"/>
      <c r="Y34" s="49"/>
      <c r="Z34" s="49"/>
      <c r="AA34" s="49"/>
      <c r="AB34" s="164"/>
    </row>
    <row r="35" spans="2:28" ht="20.100000000000001" customHeight="1">
      <c r="B35" s="163"/>
      <c r="C35" s="123"/>
      <c r="D35" s="115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 t="s">
        <v>132</v>
      </c>
      <c r="Q35" s="269">
        <v>16800</v>
      </c>
      <c r="R35" s="269"/>
      <c r="S35" s="269"/>
      <c r="T35" s="266"/>
      <c r="U35" s="266"/>
      <c r="V35" s="49"/>
      <c r="W35" s="49"/>
      <c r="X35" s="49"/>
      <c r="Y35" s="49"/>
      <c r="Z35" s="49"/>
      <c r="AA35" s="49"/>
      <c r="AB35" s="164"/>
    </row>
    <row r="36" spans="2:28" ht="20.100000000000001" customHeight="1">
      <c r="B36" s="163"/>
      <c r="C36" s="123"/>
      <c r="D36" s="115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 t="s">
        <v>166</v>
      </c>
      <c r="Q36" s="122"/>
      <c r="R36" s="122"/>
      <c r="S36" s="122"/>
      <c r="T36" s="266"/>
      <c r="U36" s="266"/>
      <c r="V36" s="49"/>
      <c r="W36" s="49"/>
      <c r="X36" s="49"/>
      <c r="Y36" s="49"/>
      <c r="Z36" s="49"/>
      <c r="AA36" s="49"/>
      <c r="AB36" s="164"/>
    </row>
    <row r="37" spans="2:28" ht="20.100000000000001" customHeight="1">
      <c r="B37" s="163"/>
      <c r="C37" s="123"/>
      <c r="D37" s="115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 t="s">
        <v>133</v>
      </c>
      <c r="Q37" s="269">
        <v>5600</v>
      </c>
      <c r="R37" s="269"/>
      <c r="S37" s="269"/>
      <c r="T37" s="266"/>
      <c r="U37" s="266"/>
      <c r="V37" s="49"/>
      <c r="W37" s="49"/>
      <c r="X37" s="49"/>
      <c r="Y37" s="49"/>
      <c r="Z37" s="49"/>
      <c r="AA37" s="49"/>
      <c r="AB37" s="164"/>
    </row>
    <row r="38" spans="2:28" ht="20.100000000000001" customHeight="1">
      <c r="B38" s="163"/>
      <c r="C38" s="123"/>
      <c r="D38" s="115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 t="s">
        <v>167</v>
      </c>
      <c r="Q38" s="122"/>
      <c r="R38" s="122"/>
      <c r="S38" s="122"/>
      <c r="T38" s="266"/>
      <c r="U38" s="266"/>
      <c r="V38" s="49"/>
      <c r="W38" s="49"/>
      <c r="X38" s="49"/>
      <c r="Y38" s="49"/>
      <c r="Z38" s="49"/>
      <c r="AA38" s="49"/>
      <c r="AB38" s="164"/>
    </row>
    <row r="39" spans="2:28" ht="20.100000000000001" customHeight="1">
      <c r="B39" s="163"/>
      <c r="C39" s="123"/>
      <c r="D39" s="115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 t="s">
        <v>134</v>
      </c>
      <c r="Q39" s="269">
        <v>15400</v>
      </c>
      <c r="R39" s="269"/>
      <c r="S39" s="269"/>
      <c r="T39" s="266"/>
      <c r="U39" s="266"/>
      <c r="V39" s="49"/>
      <c r="W39" s="49"/>
      <c r="X39" s="49"/>
      <c r="Y39" s="49"/>
      <c r="Z39" s="49"/>
      <c r="AA39" s="49"/>
      <c r="AB39" s="164"/>
    </row>
    <row r="40" spans="2:28" ht="20.100000000000001" customHeight="1">
      <c r="B40" s="163"/>
      <c r="C40" s="123"/>
      <c r="D40" s="115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 t="s">
        <v>168</v>
      </c>
      <c r="Q40" s="122"/>
      <c r="R40" s="122"/>
      <c r="S40" s="122"/>
      <c r="T40" s="266"/>
      <c r="U40" s="266"/>
      <c r="V40" s="49"/>
      <c r="W40" s="49"/>
      <c r="X40" s="49"/>
      <c r="Y40" s="49"/>
      <c r="Z40" s="49"/>
      <c r="AA40" s="49"/>
      <c r="AB40" s="164"/>
    </row>
    <row r="41" spans="2:28" ht="20.100000000000001" customHeight="1">
      <c r="B41" s="163"/>
      <c r="C41" s="123"/>
      <c r="D41" s="115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 t="s">
        <v>135</v>
      </c>
      <c r="Q41" s="269">
        <v>16800</v>
      </c>
      <c r="R41" s="269"/>
      <c r="S41" s="269"/>
      <c r="T41" s="266"/>
      <c r="U41" s="266"/>
      <c r="V41" s="49"/>
      <c r="W41" s="49"/>
      <c r="X41" s="49"/>
      <c r="Y41" s="49"/>
      <c r="Z41" s="49"/>
      <c r="AA41" s="49"/>
      <c r="AB41" s="164"/>
    </row>
    <row r="42" spans="2:28" ht="20.100000000000001" customHeight="1">
      <c r="B42" s="163"/>
      <c r="C42" s="123"/>
      <c r="D42" s="115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158" t="s">
        <v>136</v>
      </c>
      <c r="Q42" s="269">
        <v>1400</v>
      </c>
      <c r="R42" s="269"/>
      <c r="S42" s="269"/>
      <c r="T42" s="266">
        <v>43494</v>
      </c>
      <c r="U42" s="266"/>
      <c r="V42" s="49"/>
      <c r="W42" s="49"/>
      <c r="X42" s="49"/>
      <c r="Y42" s="49"/>
      <c r="Z42" s="49"/>
      <c r="AA42" s="49"/>
      <c r="AB42" s="164"/>
    </row>
    <row r="43" spans="2:28" ht="20.100000000000001" customHeight="1">
      <c r="B43" s="163"/>
      <c r="C43" s="123"/>
      <c r="D43" s="115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158" t="s">
        <v>137</v>
      </c>
      <c r="Q43" s="269">
        <v>32200</v>
      </c>
      <c r="R43" s="269"/>
      <c r="S43" s="269"/>
      <c r="T43" s="266">
        <v>43494</v>
      </c>
      <c r="U43" s="266"/>
      <c r="V43" s="49"/>
      <c r="W43" s="49"/>
      <c r="X43" s="49"/>
      <c r="Y43" s="49"/>
      <c r="Z43" s="49"/>
      <c r="AA43" s="49"/>
      <c r="AB43" s="164"/>
    </row>
    <row r="44" spans="2:28" ht="20.100000000000001" customHeight="1">
      <c r="B44" s="163"/>
      <c r="C44" s="123"/>
      <c r="D44" s="115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 t="s">
        <v>169</v>
      </c>
      <c r="Q44" s="122"/>
      <c r="R44" s="122"/>
      <c r="S44" s="122"/>
      <c r="T44" s="266"/>
      <c r="U44" s="266"/>
      <c r="V44" s="49"/>
      <c r="W44" s="49"/>
      <c r="X44" s="49"/>
      <c r="Y44" s="49"/>
      <c r="Z44" s="49"/>
      <c r="AA44" s="49"/>
      <c r="AB44" s="164"/>
    </row>
    <row r="45" spans="2:28" ht="20.100000000000001" customHeight="1">
      <c r="B45" s="163"/>
      <c r="C45" s="123"/>
      <c r="D45" s="115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 t="s">
        <v>138</v>
      </c>
      <c r="Q45" s="269">
        <v>14400</v>
      </c>
      <c r="R45" s="269"/>
      <c r="S45" s="269"/>
      <c r="T45" s="266"/>
      <c r="U45" s="266"/>
      <c r="V45" s="49"/>
      <c r="W45" s="49"/>
      <c r="X45" s="49"/>
      <c r="Y45" s="49"/>
      <c r="Z45" s="49"/>
      <c r="AA45" s="49"/>
      <c r="AB45" s="164"/>
    </row>
    <row r="46" spans="2:28" ht="20.100000000000001" customHeight="1">
      <c r="B46" s="163"/>
      <c r="C46" s="123"/>
      <c r="D46" s="115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 t="s">
        <v>170</v>
      </c>
      <c r="Q46" s="122"/>
      <c r="R46" s="122"/>
      <c r="S46" s="122"/>
      <c r="T46" s="266"/>
      <c r="U46" s="266"/>
      <c r="V46" s="49"/>
      <c r="W46" s="49"/>
      <c r="X46" s="49"/>
      <c r="Y46" s="49"/>
      <c r="Z46" s="49"/>
      <c r="AA46" s="49"/>
      <c r="AB46" s="164"/>
    </row>
    <row r="47" spans="2:28" ht="20.100000000000001" customHeight="1">
      <c r="B47" s="163"/>
      <c r="C47" s="123"/>
      <c r="D47" s="115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 t="s">
        <v>139</v>
      </c>
      <c r="Q47" s="269">
        <v>1400</v>
      </c>
      <c r="R47" s="269"/>
      <c r="S47" s="269"/>
      <c r="T47" s="266"/>
      <c r="U47" s="266"/>
      <c r="V47" s="49"/>
      <c r="W47" s="49"/>
      <c r="X47" s="49"/>
      <c r="Y47" s="49"/>
      <c r="Z47" s="49"/>
      <c r="AA47" s="49"/>
      <c r="AB47" s="164"/>
    </row>
    <row r="48" spans="2:28" ht="20.100000000000001" customHeight="1">
      <c r="B48" s="163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 t="s">
        <v>171</v>
      </c>
      <c r="Q48" s="122"/>
      <c r="R48" s="122"/>
      <c r="S48" s="122"/>
      <c r="T48" s="266"/>
      <c r="U48" s="266"/>
      <c r="V48" s="49"/>
      <c r="W48" s="49"/>
      <c r="X48" s="49"/>
      <c r="Y48" s="49"/>
      <c r="Z48" s="49"/>
      <c r="AA48" s="49"/>
      <c r="AB48" s="164"/>
    </row>
    <row r="49" spans="2:28" ht="20.100000000000001" customHeight="1">
      <c r="B49" s="163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 t="s">
        <v>140</v>
      </c>
      <c r="Q49" s="269">
        <v>2800</v>
      </c>
      <c r="R49" s="269"/>
      <c r="S49" s="269"/>
      <c r="T49" s="266"/>
      <c r="U49" s="266"/>
      <c r="V49" s="49"/>
      <c r="W49" s="49"/>
      <c r="X49" s="49"/>
      <c r="Y49" s="49"/>
      <c r="Z49" s="49"/>
      <c r="AA49" s="49"/>
      <c r="AB49" s="164"/>
    </row>
    <row r="50" spans="2:28" ht="20.100000000000001" customHeight="1">
      <c r="B50" s="163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 t="s">
        <v>172</v>
      </c>
      <c r="Q50" s="122"/>
      <c r="R50" s="122"/>
      <c r="S50" s="122"/>
      <c r="T50" s="266"/>
      <c r="U50" s="266"/>
      <c r="V50" s="49"/>
      <c r="W50" s="49"/>
      <c r="X50" s="49"/>
      <c r="Y50" s="49"/>
      <c r="Z50" s="49"/>
      <c r="AA50" s="49"/>
      <c r="AB50" s="164"/>
    </row>
    <row r="51" spans="2:28" ht="20.100000000000001" customHeight="1">
      <c r="B51" s="163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 t="s">
        <v>141</v>
      </c>
      <c r="Q51" s="269">
        <v>15400</v>
      </c>
      <c r="R51" s="269"/>
      <c r="S51" s="269"/>
      <c r="T51" s="266"/>
      <c r="U51" s="266"/>
      <c r="V51" s="49"/>
      <c r="W51" s="49"/>
      <c r="X51" s="49"/>
      <c r="Y51" s="49"/>
      <c r="Z51" s="49"/>
      <c r="AA51" s="49"/>
      <c r="AB51" s="164"/>
    </row>
    <row r="52" spans="2:28" ht="20.100000000000001" customHeight="1">
      <c r="B52" s="163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 t="s">
        <v>142</v>
      </c>
      <c r="Q52" s="269">
        <v>1400</v>
      </c>
      <c r="R52" s="269"/>
      <c r="S52" s="269"/>
      <c r="T52" s="266"/>
      <c r="U52" s="266"/>
      <c r="V52" s="49"/>
      <c r="W52" s="49"/>
      <c r="X52" s="49"/>
      <c r="Y52" s="49"/>
      <c r="Z52" s="49"/>
      <c r="AA52" s="49"/>
      <c r="AB52" s="164"/>
    </row>
    <row r="53" spans="2:28" ht="20.100000000000001" customHeight="1">
      <c r="B53" s="163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 t="s">
        <v>143</v>
      </c>
      <c r="Q53" s="269">
        <v>19600</v>
      </c>
      <c r="R53" s="269"/>
      <c r="S53" s="269"/>
      <c r="T53" s="266"/>
      <c r="U53" s="266"/>
      <c r="V53" s="49"/>
      <c r="W53" s="49"/>
      <c r="X53" s="49"/>
      <c r="Y53" s="49"/>
      <c r="Z53" s="49"/>
      <c r="AA53" s="49"/>
      <c r="AB53" s="164"/>
    </row>
    <row r="54" spans="2:28" ht="20.100000000000001" customHeight="1">
      <c r="B54" s="163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158" t="s">
        <v>144</v>
      </c>
      <c r="Q54" s="269">
        <v>1400</v>
      </c>
      <c r="R54" s="269"/>
      <c r="S54" s="269"/>
      <c r="T54" s="266">
        <v>43494</v>
      </c>
      <c r="U54" s="266"/>
      <c r="V54" s="49"/>
      <c r="W54" s="49"/>
      <c r="X54" s="49"/>
      <c r="Y54" s="49"/>
      <c r="Z54" s="49"/>
      <c r="AA54" s="49"/>
      <c r="AB54" s="164"/>
    </row>
    <row r="55" spans="2:28" ht="20.100000000000001" customHeight="1">
      <c r="B55" s="163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158" t="s">
        <v>145</v>
      </c>
      <c r="Q55" s="269">
        <v>23800</v>
      </c>
      <c r="R55" s="269"/>
      <c r="S55" s="269"/>
      <c r="T55" s="266">
        <v>43494</v>
      </c>
      <c r="U55" s="266"/>
      <c r="V55" s="49"/>
      <c r="W55" s="49"/>
      <c r="X55" s="49"/>
      <c r="Y55" s="49"/>
      <c r="Z55" s="49"/>
      <c r="AA55" s="49"/>
      <c r="AB55" s="164"/>
    </row>
    <row r="56" spans="2:28" ht="20.100000000000001" customHeight="1">
      <c r="B56" s="163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 t="s">
        <v>173</v>
      </c>
      <c r="Q56" s="122"/>
      <c r="R56" s="122"/>
      <c r="S56" s="122"/>
      <c r="T56" s="266"/>
      <c r="U56" s="266"/>
      <c r="V56" s="49"/>
      <c r="W56" s="49"/>
      <c r="X56" s="49"/>
      <c r="Y56" s="49"/>
      <c r="Z56" s="49"/>
      <c r="AA56" s="49"/>
      <c r="AB56" s="164"/>
    </row>
    <row r="57" spans="2:28" ht="20.100000000000001" customHeight="1">
      <c r="B57" s="163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 t="s">
        <v>146</v>
      </c>
      <c r="Q57" s="269">
        <v>16800</v>
      </c>
      <c r="R57" s="269"/>
      <c r="S57" s="269"/>
      <c r="T57" s="266"/>
      <c r="U57" s="266"/>
      <c r="V57" s="49"/>
      <c r="W57" s="49"/>
      <c r="X57" s="49"/>
      <c r="Y57" s="49"/>
      <c r="Z57" s="49"/>
      <c r="AA57" s="49"/>
      <c r="AB57" s="164"/>
    </row>
    <row r="58" spans="2:28" ht="20.100000000000001" customHeight="1">
      <c r="B58" s="163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 t="s">
        <v>174</v>
      </c>
      <c r="Q58" s="122"/>
      <c r="R58" s="122"/>
      <c r="S58" s="122"/>
      <c r="T58" s="266"/>
      <c r="U58" s="266"/>
      <c r="V58" s="49"/>
      <c r="W58" s="49"/>
      <c r="X58" s="49"/>
      <c r="Y58" s="49"/>
      <c r="Z58" s="49"/>
      <c r="AA58" s="49"/>
      <c r="AB58" s="164"/>
    </row>
    <row r="59" spans="2:28" ht="20.100000000000001" customHeight="1">
      <c r="B59" s="163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 t="s">
        <v>147</v>
      </c>
      <c r="Q59" s="269">
        <v>11200</v>
      </c>
      <c r="R59" s="269"/>
      <c r="S59" s="269"/>
      <c r="T59" s="266"/>
      <c r="U59" s="266"/>
      <c r="V59" s="49"/>
      <c r="W59" s="49"/>
      <c r="X59" s="49"/>
      <c r="Y59" s="49"/>
      <c r="Z59" s="49"/>
      <c r="AA59" s="49"/>
      <c r="AB59" s="164"/>
    </row>
    <row r="60" spans="2:28" ht="20.100000000000001" customHeight="1">
      <c r="B60" s="163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 t="s">
        <v>148</v>
      </c>
      <c r="Q60" s="269">
        <f>SUM(Q27:S59)</f>
        <v>223000</v>
      </c>
      <c r="R60" s="269"/>
      <c r="S60" s="269"/>
      <c r="T60" s="169"/>
      <c r="U60" s="169"/>
      <c r="V60" s="49"/>
      <c r="W60" s="49"/>
      <c r="X60" s="49"/>
      <c r="Y60" s="49"/>
      <c r="Z60" s="49"/>
      <c r="AA60" s="49"/>
      <c r="AB60" s="164"/>
    </row>
    <row r="61" spans="2:28" ht="20.100000000000001" customHeight="1" thickBot="1">
      <c r="B61" s="165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8"/>
    </row>
  </sheetData>
  <mergeCells count="60">
    <mergeCell ref="Q42:S42"/>
    <mergeCell ref="Q34:S34"/>
    <mergeCell ref="Q35:S35"/>
    <mergeCell ref="Q37:S37"/>
    <mergeCell ref="Q39:S39"/>
    <mergeCell ref="Q41:S41"/>
    <mergeCell ref="Q57:S57"/>
    <mergeCell ref="Q59:S59"/>
    <mergeCell ref="Q60:S60"/>
    <mergeCell ref="Q43:S43"/>
    <mergeCell ref="Q45:S45"/>
    <mergeCell ref="Q47:S47"/>
    <mergeCell ref="Q49:S49"/>
    <mergeCell ref="Q51:S51"/>
    <mergeCell ref="Q52:S52"/>
    <mergeCell ref="Q53:S53"/>
    <mergeCell ref="Q54:S54"/>
    <mergeCell ref="Q55:S55"/>
    <mergeCell ref="U1:AA1"/>
    <mergeCell ref="H1:N1"/>
    <mergeCell ref="Q29:S29"/>
    <mergeCell ref="Q31:S31"/>
    <mergeCell ref="Q33:S33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Q25:S25"/>
    <mergeCell ref="Q27:S27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9:U59"/>
    <mergeCell ref="T54:U54"/>
    <mergeCell ref="T55:U55"/>
    <mergeCell ref="T56:U56"/>
    <mergeCell ref="T57:U57"/>
    <mergeCell ref="T58:U58"/>
  </mergeCells>
  <pageMargins left="0" right="0" top="0.39370078740157483" bottom="0.39370078740157483" header="0.31496062992125984" footer="0.31496062992125984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workbookViewId="0">
      <selection activeCell="D19" sqref="D19"/>
    </sheetView>
  </sheetViews>
  <sheetFormatPr defaultRowHeight="17.25"/>
  <cols>
    <col min="1" max="1" width="9.140625" style="125"/>
    <col min="2" max="2" width="18.7109375" style="125" customWidth="1"/>
    <col min="3" max="3" width="15.7109375" style="125" customWidth="1"/>
    <col min="4" max="4" width="12.28515625" style="126" bestFit="1" customWidth="1"/>
    <col min="5" max="5" width="10.5703125" style="125" bestFit="1" customWidth="1"/>
    <col min="6" max="11" width="10.5703125" style="125" customWidth="1"/>
    <col min="12" max="12" width="10.5703125" style="125" bestFit="1" customWidth="1"/>
    <col min="13" max="13" width="9.140625" style="125"/>
    <col min="14" max="14" width="9.85546875" style="125" bestFit="1" customWidth="1"/>
    <col min="15" max="16384" width="9.140625" style="125"/>
  </cols>
  <sheetData>
    <row r="1" spans="2:15" ht="18" customHeight="1">
      <c r="B1" s="153"/>
      <c r="C1" s="127"/>
      <c r="D1" s="275" t="s">
        <v>124</v>
      </c>
      <c r="E1" s="276"/>
      <c r="F1" s="276"/>
      <c r="G1" s="276"/>
      <c r="H1" s="276"/>
      <c r="I1" s="276"/>
      <c r="J1" s="276"/>
      <c r="K1" s="277"/>
      <c r="L1" s="278" t="s">
        <v>123</v>
      </c>
      <c r="M1" s="279"/>
      <c r="N1" s="280"/>
    </row>
    <row r="2" spans="2:15" ht="18" thickBot="1">
      <c r="B2" s="151"/>
      <c r="C2" s="152"/>
      <c r="D2" s="149" t="s">
        <v>156</v>
      </c>
      <c r="E2" s="150">
        <v>3.7199999999999997E-2</v>
      </c>
      <c r="F2" s="272">
        <v>-0.03</v>
      </c>
      <c r="G2" s="272"/>
      <c r="H2" s="273">
        <v>0.04</v>
      </c>
      <c r="I2" s="273"/>
      <c r="J2" s="273">
        <v>0.05</v>
      </c>
      <c r="K2" s="274"/>
      <c r="L2" s="151" t="s">
        <v>156</v>
      </c>
      <c r="M2" s="150" t="s">
        <v>178</v>
      </c>
      <c r="N2" s="152"/>
    </row>
    <row r="3" spans="2:15">
      <c r="B3" s="153"/>
      <c r="C3" s="127"/>
      <c r="D3" s="137" t="s">
        <v>157</v>
      </c>
      <c r="E3" s="131" t="s">
        <v>158</v>
      </c>
      <c r="F3" s="138" t="s">
        <v>157</v>
      </c>
      <c r="G3" s="139" t="s">
        <v>158</v>
      </c>
      <c r="H3" s="138" t="s">
        <v>157</v>
      </c>
      <c r="I3" s="139" t="s">
        <v>158</v>
      </c>
      <c r="J3" s="138" t="s">
        <v>157</v>
      </c>
      <c r="K3" s="140" t="s">
        <v>158</v>
      </c>
      <c r="L3" s="130" t="s">
        <v>158</v>
      </c>
      <c r="M3" s="131" t="s">
        <v>158</v>
      </c>
      <c r="N3" s="132"/>
    </row>
    <row r="4" spans="2:15">
      <c r="B4" s="128" t="s">
        <v>108</v>
      </c>
      <c r="C4" s="129"/>
      <c r="D4" s="141">
        <v>0.8175</v>
      </c>
      <c r="E4" s="142">
        <f>D4/$E$2</f>
        <v>21.975806451612904</v>
      </c>
      <c r="F4" s="143">
        <f>D4</f>
        <v>0.8175</v>
      </c>
      <c r="G4" s="142">
        <f>F4/$E$2</f>
        <v>21.975806451612904</v>
      </c>
      <c r="H4" s="143">
        <f>D4*0.96</f>
        <v>0.78479999999999994</v>
      </c>
      <c r="I4" s="142">
        <f>H4/$E$2</f>
        <v>21.096774193548388</v>
      </c>
      <c r="J4" s="143">
        <f>D4*0.95</f>
        <v>0.77662500000000001</v>
      </c>
      <c r="K4" s="144">
        <f>J4/$E$2</f>
        <v>20.87701612903226</v>
      </c>
      <c r="L4" s="133">
        <v>25</v>
      </c>
      <c r="M4" s="142">
        <v>25</v>
      </c>
      <c r="N4" s="134">
        <v>0.14000000000000001</v>
      </c>
      <c r="O4" s="170">
        <f>(M4/L4)-1</f>
        <v>0</v>
      </c>
    </row>
    <row r="5" spans="2:15">
      <c r="B5" s="128" t="s">
        <v>34</v>
      </c>
      <c r="C5" s="129"/>
      <c r="D5" s="141">
        <v>0.60940000000000005</v>
      </c>
      <c r="E5" s="142">
        <f t="shared" ref="E5:E15" si="0">D5/$E$2</f>
        <v>16.381720430107528</v>
      </c>
      <c r="F5" s="172">
        <f t="shared" ref="F5:F11" si="1">D5*0.97</f>
        <v>0.59111800000000003</v>
      </c>
      <c r="G5" s="142">
        <f t="shared" ref="G5:G15" si="2">F5/$E$2</f>
        <v>15.890268817204303</v>
      </c>
      <c r="H5" s="143">
        <f t="shared" ref="H5:H11" si="3">D5*0.96</f>
        <v>0.58502399999999999</v>
      </c>
      <c r="I5" s="142">
        <f t="shared" ref="I5:I15" si="4">H5/$E$2</f>
        <v>15.726451612903226</v>
      </c>
      <c r="J5" s="143">
        <f t="shared" ref="J5:J11" si="5">D5*0.95</f>
        <v>0.57893000000000006</v>
      </c>
      <c r="K5" s="144">
        <f t="shared" ref="K5:K15" si="6">J5/$E$2</f>
        <v>15.562634408602154</v>
      </c>
      <c r="L5" s="133">
        <v>17</v>
      </c>
      <c r="M5" s="171">
        <f>G5*1.06</f>
        <v>16.843684946236561</v>
      </c>
      <c r="N5" s="134">
        <v>0.06</v>
      </c>
      <c r="O5" s="179">
        <f t="shared" ref="O5:O15" si="7">(M5/L5)-1</f>
        <v>-9.1950031625552819E-3</v>
      </c>
    </row>
    <row r="6" spans="2:15">
      <c r="B6" s="128" t="s">
        <v>109</v>
      </c>
      <c r="C6" s="129"/>
      <c r="D6" s="141">
        <v>0.46050000000000002</v>
      </c>
      <c r="E6" s="142">
        <f t="shared" si="0"/>
        <v>12.379032258064518</v>
      </c>
      <c r="F6" s="172">
        <f t="shared" si="1"/>
        <v>0.446685</v>
      </c>
      <c r="G6" s="142">
        <f t="shared" si="2"/>
        <v>12.007661290322581</v>
      </c>
      <c r="H6" s="143">
        <f t="shared" si="3"/>
        <v>0.44208000000000003</v>
      </c>
      <c r="I6" s="142">
        <f t="shared" si="4"/>
        <v>11.883870967741938</v>
      </c>
      <c r="J6" s="143">
        <f t="shared" si="5"/>
        <v>0.437475</v>
      </c>
      <c r="K6" s="144">
        <f t="shared" si="6"/>
        <v>11.760080645161292</v>
      </c>
      <c r="L6" s="133">
        <v>13.07</v>
      </c>
      <c r="M6" s="171">
        <f t="shared" ref="M6:M11" si="8">G6*1.06</f>
        <v>12.728120967741937</v>
      </c>
      <c r="N6" s="134">
        <v>0.06</v>
      </c>
      <c r="O6" s="179">
        <f t="shared" si="7"/>
        <v>-2.6157538810869463E-2</v>
      </c>
    </row>
    <row r="7" spans="2:15">
      <c r="B7" s="128" t="s">
        <v>110</v>
      </c>
      <c r="C7" s="129"/>
      <c r="D7" s="141">
        <v>0.46050000000000002</v>
      </c>
      <c r="E7" s="142">
        <f t="shared" si="0"/>
        <v>12.379032258064518</v>
      </c>
      <c r="F7" s="172">
        <f t="shared" si="1"/>
        <v>0.446685</v>
      </c>
      <c r="G7" s="142">
        <f t="shared" si="2"/>
        <v>12.007661290322581</v>
      </c>
      <c r="H7" s="143">
        <f t="shared" si="3"/>
        <v>0.44208000000000003</v>
      </c>
      <c r="I7" s="142">
        <f t="shared" si="4"/>
        <v>11.883870967741938</v>
      </c>
      <c r="J7" s="143">
        <f t="shared" si="5"/>
        <v>0.437475</v>
      </c>
      <c r="K7" s="144">
        <f t="shared" si="6"/>
        <v>11.760080645161292</v>
      </c>
      <c r="L7" s="133">
        <v>13.07</v>
      </c>
      <c r="M7" s="171">
        <f t="shared" si="8"/>
        <v>12.728120967741937</v>
      </c>
      <c r="N7" s="134">
        <v>0.06</v>
      </c>
      <c r="O7" s="179">
        <f t="shared" si="7"/>
        <v>-2.6157538810869463E-2</v>
      </c>
    </row>
    <row r="8" spans="2:15">
      <c r="B8" s="128" t="s">
        <v>111</v>
      </c>
      <c r="C8" s="129"/>
      <c r="D8" s="141">
        <v>0.46050000000000002</v>
      </c>
      <c r="E8" s="142">
        <f t="shared" si="0"/>
        <v>12.379032258064518</v>
      </c>
      <c r="F8" s="172">
        <f t="shared" si="1"/>
        <v>0.446685</v>
      </c>
      <c r="G8" s="142">
        <f t="shared" si="2"/>
        <v>12.007661290322581</v>
      </c>
      <c r="H8" s="143">
        <f t="shared" si="3"/>
        <v>0.44208000000000003</v>
      </c>
      <c r="I8" s="142">
        <f t="shared" si="4"/>
        <v>11.883870967741938</v>
      </c>
      <c r="J8" s="143">
        <f t="shared" si="5"/>
        <v>0.437475</v>
      </c>
      <c r="K8" s="144">
        <f t="shared" si="6"/>
        <v>11.760080645161292</v>
      </c>
      <c r="L8" s="133">
        <v>13.07</v>
      </c>
      <c r="M8" s="171">
        <f t="shared" si="8"/>
        <v>12.728120967741937</v>
      </c>
      <c r="N8" s="134">
        <v>0.06</v>
      </c>
      <c r="O8" s="179">
        <f t="shared" si="7"/>
        <v>-2.6157538810869463E-2</v>
      </c>
    </row>
    <row r="9" spans="2:15">
      <c r="B9" s="128" t="s">
        <v>112</v>
      </c>
      <c r="C9" s="129"/>
      <c r="D9" s="141">
        <v>0.47389999999999999</v>
      </c>
      <c r="E9" s="142">
        <f t="shared" si="0"/>
        <v>12.739247311827958</v>
      </c>
      <c r="F9" s="172">
        <f t="shared" si="1"/>
        <v>0.45968299999999995</v>
      </c>
      <c r="G9" s="142">
        <f t="shared" si="2"/>
        <v>12.357069892473119</v>
      </c>
      <c r="H9" s="143">
        <f t="shared" si="3"/>
        <v>0.45494399999999996</v>
      </c>
      <c r="I9" s="142">
        <f t="shared" si="4"/>
        <v>12.229677419354839</v>
      </c>
      <c r="J9" s="143">
        <f t="shared" si="5"/>
        <v>0.45020499999999997</v>
      </c>
      <c r="K9" s="144">
        <f t="shared" si="6"/>
        <v>12.102284946236558</v>
      </c>
      <c r="L9" s="133">
        <v>13.45</v>
      </c>
      <c r="M9" s="171">
        <f t="shared" si="8"/>
        <v>13.098494086021507</v>
      </c>
      <c r="N9" s="134">
        <v>0.06</v>
      </c>
      <c r="O9" s="179">
        <f t="shared" si="7"/>
        <v>-2.6134268697285634E-2</v>
      </c>
    </row>
    <row r="10" spans="2:15">
      <c r="B10" s="128" t="s">
        <v>113</v>
      </c>
      <c r="C10" s="129"/>
      <c r="D10" s="141">
        <v>0.47389999999999999</v>
      </c>
      <c r="E10" s="142">
        <f t="shared" si="0"/>
        <v>12.739247311827958</v>
      </c>
      <c r="F10" s="172">
        <f t="shared" si="1"/>
        <v>0.45968299999999995</v>
      </c>
      <c r="G10" s="142">
        <f t="shared" si="2"/>
        <v>12.357069892473119</v>
      </c>
      <c r="H10" s="143">
        <f t="shared" si="3"/>
        <v>0.45494399999999996</v>
      </c>
      <c r="I10" s="142">
        <f t="shared" si="4"/>
        <v>12.229677419354839</v>
      </c>
      <c r="J10" s="143">
        <f t="shared" si="5"/>
        <v>0.45020499999999997</v>
      </c>
      <c r="K10" s="144">
        <f t="shared" si="6"/>
        <v>12.102284946236558</v>
      </c>
      <c r="L10" s="133">
        <v>13.45</v>
      </c>
      <c r="M10" s="171">
        <f t="shared" si="8"/>
        <v>13.098494086021507</v>
      </c>
      <c r="N10" s="134">
        <v>0.06</v>
      </c>
      <c r="O10" s="179">
        <f t="shared" si="7"/>
        <v>-2.6134268697285634E-2</v>
      </c>
    </row>
    <row r="11" spans="2:15">
      <c r="B11" s="128" t="s">
        <v>114</v>
      </c>
      <c r="C11" s="129"/>
      <c r="D11" s="141">
        <v>0.47389999999999999</v>
      </c>
      <c r="E11" s="142">
        <f t="shared" si="0"/>
        <v>12.739247311827958</v>
      </c>
      <c r="F11" s="172">
        <f t="shared" si="1"/>
        <v>0.45968299999999995</v>
      </c>
      <c r="G11" s="142">
        <f t="shared" si="2"/>
        <v>12.357069892473119</v>
      </c>
      <c r="H11" s="143">
        <f t="shared" si="3"/>
        <v>0.45494399999999996</v>
      </c>
      <c r="I11" s="142">
        <f t="shared" si="4"/>
        <v>12.229677419354839</v>
      </c>
      <c r="J11" s="143">
        <f t="shared" si="5"/>
        <v>0.45020499999999997</v>
      </c>
      <c r="K11" s="144">
        <f t="shared" si="6"/>
        <v>12.102284946236558</v>
      </c>
      <c r="L11" s="133">
        <v>13.45</v>
      </c>
      <c r="M11" s="171">
        <f t="shared" si="8"/>
        <v>13.098494086021507</v>
      </c>
      <c r="N11" s="134">
        <v>0.06</v>
      </c>
      <c r="O11" s="179">
        <f t="shared" si="7"/>
        <v>-2.6134268697285634E-2</v>
      </c>
    </row>
    <row r="12" spans="2:15">
      <c r="B12" s="154" t="s">
        <v>119</v>
      </c>
      <c r="C12" s="129" t="s">
        <v>115</v>
      </c>
      <c r="D12" s="141">
        <v>0.94930000000000003</v>
      </c>
      <c r="E12" s="142">
        <f t="shared" si="0"/>
        <v>25.518817204301079</v>
      </c>
      <c r="F12" s="143">
        <f>D12</f>
        <v>0.94930000000000003</v>
      </c>
      <c r="G12" s="142">
        <f t="shared" si="2"/>
        <v>25.518817204301079</v>
      </c>
      <c r="H12" s="143">
        <f>D12</f>
        <v>0.94930000000000003</v>
      </c>
      <c r="I12" s="142">
        <f t="shared" si="4"/>
        <v>25.518817204301079</v>
      </c>
      <c r="J12" s="143">
        <f>D12</f>
        <v>0.94930000000000003</v>
      </c>
      <c r="K12" s="144">
        <f t="shared" si="6"/>
        <v>25.518817204301079</v>
      </c>
      <c r="L12" s="133">
        <v>26.94</v>
      </c>
      <c r="M12" s="142">
        <f>L12</f>
        <v>26.94</v>
      </c>
      <c r="N12" s="134">
        <v>0.06</v>
      </c>
      <c r="O12" s="170">
        <f t="shared" si="7"/>
        <v>0</v>
      </c>
    </row>
    <row r="13" spans="2:15">
      <c r="B13" s="154" t="s">
        <v>120</v>
      </c>
      <c r="C13" s="129" t="s">
        <v>116</v>
      </c>
      <c r="D13" s="141">
        <v>1.9097999999999999</v>
      </c>
      <c r="E13" s="142">
        <f t="shared" si="0"/>
        <v>51.338709677419359</v>
      </c>
      <c r="F13" s="143">
        <f t="shared" ref="F13:F15" si="9">D13</f>
        <v>1.9097999999999999</v>
      </c>
      <c r="G13" s="142">
        <f t="shared" si="2"/>
        <v>51.338709677419359</v>
      </c>
      <c r="H13" s="143">
        <f t="shared" ref="H13:H15" si="10">D13</f>
        <v>1.9097999999999999</v>
      </c>
      <c r="I13" s="142">
        <f t="shared" si="4"/>
        <v>51.338709677419359</v>
      </c>
      <c r="J13" s="143">
        <f t="shared" ref="J13:J15" si="11">D13</f>
        <v>1.9097999999999999</v>
      </c>
      <c r="K13" s="144">
        <f t="shared" si="6"/>
        <v>51.338709677419359</v>
      </c>
      <c r="L13" s="133">
        <v>54.52</v>
      </c>
      <c r="M13" s="142">
        <f t="shared" ref="M13:M15" si="12">L13</f>
        <v>54.52</v>
      </c>
      <c r="N13" s="134">
        <v>0.06</v>
      </c>
      <c r="O13" s="170">
        <f t="shared" si="7"/>
        <v>0</v>
      </c>
    </row>
    <row r="14" spans="2:15">
      <c r="B14" s="154" t="s">
        <v>121</v>
      </c>
      <c r="C14" s="129" t="s">
        <v>117</v>
      </c>
      <c r="D14" s="141">
        <v>3.9847000000000001</v>
      </c>
      <c r="E14" s="142">
        <f t="shared" si="0"/>
        <v>107.11559139784947</v>
      </c>
      <c r="F14" s="143">
        <f t="shared" si="9"/>
        <v>3.9847000000000001</v>
      </c>
      <c r="G14" s="142">
        <f t="shared" si="2"/>
        <v>107.11559139784947</v>
      </c>
      <c r="H14" s="143">
        <f t="shared" si="10"/>
        <v>3.9847000000000001</v>
      </c>
      <c r="I14" s="142">
        <f t="shared" si="4"/>
        <v>107.11559139784947</v>
      </c>
      <c r="J14" s="143">
        <f t="shared" si="11"/>
        <v>3.9847000000000001</v>
      </c>
      <c r="K14" s="144">
        <f t="shared" si="6"/>
        <v>107.11559139784947</v>
      </c>
      <c r="L14" s="133">
        <v>113.07</v>
      </c>
      <c r="M14" s="142">
        <f t="shared" si="12"/>
        <v>113.07</v>
      </c>
      <c r="N14" s="134">
        <v>0.06</v>
      </c>
      <c r="O14" s="170">
        <f t="shared" si="7"/>
        <v>0</v>
      </c>
    </row>
    <row r="15" spans="2:15" ht="18" thickBot="1">
      <c r="B15" s="155" t="s">
        <v>122</v>
      </c>
      <c r="C15" s="152" t="s">
        <v>118</v>
      </c>
      <c r="D15" s="145">
        <v>1.2827999999999999</v>
      </c>
      <c r="E15" s="146">
        <f t="shared" si="0"/>
        <v>34.483870967741936</v>
      </c>
      <c r="F15" s="147">
        <f t="shared" si="9"/>
        <v>1.2827999999999999</v>
      </c>
      <c r="G15" s="146">
        <f t="shared" si="2"/>
        <v>34.483870967741936</v>
      </c>
      <c r="H15" s="147">
        <f t="shared" si="10"/>
        <v>1.2827999999999999</v>
      </c>
      <c r="I15" s="146">
        <f t="shared" si="4"/>
        <v>34.483870967741936</v>
      </c>
      <c r="J15" s="147">
        <f t="shared" si="11"/>
        <v>1.2827999999999999</v>
      </c>
      <c r="K15" s="148">
        <f t="shared" si="6"/>
        <v>34.483870967741936</v>
      </c>
      <c r="L15" s="135">
        <v>36.549999999999997</v>
      </c>
      <c r="M15" s="146">
        <f t="shared" si="12"/>
        <v>36.549999999999997</v>
      </c>
      <c r="N15" s="136">
        <v>0.06</v>
      </c>
      <c r="O15" s="170">
        <f t="shared" si="7"/>
        <v>0</v>
      </c>
    </row>
  </sheetData>
  <mergeCells count="5">
    <mergeCell ref="F2:G2"/>
    <mergeCell ref="H2:I2"/>
    <mergeCell ref="J2:K2"/>
    <mergeCell ref="D1:K1"/>
    <mergeCell ref="L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25"/>
  <sheetViews>
    <sheetView showGridLines="0" zoomScaleNormal="100" workbookViewId="0">
      <selection activeCell="B2" sqref="B2:Q25"/>
    </sheetView>
  </sheetViews>
  <sheetFormatPr defaultColWidth="8.7109375" defaultRowHeight="12"/>
  <cols>
    <col min="1" max="1" width="1.28515625" style="184" customWidth="1"/>
    <col min="2" max="2" width="10" style="184" customWidth="1"/>
    <col min="3" max="3" width="11.28515625" style="184" customWidth="1"/>
    <col min="4" max="4" width="11.42578125" style="184" customWidth="1"/>
    <col min="5" max="17" width="9.7109375" style="184" customWidth="1"/>
    <col min="18" max="16384" width="8.7109375" style="184"/>
  </cols>
  <sheetData>
    <row r="1" spans="2:17" ht="13.5" customHeight="1" thickBot="1">
      <c r="B1" s="180"/>
      <c r="C1" s="180"/>
      <c r="D1" s="181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3"/>
    </row>
    <row r="2" spans="2:17" ht="17.100000000000001" customHeight="1" thickBot="1">
      <c r="B2" s="185" t="s">
        <v>199</v>
      </c>
      <c r="C2" s="185"/>
      <c r="D2" s="185"/>
      <c r="E2" s="281" t="s">
        <v>200</v>
      </c>
      <c r="F2" s="282"/>
      <c r="G2" s="283"/>
      <c r="H2" s="281" t="s">
        <v>201</v>
      </c>
      <c r="I2" s="282"/>
      <c r="J2" s="283"/>
      <c r="K2" s="281" t="s">
        <v>202</v>
      </c>
      <c r="L2" s="282"/>
      <c r="M2" s="283"/>
      <c r="N2" s="282" t="s">
        <v>203</v>
      </c>
      <c r="O2" s="282"/>
      <c r="P2" s="283"/>
      <c r="Q2" s="185"/>
    </row>
    <row r="3" spans="2:17" ht="21.6" customHeight="1" thickBot="1">
      <c r="B3" s="186" t="s">
        <v>204</v>
      </c>
      <c r="C3" s="187" t="s">
        <v>205</v>
      </c>
      <c r="D3" s="188" t="s">
        <v>206</v>
      </c>
      <c r="E3" s="189" t="s">
        <v>207</v>
      </c>
      <c r="F3" s="190" t="s">
        <v>208</v>
      </c>
      <c r="G3" s="191" t="s">
        <v>209</v>
      </c>
      <c r="H3" s="189" t="s">
        <v>210</v>
      </c>
      <c r="I3" s="190" t="s">
        <v>211</v>
      </c>
      <c r="J3" s="191" t="s">
        <v>212</v>
      </c>
      <c r="K3" s="189" t="s">
        <v>213</v>
      </c>
      <c r="L3" s="190" t="s">
        <v>214</v>
      </c>
      <c r="M3" s="191" t="s">
        <v>215</v>
      </c>
      <c r="N3" s="192" t="s">
        <v>216</v>
      </c>
      <c r="O3" s="190" t="s">
        <v>217</v>
      </c>
      <c r="P3" s="191" t="s">
        <v>218</v>
      </c>
      <c r="Q3" s="193" t="s">
        <v>219</v>
      </c>
    </row>
    <row r="4" spans="2:17" ht="23.1" customHeight="1">
      <c r="B4" s="284" t="s">
        <v>220</v>
      </c>
      <c r="C4" s="287" t="s">
        <v>221</v>
      </c>
      <c r="D4" s="194" t="s">
        <v>222</v>
      </c>
      <c r="E4" s="195">
        <v>75000</v>
      </c>
      <c r="F4" s="196">
        <v>75000</v>
      </c>
      <c r="G4" s="197">
        <v>325000</v>
      </c>
      <c r="H4" s="195">
        <v>325000</v>
      </c>
      <c r="I4" s="196">
        <v>325000</v>
      </c>
      <c r="J4" s="197">
        <v>325000</v>
      </c>
      <c r="K4" s="195">
        <v>657000</v>
      </c>
      <c r="L4" s="196">
        <v>657000</v>
      </c>
      <c r="M4" s="197">
        <v>657000</v>
      </c>
      <c r="N4" s="198">
        <v>657000</v>
      </c>
      <c r="O4" s="196">
        <v>657000</v>
      </c>
      <c r="P4" s="197">
        <v>657000</v>
      </c>
      <c r="Q4" s="290">
        <f t="shared" ref="Q4" si="0">SUM(E4:P4)</f>
        <v>5392000</v>
      </c>
    </row>
    <row r="5" spans="2:17" ht="14.1" customHeight="1">
      <c r="B5" s="285"/>
      <c r="C5" s="288"/>
      <c r="D5" s="199" t="s">
        <v>223</v>
      </c>
      <c r="E5" s="200"/>
      <c r="F5" s="201"/>
      <c r="G5" s="202"/>
      <c r="H5" s="200"/>
      <c r="I5" s="201"/>
      <c r="J5" s="202"/>
      <c r="K5" s="200"/>
      <c r="L5" s="201"/>
      <c r="M5" s="202"/>
      <c r="N5" s="203"/>
      <c r="O5" s="201"/>
      <c r="P5" s="202"/>
      <c r="Q5" s="291"/>
    </row>
    <row r="6" spans="2:17" ht="14.1" customHeight="1">
      <c r="B6" s="286"/>
      <c r="C6" s="289"/>
      <c r="D6" s="199" t="s">
        <v>229</v>
      </c>
      <c r="E6" s="200"/>
      <c r="F6" s="201"/>
      <c r="G6" s="202"/>
      <c r="H6" s="200"/>
      <c r="I6" s="201"/>
      <c r="J6" s="202"/>
      <c r="K6" s="200"/>
      <c r="L6" s="201"/>
      <c r="M6" s="202"/>
      <c r="N6" s="203"/>
      <c r="O6" s="201"/>
      <c r="P6" s="202"/>
      <c r="Q6" s="292"/>
    </row>
    <row r="7" spans="2:17" ht="23.1" customHeight="1">
      <c r="B7" s="293" t="s">
        <v>220</v>
      </c>
      <c r="C7" s="294" t="s">
        <v>224</v>
      </c>
      <c r="D7" s="194" t="s">
        <v>222</v>
      </c>
      <c r="E7" s="204">
        <v>155000</v>
      </c>
      <c r="F7" s="205">
        <v>155000</v>
      </c>
      <c r="G7" s="206">
        <v>510000</v>
      </c>
      <c r="H7" s="204">
        <v>510000</v>
      </c>
      <c r="I7" s="205">
        <v>510000</v>
      </c>
      <c r="J7" s="206">
        <v>510000</v>
      </c>
      <c r="K7" s="204">
        <v>1006000</v>
      </c>
      <c r="L7" s="205">
        <v>1006000</v>
      </c>
      <c r="M7" s="206">
        <v>1006000</v>
      </c>
      <c r="N7" s="207">
        <v>1006000</v>
      </c>
      <c r="O7" s="205">
        <v>1006000</v>
      </c>
      <c r="P7" s="208">
        <v>1006000</v>
      </c>
      <c r="Q7" s="295">
        <f t="shared" ref="Q7:Q22" si="1">SUM(E7:P7)</f>
        <v>8386000</v>
      </c>
    </row>
    <row r="8" spans="2:17" ht="13.5" customHeight="1">
      <c r="B8" s="285"/>
      <c r="C8" s="288"/>
      <c r="D8" s="199" t="s">
        <v>223</v>
      </c>
      <c r="E8" s="200"/>
      <c r="F8" s="201"/>
      <c r="G8" s="202"/>
      <c r="H8" s="200"/>
      <c r="I8" s="201"/>
      <c r="J8" s="202"/>
      <c r="K8" s="200"/>
      <c r="L8" s="201"/>
      <c r="M8" s="202"/>
      <c r="N8" s="203"/>
      <c r="O8" s="201"/>
      <c r="P8" s="202"/>
      <c r="Q8" s="291"/>
    </row>
    <row r="9" spans="2:17" ht="13.5" customHeight="1">
      <c r="B9" s="286"/>
      <c r="C9" s="289"/>
      <c r="D9" s="199" t="s">
        <v>229</v>
      </c>
      <c r="E9" s="200"/>
      <c r="F9" s="201"/>
      <c r="G9" s="202"/>
      <c r="H9" s="200"/>
      <c r="I9" s="201"/>
      <c r="J9" s="202"/>
      <c r="K9" s="200"/>
      <c r="L9" s="201"/>
      <c r="M9" s="202"/>
      <c r="N9" s="203"/>
      <c r="O9" s="201"/>
      <c r="P9" s="202"/>
      <c r="Q9" s="292"/>
    </row>
    <row r="10" spans="2:17" ht="23.1" customHeight="1">
      <c r="B10" s="293" t="s">
        <v>220</v>
      </c>
      <c r="C10" s="294" t="s">
        <v>225</v>
      </c>
      <c r="D10" s="194" t="s">
        <v>222</v>
      </c>
      <c r="E10" s="204">
        <v>97000</v>
      </c>
      <c r="F10" s="205">
        <v>97000</v>
      </c>
      <c r="G10" s="206">
        <v>347000</v>
      </c>
      <c r="H10" s="204">
        <v>347000</v>
      </c>
      <c r="I10" s="205">
        <v>347000</v>
      </c>
      <c r="J10" s="206">
        <v>347000</v>
      </c>
      <c r="K10" s="204">
        <v>312000</v>
      </c>
      <c r="L10" s="205">
        <v>312000</v>
      </c>
      <c r="M10" s="206">
        <v>312000</v>
      </c>
      <c r="N10" s="207">
        <v>312000</v>
      </c>
      <c r="O10" s="205">
        <v>312000</v>
      </c>
      <c r="P10" s="206">
        <v>312000</v>
      </c>
      <c r="Q10" s="295">
        <f t="shared" si="1"/>
        <v>3454000</v>
      </c>
    </row>
    <row r="11" spans="2:17" ht="13.5" customHeight="1">
      <c r="B11" s="285"/>
      <c r="C11" s="288"/>
      <c r="D11" s="199" t="s">
        <v>223</v>
      </c>
      <c r="E11" s="200"/>
      <c r="F11" s="201"/>
      <c r="G11" s="202"/>
      <c r="H11" s="200"/>
      <c r="I11" s="201"/>
      <c r="J11" s="202"/>
      <c r="K11" s="200"/>
      <c r="L11" s="201"/>
      <c r="M11" s="202"/>
      <c r="N11" s="203"/>
      <c r="O11" s="201"/>
      <c r="P11" s="202"/>
      <c r="Q11" s="291"/>
    </row>
    <row r="12" spans="2:17" ht="13.5" customHeight="1">
      <c r="B12" s="286"/>
      <c r="C12" s="289"/>
      <c r="D12" s="199" t="s">
        <v>229</v>
      </c>
      <c r="E12" s="200"/>
      <c r="F12" s="201"/>
      <c r="G12" s="202"/>
      <c r="H12" s="200"/>
      <c r="I12" s="201"/>
      <c r="J12" s="202"/>
      <c r="K12" s="200"/>
      <c r="L12" s="201"/>
      <c r="M12" s="202"/>
      <c r="N12" s="203"/>
      <c r="O12" s="201"/>
      <c r="P12" s="202"/>
      <c r="Q12" s="292"/>
    </row>
    <row r="13" spans="2:17" ht="23.1" customHeight="1">
      <c r="B13" s="293" t="s">
        <v>220</v>
      </c>
      <c r="C13" s="294" t="s">
        <v>226</v>
      </c>
      <c r="D13" s="194" t="s">
        <v>222</v>
      </c>
      <c r="E13" s="204">
        <v>335000</v>
      </c>
      <c r="F13" s="205">
        <v>335000</v>
      </c>
      <c r="G13" s="206">
        <v>1246000</v>
      </c>
      <c r="H13" s="204">
        <v>1246000</v>
      </c>
      <c r="I13" s="205">
        <v>1246000</v>
      </c>
      <c r="J13" s="206">
        <v>1246000</v>
      </c>
      <c r="K13" s="204">
        <v>1139000</v>
      </c>
      <c r="L13" s="205">
        <v>1139000</v>
      </c>
      <c r="M13" s="206">
        <v>1139000</v>
      </c>
      <c r="N13" s="207">
        <v>1139000</v>
      </c>
      <c r="O13" s="205">
        <v>1139000</v>
      </c>
      <c r="P13" s="206">
        <v>1139000</v>
      </c>
      <c r="Q13" s="295">
        <f t="shared" si="1"/>
        <v>12488000</v>
      </c>
    </row>
    <row r="14" spans="2:17" ht="13.5" customHeight="1">
      <c r="B14" s="285"/>
      <c r="C14" s="288"/>
      <c r="D14" s="199" t="s">
        <v>223</v>
      </c>
      <c r="E14" s="200"/>
      <c r="F14" s="201"/>
      <c r="G14" s="202"/>
      <c r="H14" s="200"/>
      <c r="I14" s="201"/>
      <c r="J14" s="202"/>
      <c r="K14" s="200"/>
      <c r="L14" s="201"/>
      <c r="M14" s="202"/>
      <c r="N14" s="203"/>
      <c r="O14" s="201"/>
      <c r="P14" s="202"/>
      <c r="Q14" s="291"/>
    </row>
    <row r="15" spans="2:17" ht="13.5" customHeight="1">
      <c r="B15" s="286"/>
      <c r="C15" s="289"/>
      <c r="D15" s="199" t="s">
        <v>229</v>
      </c>
      <c r="E15" s="200"/>
      <c r="F15" s="201"/>
      <c r="G15" s="202"/>
      <c r="H15" s="200"/>
      <c r="I15" s="201"/>
      <c r="J15" s="202"/>
      <c r="K15" s="200"/>
      <c r="L15" s="201"/>
      <c r="M15" s="202"/>
      <c r="N15" s="203"/>
      <c r="O15" s="201"/>
      <c r="P15" s="202"/>
      <c r="Q15" s="292"/>
    </row>
    <row r="16" spans="2:17" ht="23.1" customHeight="1">
      <c r="B16" s="293" t="s">
        <v>220</v>
      </c>
      <c r="C16" s="294" t="s">
        <v>227</v>
      </c>
      <c r="D16" s="194" t="s">
        <v>222</v>
      </c>
      <c r="E16" s="204">
        <v>21000</v>
      </c>
      <c r="F16" s="205">
        <v>21000</v>
      </c>
      <c r="G16" s="206">
        <v>104000</v>
      </c>
      <c r="H16" s="204">
        <v>104000</v>
      </c>
      <c r="I16" s="205">
        <v>104000</v>
      </c>
      <c r="J16" s="206">
        <v>104000</v>
      </c>
      <c r="K16" s="204">
        <v>104000</v>
      </c>
      <c r="L16" s="205">
        <v>104000</v>
      </c>
      <c r="M16" s="206">
        <v>104000</v>
      </c>
      <c r="N16" s="204">
        <v>104000</v>
      </c>
      <c r="O16" s="205">
        <v>104000</v>
      </c>
      <c r="P16" s="206">
        <v>104000</v>
      </c>
      <c r="Q16" s="295">
        <f t="shared" si="1"/>
        <v>1082000</v>
      </c>
    </row>
    <row r="17" spans="2:17" ht="13.5" customHeight="1">
      <c r="B17" s="285"/>
      <c r="C17" s="288"/>
      <c r="D17" s="199" t="s">
        <v>223</v>
      </c>
      <c r="E17" s="200"/>
      <c r="F17" s="201"/>
      <c r="G17" s="202"/>
      <c r="H17" s="200"/>
      <c r="I17" s="201"/>
      <c r="J17" s="202"/>
      <c r="K17" s="200"/>
      <c r="L17" s="201"/>
      <c r="M17" s="202"/>
      <c r="N17" s="203"/>
      <c r="O17" s="201"/>
      <c r="P17" s="202"/>
      <c r="Q17" s="291"/>
    </row>
    <row r="18" spans="2:17" ht="13.5" customHeight="1">
      <c r="B18" s="286"/>
      <c r="C18" s="289"/>
      <c r="D18" s="199" t="s">
        <v>229</v>
      </c>
      <c r="E18" s="200"/>
      <c r="F18" s="201"/>
      <c r="G18" s="202"/>
      <c r="H18" s="200"/>
      <c r="I18" s="201"/>
      <c r="J18" s="202"/>
      <c r="K18" s="200"/>
      <c r="L18" s="201"/>
      <c r="M18" s="202"/>
      <c r="N18" s="203"/>
      <c r="O18" s="201"/>
      <c r="P18" s="202"/>
      <c r="Q18" s="292"/>
    </row>
    <row r="19" spans="2:17" ht="23.1" customHeight="1">
      <c r="B19" s="293" t="s">
        <v>220</v>
      </c>
      <c r="C19" s="294" t="s">
        <v>227</v>
      </c>
      <c r="D19" s="194" t="s">
        <v>222</v>
      </c>
      <c r="E19" s="204">
        <v>165000.00000000003</v>
      </c>
      <c r="F19" s="205">
        <v>165000.00000000003</v>
      </c>
      <c r="G19" s="206">
        <v>825000.00000000012</v>
      </c>
      <c r="H19" s="204">
        <v>825000.00000000012</v>
      </c>
      <c r="I19" s="205">
        <v>825000.00000000012</v>
      </c>
      <c r="J19" s="206">
        <v>825000.00000000012</v>
      </c>
      <c r="K19" s="204">
        <v>825000.00000000012</v>
      </c>
      <c r="L19" s="205">
        <v>825000.00000000012</v>
      </c>
      <c r="M19" s="206">
        <v>825000.00000000012</v>
      </c>
      <c r="N19" s="207">
        <v>825000.00000000012</v>
      </c>
      <c r="O19" s="205">
        <v>825000.00000000012</v>
      </c>
      <c r="P19" s="206">
        <v>825000.00000000012</v>
      </c>
      <c r="Q19" s="295">
        <f t="shared" si="1"/>
        <v>8580000.0000000019</v>
      </c>
    </row>
    <row r="20" spans="2:17" ht="13.5" customHeight="1">
      <c r="B20" s="285"/>
      <c r="C20" s="288"/>
      <c r="D20" s="199" t="s">
        <v>223</v>
      </c>
      <c r="E20" s="200"/>
      <c r="F20" s="201"/>
      <c r="G20" s="202"/>
      <c r="H20" s="200"/>
      <c r="I20" s="201"/>
      <c r="J20" s="202"/>
      <c r="K20" s="200"/>
      <c r="L20" s="201"/>
      <c r="M20" s="202"/>
      <c r="N20" s="203"/>
      <c r="O20" s="201"/>
      <c r="P20" s="202"/>
      <c r="Q20" s="291"/>
    </row>
    <row r="21" spans="2:17" ht="13.5" customHeight="1">
      <c r="B21" s="286"/>
      <c r="C21" s="289"/>
      <c r="D21" s="199" t="s">
        <v>229</v>
      </c>
      <c r="E21" s="200"/>
      <c r="F21" s="201"/>
      <c r="G21" s="202"/>
      <c r="H21" s="200"/>
      <c r="I21" s="201"/>
      <c r="J21" s="202"/>
      <c r="K21" s="200"/>
      <c r="L21" s="201"/>
      <c r="M21" s="202"/>
      <c r="N21" s="203"/>
      <c r="O21" s="201"/>
      <c r="P21" s="202"/>
      <c r="Q21" s="292"/>
    </row>
    <row r="22" spans="2:17" ht="23.1" customHeight="1">
      <c r="B22" s="293" t="s">
        <v>220</v>
      </c>
      <c r="C22" s="294" t="s">
        <v>228</v>
      </c>
      <c r="D22" s="194" t="s">
        <v>222</v>
      </c>
      <c r="E22" s="204">
        <v>73000</v>
      </c>
      <c r="F22" s="205">
        <v>73000</v>
      </c>
      <c r="G22" s="206">
        <v>365000</v>
      </c>
      <c r="H22" s="204">
        <v>365000</v>
      </c>
      <c r="I22" s="205">
        <v>365000</v>
      </c>
      <c r="J22" s="206">
        <v>365000</v>
      </c>
      <c r="K22" s="204">
        <v>365000</v>
      </c>
      <c r="L22" s="205">
        <v>365000</v>
      </c>
      <c r="M22" s="206">
        <v>365000</v>
      </c>
      <c r="N22" s="204">
        <v>365000</v>
      </c>
      <c r="O22" s="205">
        <v>365000</v>
      </c>
      <c r="P22" s="206">
        <v>365000</v>
      </c>
      <c r="Q22" s="295">
        <f t="shared" si="1"/>
        <v>3796000</v>
      </c>
    </row>
    <row r="23" spans="2:17" ht="13.5" customHeight="1">
      <c r="B23" s="285"/>
      <c r="C23" s="288"/>
      <c r="D23" s="199" t="s">
        <v>223</v>
      </c>
      <c r="E23" s="200"/>
      <c r="F23" s="201"/>
      <c r="G23" s="202"/>
      <c r="H23" s="200"/>
      <c r="I23" s="201"/>
      <c r="J23" s="202"/>
      <c r="K23" s="200"/>
      <c r="L23" s="201"/>
      <c r="M23" s="202"/>
      <c r="N23" s="203"/>
      <c r="O23" s="201"/>
      <c r="P23" s="202"/>
      <c r="Q23" s="291"/>
    </row>
    <row r="24" spans="2:17" ht="13.5" customHeight="1" thickBot="1">
      <c r="B24" s="296"/>
      <c r="C24" s="297"/>
      <c r="D24" s="209" t="s">
        <v>229</v>
      </c>
      <c r="E24" s="210"/>
      <c r="F24" s="211"/>
      <c r="G24" s="212"/>
      <c r="H24" s="210"/>
      <c r="I24" s="211"/>
      <c r="J24" s="212"/>
      <c r="K24" s="210"/>
      <c r="L24" s="211"/>
      <c r="M24" s="212"/>
      <c r="N24" s="213"/>
      <c r="O24" s="211"/>
      <c r="P24" s="212"/>
      <c r="Q24" s="298"/>
    </row>
    <row r="25" spans="2:17">
      <c r="B25" s="185"/>
      <c r="C25" s="185"/>
      <c r="D25" s="185"/>
      <c r="E25" s="214">
        <f>SUM(E4:E24)</f>
        <v>921000</v>
      </c>
      <c r="F25" s="214">
        <f t="shared" ref="F25:P25" si="2">SUM(F4:F24)</f>
        <v>921000</v>
      </c>
      <c r="G25" s="214">
        <f t="shared" si="2"/>
        <v>3722000</v>
      </c>
      <c r="H25" s="214">
        <f t="shared" si="2"/>
        <v>3722000</v>
      </c>
      <c r="I25" s="214">
        <f t="shared" si="2"/>
        <v>3722000</v>
      </c>
      <c r="J25" s="214">
        <f t="shared" si="2"/>
        <v>3722000</v>
      </c>
      <c r="K25" s="214">
        <f t="shared" si="2"/>
        <v>4408000</v>
      </c>
      <c r="L25" s="214">
        <f t="shared" si="2"/>
        <v>4408000</v>
      </c>
      <c r="M25" s="214">
        <f t="shared" si="2"/>
        <v>4408000</v>
      </c>
      <c r="N25" s="214">
        <f t="shared" si="2"/>
        <v>4408000</v>
      </c>
      <c r="O25" s="214">
        <f t="shared" si="2"/>
        <v>4408000</v>
      </c>
      <c r="P25" s="214">
        <f t="shared" si="2"/>
        <v>4408000</v>
      </c>
      <c r="Q25" s="185"/>
    </row>
  </sheetData>
  <mergeCells count="25">
    <mergeCell ref="B19:B21"/>
    <mergeCell ref="C19:C21"/>
    <mergeCell ref="Q19:Q21"/>
    <mergeCell ref="B22:B24"/>
    <mergeCell ref="C22:C24"/>
    <mergeCell ref="Q22:Q24"/>
    <mergeCell ref="B13:B15"/>
    <mergeCell ref="C13:C15"/>
    <mergeCell ref="Q13:Q15"/>
    <mergeCell ref="B16:B18"/>
    <mergeCell ref="C16:C18"/>
    <mergeCell ref="Q16:Q18"/>
    <mergeCell ref="Q4:Q6"/>
    <mergeCell ref="B7:B9"/>
    <mergeCell ref="C7:C9"/>
    <mergeCell ref="Q7:Q9"/>
    <mergeCell ref="B10:B12"/>
    <mergeCell ref="C10:C12"/>
    <mergeCell ref="Q10:Q12"/>
    <mergeCell ref="E2:G2"/>
    <mergeCell ref="H2:J2"/>
    <mergeCell ref="K2:M2"/>
    <mergeCell ref="N2:P2"/>
    <mergeCell ref="B4:B6"/>
    <mergeCell ref="C4:C6"/>
  </mergeCells>
  <pageMargins left="0.11811023622047245" right="0.11811023622047245" top="0.7480314960629921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BTF</vt:lpstr>
      <vt:lpstr>7910M</vt:lpstr>
      <vt:lpstr>Price</vt:lpstr>
      <vt:lpstr>Qty Request For MM</vt:lpstr>
      <vt:lpstr>Sheet1</vt:lpstr>
      <vt:lpstr>'7910M'!Print_Area</vt:lpstr>
      <vt:lpstr>BTF!Print_Area</vt:lpstr>
      <vt:lpstr>'Qty Request For MM'!Print_Area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2019-01-23T02:38:25Z</cp:lastPrinted>
  <dcterms:created xsi:type="dcterms:W3CDTF">2016-09-01T00:00:56Z</dcterms:created>
  <dcterms:modified xsi:type="dcterms:W3CDTF">2019-01-23T02:50:12Z</dcterms:modified>
</cp:coreProperties>
</file>