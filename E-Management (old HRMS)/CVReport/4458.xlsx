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ASJ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BTF!$B$1:$AW$71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5" i="2" l="1"/>
  <c r="AD36" i="2"/>
  <c r="AD39" i="2" s="1"/>
  <c r="AD37" i="2"/>
  <c r="AD38" i="2"/>
  <c r="N39" i="2"/>
  <c r="R39" i="2"/>
  <c r="V39" i="2"/>
  <c r="Z39" i="2"/>
  <c r="AH39" i="2"/>
  <c r="AL39" i="2"/>
  <c r="AP39" i="2"/>
  <c r="AT39" i="2"/>
  <c r="J39" i="2"/>
</calcChain>
</file>

<file path=xl/sharedStrings.xml><?xml version="1.0" encoding="utf-8"?>
<sst xmlns="http://schemas.openxmlformats.org/spreadsheetml/2006/main" count="128" uniqueCount="92">
  <si>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</si>
  <si>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</si>
  <si>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</si>
  <si>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</si>
  <si>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</si>
  <si>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</si>
  <si>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</si>
  <si>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</si>
  <si>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</si>
  <si>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</si>
  <si>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</si>
  <si>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</si>
  <si>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</si>
  <si>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</si>
  <si>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</si>
  <si>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</si>
  <si>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</si>
  <si>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</si>
  <si>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</si>
  <si>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</si>
  <si>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</si>
  <si>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</si>
  <si>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</si>
  <si>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</si>
  <si>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</si>
  <si>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Mr. Sivakumar</t>
  </si>
  <si>
    <t>ASJ COMPONENTS [M] SDN.BHD</t>
  </si>
  <si>
    <t>Ms. Sun</t>
  </si>
  <si>
    <t>Mr. Syafiq</t>
  </si>
  <si>
    <t>Mr. Penny</t>
  </si>
  <si>
    <t>Mr. Izham</t>
  </si>
  <si>
    <t>Purchasing</t>
  </si>
  <si>
    <t>Production</t>
  </si>
  <si>
    <t>IQA</t>
  </si>
  <si>
    <t>Mr. Ang</t>
  </si>
  <si>
    <t>QA</t>
  </si>
  <si>
    <t>■</t>
  </si>
  <si>
    <t>0402[7910M] &amp; 1206[874M] broken</t>
  </si>
  <si>
    <t xml:space="preserve">Order forecast </t>
  </si>
  <si>
    <t>Nov and Dec delivery schedule</t>
  </si>
  <si>
    <t>New price Jan &amp; payment terms</t>
  </si>
  <si>
    <t>The broken substrate sample on 1st printing shown broken LD WD and broken not follow slit line. Base on IQA lot was not</t>
  </si>
  <si>
    <t>have any abnormal. We believe that broken due to poor handling. MARUWA will provide slide one point lesson and video of</t>
  </si>
  <si>
    <t>product handling SOP. ASJ will use as training material on every shift.</t>
  </si>
  <si>
    <t>会議フォローアップ項目　　 Meeting Follow-Up</t>
  </si>
  <si>
    <t>Product handling 1 Point Lesson/Video - Siva</t>
  </si>
  <si>
    <t>Broken product happen seasonal and does not shown any fix trand or pattern of lot no effected. Qty broken ±5 pcs each case.</t>
  </si>
  <si>
    <t xml:space="preserve">Mr. Penny and Mr. Shafiq continue monitor and feedback if broken quantity increase. No quality claim issue and compensation </t>
  </si>
  <si>
    <t>required at this moment.</t>
  </si>
  <si>
    <t>New order forecast given for Jan to Mar. New plant had completed and expexted to strat production by Mar-18.</t>
  </si>
  <si>
    <t>Type</t>
  </si>
  <si>
    <t>Product</t>
  </si>
  <si>
    <t>0402</t>
  </si>
  <si>
    <t>0603</t>
  </si>
  <si>
    <t>0805</t>
  </si>
  <si>
    <t>1206</t>
  </si>
  <si>
    <t>7910M</t>
  </si>
  <si>
    <t>3080M</t>
  </si>
  <si>
    <t>1598M</t>
  </si>
  <si>
    <t>874M</t>
  </si>
  <si>
    <t>Total</t>
  </si>
  <si>
    <t>Dec Total</t>
  </si>
  <si>
    <t>Jan</t>
  </si>
  <si>
    <t>Feb</t>
  </si>
  <si>
    <t>Mar</t>
  </si>
  <si>
    <t>Apr</t>
  </si>
  <si>
    <t>M[M] 20B</t>
  </si>
  <si>
    <t>with total 5,000K/mth quantity.</t>
  </si>
  <si>
    <t>stock is enough to continue production. No effect of line dowm.</t>
  </si>
  <si>
    <t>I highlighted that MARUWA will delay 7910M 100,800pcs in Nov and will recover on 7-Dec and 14-Dec shipment. ASJ safety</t>
  </si>
  <si>
    <t>ORDER FORECAST AND DELIVERY SCHEDULE NOV &amp; DEC</t>
  </si>
  <si>
    <t>0402[7910M] &amp; 1206[874M] BROKEN</t>
  </si>
  <si>
    <t>ASJ will cancel balance p/o issue for Jan-Mar after MARUWA completed Dec shipment. New price p/o will be issue for Jan.</t>
  </si>
  <si>
    <t>Oct-Dec Price</t>
  </si>
  <si>
    <t>USD 0.1250</t>
  </si>
  <si>
    <t>USD 0.0930</t>
  </si>
  <si>
    <t>Jan New Price</t>
  </si>
  <si>
    <t>USD 0.0950</t>
  </si>
  <si>
    <t>ASJ having high preasure from new management CHILISIN to reduce purchasing cost and extending payment terms. Last visit</t>
  </si>
  <si>
    <t>increase price again in Jan-18, ASJ should be given 120 days payment terms.</t>
  </si>
  <si>
    <t>NEW PRICE JAN-18 &amp; PAYMENT TERMS 120 DAYS</t>
  </si>
  <si>
    <t>Payment terms 90 days to 120 days - Rosli</t>
  </si>
  <si>
    <t>874M Dummy 10Kpcs NCV [Mr. Syafiq] - Rosli</t>
  </si>
  <si>
    <t>Glass gauge 4 sets [Mr. Penny] - Rosli</t>
  </si>
  <si>
    <t>OTHERS</t>
  </si>
  <si>
    <t>Mr. Penny request glass gauge for 7910M, 3080M, 1598M and 874M for ASJ IQA.</t>
  </si>
  <si>
    <t>Mr. Shafiq request 874M NG Dummy NCV [lot saperation purpose] 10Kpcs. NCV p/o will be issue.</t>
  </si>
  <si>
    <t xml:space="preserve">ASJ staff quite stress with new management CHILISIN reporting and requirement. We was told that CEO Mr. Seah had been ask </t>
  </si>
  <si>
    <t>to resign by having different way of management. As our contact local members Ms, Sun and Production members continue giving</t>
  </si>
  <si>
    <t>good support to MARUWA.</t>
  </si>
  <si>
    <r>
      <t xml:space="preserve">on 10-Aug with Mr Ogawa, ASJ requested to extend 90 Days payment terms to </t>
    </r>
    <r>
      <rPr>
        <sz val="12"/>
        <color rgb="FFFF0000"/>
        <rFont val="MS UI Gothic"/>
        <family val="2"/>
      </rPr>
      <t>120 Days</t>
    </r>
    <r>
      <rPr>
        <sz val="12"/>
        <color theme="1"/>
        <rFont val="MS UI Gothic"/>
        <family val="2"/>
      </rPr>
      <t xml:space="preserve"> same as Ralec China. Since MARUWA</t>
    </r>
  </si>
  <si>
    <r>
      <t xml:space="preserve">Ms. Sun remind MARUWA need to support </t>
    </r>
    <r>
      <rPr>
        <sz val="12"/>
        <color rgb="FFFF0000"/>
        <rFont val="MS UI Gothic"/>
        <family val="2"/>
      </rPr>
      <t>3,600K/mth from Jan</t>
    </r>
    <r>
      <rPr>
        <sz val="12"/>
        <color theme="1"/>
        <rFont val="MS UI Gothic"/>
        <family val="2"/>
      </rPr>
      <t xml:space="preserve">. ASJ 20B plan by </t>
    </r>
    <r>
      <rPr>
        <sz val="12"/>
        <color rgb="FFFF0000"/>
        <rFont val="MS UI Gothic"/>
        <family val="2"/>
      </rPr>
      <t>end 2018 [12B Old Plant + 8B New Plant]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</si>
</sst>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/d;@"/>
    <numFmt numFmtId="165" formatCode="[$-409]d\-mmm;@"/>
  </numFmts>
  <fonts count="1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2"/>
      <color theme="1"/>
      <name val="MS UI Gothic"/>
      <family val="2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12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sz val="12"/>
      <color theme="8"/>
      <name val="MS UI Gothic"/>
      <family val="2"/>
    </font>
    <font>
      <b/>
      <u val="double"/>
      <sz val="36"/>
      <color theme="1"/>
      <name val="MS UI Gothic"/>
      <family val="2"/>
    </font>
    <font>
      <sz val="12"/>
      <color rgb="FFFF0000"/>
      <name val="MS UI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115">
    <xf numFmtId="0" fontId="0" fillId="0" borderId="0" xfId="0"/>
    <xf numFmtId="0" fontId="3" fillId="3" borderId="0" xfId="1" applyFont="1" applyFill="1" applyBorder="1" applyAlignment="1"/>
    <xf numFmtId="0" fontId="4" fillId="3" borderId="0" xfId="1" applyFont="1" applyFill="1" applyBorder="1">
      <alignment vertical="center"/>
    </xf>
    <xf numFmtId="0" fontId="6" fillId="3" borderId="0" xfId="1" applyFont="1" applyFill="1" applyBorder="1" applyAlignment="1"/>
    <xf numFmtId="0" fontId="4" fillId="3" borderId="0" xfId="1" applyFont="1" applyFill="1">
      <alignment vertical="center"/>
    </xf>
    <xf numFmtId="0" fontId="3" fillId="3" borderId="0" xfId="1" applyFont="1" applyFill="1" applyBorder="1" applyAlignment="1">
      <alignment vertical="center"/>
    </xf>
    <xf numFmtId="0" fontId="7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horizontal="right" vertical="center"/>
    </xf>
    <xf numFmtId="0" fontId="3" fillId="3" borderId="0" xfId="1" applyFont="1" applyFill="1" applyBorder="1">
      <alignment vertical="center"/>
    </xf>
    <xf numFmtId="0" fontId="8" fillId="3" borderId="0" xfId="1" applyFont="1" applyFill="1" applyBorder="1" applyAlignment="1">
      <alignment vertical="center"/>
    </xf>
    <xf numFmtId="0" fontId="5" fillId="3" borderId="0" xfId="1" applyFont="1" applyFill="1" applyBorder="1" applyAlignment="1">
      <alignment horizontal="center" vertical="center"/>
    </xf>
    <xf numFmtId="0" fontId="3" fillId="3" borderId="0" xfId="0" applyFont="1" applyFill="1"/>
    <xf numFmtId="0" fontId="4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4" fillId="3" borderId="3" xfId="1" applyNumberFormat="1" applyFont="1" applyFill="1" applyBorder="1" applyAlignment="1">
      <alignment horizontal="left" vertical="center"/>
    </xf>
    <xf numFmtId="0" fontId="3" fillId="3" borderId="3" xfId="1" quotePrefix="1" applyNumberFormat="1" applyFont="1" applyFill="1" applyBorder="1" applyAlignment="1">
      <alignment horizontal="left" vertical="center"/>
    </xf>
    <xf numFmtId="0" fontId="4" fillId="3" borderId="3" xfId="1" applyNumberFormat="1" applyFont="1" applyFill="1" applyBorder="1" applyAlignment="1">
      <alignment horizontal="right" vertical="center"/>
    </xf>
    <xf numFmtId="0" fontId="4" fillId="3" borderId="4" xfId="1" applyNumberFormat="1" applyFont="1" applyFill="1" applyBorder="1" applyAlignment="1">
      <alignment horizontal="left" vertical="center"/>
    </xf>
    <xf numFmtId="0" fontId="4" fillId="3" borderId="0" xfId="1" applyNumberFormat="1" applyFont="1" applyFill="1" applyBorder="1" applyAlignment="1">
      <alignment horizontal="left" vertical="center"/>
    </xf>
    <xf numFmtId="0" fontId="3" fillId="3" borderId="0" xfId="1" quotePrefix="1" applyNumberFormat="1" applyFont="1" applyFill="1" applyBorder="1" applyAlignment="1">
      <alignment horizontal="left" vertical="center"/>
    </xf>
    <xf numFmtId="0" fontId="4" fillId="3" borderId="0" xfId="1" applyNumberFormat="1" applyFont="1" applyFill="1" applyBorder="1" applyAlignment="1">
      <alignment horizontal="right" vertical="center"/>
    </xf>
    <xf numFmtId="0" fontId="4" fillId="3" borderId="6" xfId="1" applyNumberFormat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right" vertical="center"/>
    </xf>
    <xf numFmtId="0" fontId="4" fillId="3" borderId="8" xfId="1" applyNumberFormat="1" applyFont="1" applyFill="1" applyBorder="1" applyAlignment="1">
      <alignment horizontal="left" vertical="center"/>
    </xf>
    <xf numFmtId="0" fontId="4" fillId="3" borderId="3" xfId="1" quotePrefix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6" xfId="1" applyFont="1" applyFill="1" applyBorder="1">
      <alignment vertical="center"/>
    </xf>
    <xf numFmtId="0" fontId="4" fillId="3" borderId="0" xfId="1" applyFont="1" applyFill="1" applyBorder="1" applyAlignment="1">
      <alignment horizontal="left" vertical="center"/>
    </xf>
    <xf numFmtId="0" fontId="4" fillId="3" borderId="1" xfId="1" applyFont="1" applyFill="1" applyBorder="1">
      <alignment vertical="center"/>
    </xf>
    <xf numFmtId="0" fontId="4" fillId="3" borderId="8" xfId="1" applyFont="1" applyFill="1" applyBorder="1">
      <alignment vertical="center"/>
    </xf>
    <xf numFmtId="0" fontId="4" fillId="3" borderId="5" xfId="1" applyFont="1" applyFill="1" applyBorder="1" applyAlignment="1">
      <alignment vertical="center"/>
    </xf>
    <xf numFmtId="0" fontId="4" fillId="3" borderId="5" xfId="1" applyFont="1" applyFill="1" applyBorder="1">
      <alignment vertical="center"/>
    </xf>
    <xf numFmtId="0" fontId="4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1" xfId="1" quotePrefix="1" applyFont="1" applyFill="1" applyBorder="1">
      <alignment vertical="center"/>
    </xf>
    <xf numFmtId="0" fontId="2" fillId="3" borderId="5" xfId="1" applyFont="1" applyFill="1" applyBorder="1">
      <alignment vertical="center"/>
    </xf>
    <xf numFmtId="0" fontId="4" fillId="3" borderId="10" xfId="1" quotePrefix="1" applyFont="1" applyFill="1" applyBorder="1">
      <alignment vertical="center"/>
    </xf>
    <xf numFmtId="0" fontId="4" fillId="3" borderId="10" xfId="1" applyFont="1" applyFill="1" applyBorder="1">
      <alignment vertical="center"/>
    </xf>
    <xf numFmtId="0" fontId="4" fillId="3" borderId="11" xfId="1" applyFont="1" applyFill="1" applyBorder="1">
      <alignment vertical="center"/>
    </xf>
    <xf numFmtId="0" fontId="4" fillId="3" borderId="12" xfId="1" applyFont="1" applyFill="1" applyBorder="1">
      <alignment vertical="center"/>
    </xf>
    <xf numFmtId="0" fontId="4" fillId="3" borderId="13" xfId="1" applyFont="1" applyFill="1" applyBorder="1">
      <alignment vertical="center"/>
    </xf>
    <xf numFmtId="0" fontId="4" fillId="3" borderId="14" xfId="1" applyFont="1" applyFill="1" applyBorder="1">
      <alignment vertical="center"/>
    </xf>
    <xf numFmtId="0" fontId="4" fillId="4" borderId="3" xfId="1" quotePrefix="1" applyFont="1" applyFill="1" applyBorder="1">
      <alignment vertical="center"/>
    </xf>
    <xf numFmtId="0" fontId="4" fillId="4" borderId="3" xfId="1" applyFont="1" applyFill="1" applyBorder="1">
      <alignment vertical="center"/>
    </xf>
    <xf numFmtId="0" fontId="4" fillId="4" borderId="4" xfId="1" applyFont="1" applyFill="1" applyBorder="1">
      <alignment vertical="center"/>
    </xf>
    <xf numFmtId="0" fontId="4" fillId="4" borderId="0" xfId="1" applyFont="1" applyFill="1" applyBorder="1">
      <alignment vertical="center"/>
    </xf>
    <xf numFmtId="0" fontId="4" fillId="4" borderId="6" xfId="1" applyFont="1" applyFill="1" applyBorder="1">
      <alignment vertical="center"/>
    </xf>
    <xf numFmtId="0" fontId="4" fillId="4" borderId="0" xfId="1" applyFont="1" applyFill="1" applyBorder="1" applyAlignment="1">
      <alignment horizontal="left" vertical="center"/>
    </xf>
    <xf numFmtId="0" fontId="4" fillId="4" borderId="0" xfId="1" applyFont="1" applyFill="1" applyBorder="1" applyAlignment="1">
      <alignment horizontal="center" vertical="center"/>
    </xf>
    <xf numFmtId="0" fontId="4" fillId="4" borderId="1" xfId="1" applyFont="1" applyFill="1" applyBorder="1">
      <alignment vertical="center"/>
    </xf>
    <xf numFmtId="0" fontId="4" fillId="4" borderId="1" xfId="1" applyFont="1" applyFill="1" applyBorder="1" applyAlignment="1">
      <alignment horizontal="left" vertical="center"/>
    </xf>
    <xf numFmtId="0" fontId="4" fillId="4" borderId="8" xfId="1" applyFont="1" applyFill="1" applyBorder="1">
      <alignment vertical="center"/>
    </xf>
    <xf numFmtId="3" fontId="4" fillId="3" borderId="0" xfId="1" applyNumberFormat="1" applyFont="1" applyFill="1" applyBorder="1" applyAlignment="1">
      <alignment horizontal="right" vertical="center"/>
    </xf>
    <xf numFmtId="3" fontId="4" fillId="3" borderId="6" xfId="1" applyNumberFormat="1" applyFont="1" applyFill="1" applyBorder="1" applyAlignment="1">
      <alignment horizontal="right" vertical="center"/>
    </xf>
    <xf numFmtId="0" fontId="4" fillId="3" borderId="12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165" fontId="4" fillId="3" borderId="0" xfId="1" applyNumberFormat="1" applyFont="1" applyFill="1" applyBorder="1" applyAlignment="1">
      <alignment horizontal="right" vertical="center"/>
    </xf>
    <xf numFmtId="165" fontId="4" fillId="3" borderId="6" xfId="1" applyNumberFormat="1" applyFont="1" applyFill="1" applyBorder="1" applyAlignment="1">
      <alignment horizontal="right" vertical="center"/>
    </xf>
    <xf numFmtId="3" fontId="4" fillId="3" borderId="17" xfId="1" applyNumberFormat="1" applyFont="1" applyFill="1" applyBorder="1" applyAlignment="1">
      <alignment horizontal="right" vertical="center"/>
    </xf>
    <xf numFmtId="3" fontId="4" fillId="3" borderId="9" xfId="1" applyNumberFormat="1" applyFont="1" applyFill="1" applyBorder="1" applyAlignment="1">
      <alignment horizontal="right" vertical="center"/>
    </xf>
    <xf numFmtId="3" fontId="4" fillId="3" borderId="15" xfId="1" applyNumberFormat="1" applyFont="1" applyFill="1" applyBorder="1" applyAlignment="1">
      <alignment horizontal="right" vertical="center"/>
    </xf>
    <xf numFmtId="165" fontId="4" fillId="3" borderId="9" xfId="1" applyNumberFormat="1" applyFont="1" applyFill="1" applyBorder="1" applyAlignment="1">
      <alignment horizontal="right" vertical="center"/>
    </xf>
    <xf numFmtId="3" fontId="4" fillId="3" borderId="16" xfId="1" applyNumberFormat="1" applyFont="1" applyFill="1" applyBorder="1" applyAlignment="1">
      <alignment horizontal="right" vertical="center"/>
    </xf>
    <xf numFmtId="165" fontId="4" fillId="3" borderId="13" xfId="1" applyNumberFormat="1" applyFont="1" applyFill="1" applyBorder="1" applyAlignment="1">
      <alignment horizontal="right" vertical="center"/>
    </xf>
    <xf numFmtId="165" fontId="4" fillId="3" borderId="14" xfId="1" applyNumberFormat="1" applyFont="1" applyFill="1" applyBorder="1" applyAlignment="1">
      <alignment horizontal="right" vertical="center"/>
    </xf>
    <xf numFmtId="0" fontId="10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7" fillId="3" borderId="0" xfId="1" quotePrefix="1" applyFont="1" applyFill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 shrinkToFit="1"/>
    </xf>
    <xf numFmtId="0" fontId="4" fillId="3" borderId="2" xfId="1" quotePrefix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4" borderId="0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164" fontId="3" fillId="3" borderId="0" xfId="1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0" xfId="1" quotePrefix="1" applyFont="1" applyFill="1" applyBorder="1" applyAlignment="1">
      <alignment horizontal="center" vertical="center"/>
    </xf>
    <xf numFmtId="3" fontId="4" fillId="3" borderId="11" xfId="1" applyNumberFormat="1" applyFont="1" applyFill="1" applyBorder="1" applyAlignment="1">
      <alignment horizontal="right" vertical="center"/>
    </xf>
    <xf numFmtId="3" fontId="4" fillId="3" borderId="12" xfId="1" applyNumberFormat="1" applyFont="1" applyFill="1" applyBorder="1" applyAlignment="1">
      <alignment horizontal="right" vertical="center"/>
    </xf>
    <xf numFmtId="3" fontId="4" fillId="3" borderId="13" xfId="1" applyNumberFormat="1" applyFont="1" applyFill="1" applyBorder="1" applyAlignment="1">
      <alignment horizontal="right" vertical="center"/>
    </xf>
    <xf numFmtId="3" fontId="4" fillId="3" borderId="14" xfId="1" applyNumberFormat="1" applyFont="1" applyFill="1" applyBorder="1" applyAlignment="1">
      <alignment horizontal="right" vertical="center"/>
    </xf>
    <xf numFmtId="0" fontId="11" fillId="3" borderId="0" xfId="1" applyFont="1" applyFill="1" applyBorder="1">
      <alignment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M71"/>
  <sheetViews>
    <sheetView tabSelected="1" topLeftCell="A10" zoomScale="125" zoomScaleNormal="125" workbookViewId="0">
      <selection activeCell="AA43" sqref="AA43"/>
    </sheetView>
  </sheetViews>
  <sheetFormatPr defaultColWidth="2.5703125" defaultRowHeight="14.25"/>
  <cols>
    <col min="1" max="1" width="2.5703125" style="4"/>
    <col min="2" max="49" width="2.5703125" style="4" customWidth="1"/>
    <col min="50" max="16384" width="2.5703125" style="4"/>
  </cols>
  <sheetData>
    <row r="1" spans="2:65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0" t="s">
        <v>9</v>
      </c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2"/>
      <c r="AL1" s="3" t="s">
        <v>16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2:65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2"/>
      <c r="AL2" s="2" t="s">
        <v>8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7" t="s">
        <v>4</v>
      </c>
    </row>
    <row r="3" spans="2:65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2"/>
      <c r="AL3" s="2" t="s">
        <v>7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7" t="s">
        <v>5</v>
      </c>
    </row>
    <row r="4" spans="2:65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7" t="s">
        <v>17</v>
      </c>
    </row>
    <row r="5" spans="2:65" ht="14.25" customHeight="1">
      <c r="B5" s="71" t="s">
        <v>12</v>
      </c>
      <c r="C5" s="71"/>
      <c r="D5" s="71"/>
      <c r="E5" s="71"/>
      <c r="F5" s="71"/>
      <c r="G5" s="98">
        <v>43063</v>
      </c>
      <c r="H5" s="98"/>
      <c r="I5" s="98"/>
      <c r="J5" s="98"/>
      <c r="K5" s="98"/>
      <c r="L5" s="98"/>
      <c r="M5" s="98"/>
      <c r="N5" s="98"/>
      <c r="O5" s="98"/>
      <c r="P5" s="98"/>
      <c r="Q5" s="98"/>
      <c r="R5" s="2"/>
      <c r="S5" s="72" t="s">
        <v>10</v>
      </c>
      <c r="T5" s="72"/>
      <c r="U5" s="72"/>
      <c r="V5" s="72"/>
      <c r="W5" s="72"/>
      <c r="X5" s="72"/>
      <c r="Y5" s="76" t="s">
        <v>23</v>
      </c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7"/>
      <c r="BM5" s="11"/>
    </row>
    <row r="6" spans="2:65" ht="14.25" customHeight="1" thickBot="1">
      <c r="B6" s="71"/>
      <c r="C6" s="71"/>
      <c r="D6" s="71"/>
      <c r="E6" s="71"/>
      <c r="F6" s="71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2"/>
      <c r="S6" s="73"/>
      <c r="T6" s="73"/>
      <c r="U6" s="73"/>
      <c r="V6" s="73"/>
      <c r="W6" s="73"/>
      <c r="X6" s="73"/>
      <c r="Y6" s="75" t="s">
        <v>22</v>
      </c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2"/>
      <c r="AL6" s="8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2:65" ht="14.25" customHeight="1">
      <c r="B7" s="84" t="s">
        <v>3</v>
      </c>
      <c r="C7" s="84"/>
      <c r="D7" s="84"/>
      <c r="E7" s="84"/>
      <c r="F7" s="84"/>
      <c r="G7" s="2"/>
      <c r="H7" s="71" t="s">
        <v>19</v>
      </c>
      <c r="I7" s="71"/>
      <c r="J7" s="71"/>
      <c r="K7" s="2"/>
      <c r="L7" s="97" t="s">
        <v>20</v>
      </c>
      <c r="M7" s="97"/>
      <c r="N7" s="97"/>
      <c r="O7" s="2"/>
      <c r="P7" s="2"/>
      <c r="Q7" s="2"/>
      <c r="R7" s="2"/>
      <c r="S7" s="74" t="s">
        <v>11</v>
      </c>
      <c r="T7" s="74"/>
      <c r="U7" s="74"/>
      <c r="V7" s="74"/>
      <c r="W7" s="74"/>
      <c r="X7" s="74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2"/>
      <c r="AL7" s="8" t="s">
        <v>13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2:65" ht="14.25" customHeight="1">
      <c r="B8" s="84"/>
      <c r="C8" s="84"/>
      <c r="D8" s="84"/>
      <c r="E8" s="84"/>
      <c r="F8" s="84"/>
      <c r="G8" s="2"/>
      <c r="H8" s="71"/>
      <c r="I8" s="71"/>
      <c r="J8" s="71"/>
      <c r="K8" s="12"/>
      <c r="L8" s="97"/>
      <c r="M8" s="97"/>
      <c r="N8" s="97"/>
      <c r="O8" s="2"/>
      <c r="P8" s="2"/>
      <c r="Q8" s="2"/>
      <c r="R8" s="2"/>
      <c r="S8" s="72"/>
      <c r="T8" s="72"/>
      <c r="U8" s="72"/>
      <c r="V8" s="72"/>
      <c r="W8" s="72"/>
      <c r="X8" s="72"/>
      <c r="Y8" s="109" t="s">
        <v>25</v>
      </c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2"/>
      <c r="AL8" s="5" t="s">
        <v>21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2:65" ht="14.25" customHeight="1" thickBot="1">
      <c r="B9" s="84"/>
      <c r="C9" s="84"/>
      <c r="D9" s="84"/>
      <c r="E9" s="84"/>
      <c r="F9" s="84"/>
      <c r="G9" s="2"/>
      <c r="H9" s="71"/>
      <c r="I9" s="71"/>
      <c r="J9" s="71"/>
      <c r="K9" s="2"/>
      <c r="L9" s="97"/>
      <c r="M9" s="97"/>
      <c r="N9" s="97"/>
      <c r="O9" s="2"/>
      <c r="P9" s="2"/>
      <c r="Q9" s="2"/>
      <c r="R9" s="2"/>
      <c r="S9" s="73"/>
      <c r="T9" s="73"/>
      <c r="U9" s="73"/>
      <c r="V9" s="73"/>
      <c r="W9" s="73"/>
      <c r="X9" s="73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2"/>
      <c r="AL9" s="13" t="s">
        <v>14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7"/>
      <c r="AX9" s="2"/>
    </row>
    <row r="10" spans="2:65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14" t="s">
        <v>15</v>
      </c>
      <c r="AX10" s="2"/>
      <c r="AY10" s="2"/>
    </row>
    <row r="11" spans="2:65" ht="13.5" customHeight="1">
      <c r="B11" s="78" t="s">
        <v>0</v>
      </c>
      <c r="C11" s="74"/>
      <c r="D11" s="74"/>
      <c r="E11" s="74"/>
      <c r="F11" s="74"/>
      <c r="G11" s="99" t="s">
        <v>26</v>
      </c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1"/>
      <c r="Z11" s="85" t="s">
        <v>1</v>
      </c>
      <c r="AA11" s="74"/>
      <c r="AB11" s="74"/>
      <c r="AC11" s="74"/>
      <c r="AD11" s="79"/>
      <c r="AE11" s="15" t="s">
        <v>27</v>
      </c>
      <c r="AF11" s="15"/>
      <c r="AG11" s="16"/>
      <c r="AH11" s="15"/>
      <c r="AI11" s="15"/>
      <c r="AJ11" s="15" t="s">
        <v>31</v>
      </c>
      <c r="AK11" s="15"/>
      <c r="AL11" s="15"/>
      <c r="AM11" s="15"/>
      <c r="AN11" s="15"/>
      <c r="AO11" s="15" t="s">
        <v>34</v>
      </c>
      <c r="AP11" s="15"/>
      <c r="AQ11" s="15"/>
      <c r="AR11" s="15"/>
      <c r="AS11" s="15"/>
      <c r="AT11" s="15" t="s">
        <v>35</v>
      </c>
      <c r="AU11" s="15"/>
      <c r="AV11" s="17"/>
      <c r="AW11" s="18"/>
    </row>
    <row r="12" spans="2:65" ht="15" customHeight="1">
      <c r="B12" s="80"/>
      <c r="C12" s="72"/>
      <c r="D12" s="72"/>
      <c r="E12" s="72"/>
      <c r="F12" s="72"/>
      <c r="G12" s="102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4"/>
      <c r="Z12" s="80"/>
      <c r="AA12" s="72"/>
      <c r="AB12" s="72"/>
      <c r="AC12" s="72"/>
      <c r="AD12" s="81"/>
      <c r="AE12" s="19" t="s">
        <v>28</v>
      </c>
      <c r="AF12" s="19"/>
      <c r="AG12" s="20"/>
      <c r="AH12" s="19"/>
      <c r="AI12" s="19"/>
      <c r="AJ12" s="19" t="s">
        <v>32</v>
      </c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21"/>
      <c r="AW12" s="22"/>
    </row>
    <row r="13" spans="2:65" ht="15" customHeight="1">
      <c r="B13" s="80"/>
      <c r="C13" s="72"/>
      <c r="D13" s="72"/>
      <c r="E13" s="72"/>
      <c r="F13" s="72"/>
      <c r="G13" s="102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  <c r="Z13" s="80"/>
      <c r="AA13" s="72"/>
      <c r="AB13" s="72"/>
      <c r="AC13" s="72"/>
      <c r="AD13" s="81"/>
      <c r="AE13" s="19" t="s">
        <v>29</v>
      </c>
      <c r="AF13" s="19"/>
      <c r="AG13" s="20"/>
      <c r="AH13" s="19"/>
      <c r="AI13" s="19"/>
      <c r="AJ13" s="19" t="s">
        <v>33</v>
      </c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21"/>
      <c r="AW13" s="22"/>
    </row>
    <row r="14" spans="2:65" ht="15.75" customHeight="1" thickBot="1">
      <c r="B14" s="82"/>
      <c r="C14" s="73"/>
      <c r="D14" s="73"/>
      <c r="E14" s="73"/>
      <c r="F14" s="73"/>
      <c r="G14" s="105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7"/>
      <c r="Z14" s="82"/>
      <c r="AA14" s="73"/>
      <c r="AB14" s="73"/>
      <c r="AC14" s="73"/>
      <c r="AD14" s="83"/>
      <c r="AE14" s="19" t="s">
        <v>30</v>
      </c>
      <c r="AF14" s="19"/>
      <c r="AG14" s="20"/>
      <c r="AH14" s="19"/>
      <c r="AI14" s="23"/>
      <c r="AJ14" s="23" t="s">
        <v>32</v>
      </c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4"/>
      <c r="AW14" s="25"/>
      <c r="BD14" s="77"/>
      <c r="BE14" s="77"/>
    </row>
    <row r="15" spans="2:65" ht="14.25" customHeight="1">
      <c r="B15" s="78" t="s">
        <v>24</v>
      </c>
      <c r="C15" s="74"/>
      <c r="D15" s="74"/>
      <c r="E15" s="74"/>
      <c r="F15" s="79"/>
      <c r="G15" s="26" t="s">
        <v>36</v>
      </c>
      <c r="H15" s="27" t="s">
        <v>37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86" t="s">
        <v>44</v>
      </c>
      <c r="AA15" s="87"/>
      <c r="AB15" s="87"/>
      <c r="AC15" s="87"/>
      <c r="AD15" s="88"/>
      <c r="AE15" s="46" t="s">
        <v>36</v>
      </c>
      <c r="AF15" s="47" t="s">
        <v>45</v>
      </c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8"/>
      <c r="BD15" s="77"/>
      <c r="BE15" s="77"/>
    </row>
    <row r="16" spans="2:65">
      <c r="B16" s="80"/>
      <c r="C16" s="72"/>
      <c r="D16" s="72"/>
      <c r="E16" s="72"/>
      <c r="F16" s="81"/>
      <c r="G16" s="2" t="s">
        <v>36</v>
      </c>
      <c r="H16" s="2" t="s">
        <v>38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89"/>
      <c r="AA16" s="90"/>
      <c r="AB16" s="90"/>
      <c r="AC16" s="90"/>
      <c r="AD16" s="91"/>
      <c r="AE16" s="49" t="s">
        <v>36</v>
      </c>
      <c r="AF16" s="49" t="s">
        <v>81</v>
      </c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50"/>
    </row>
    <row r="17" spans="2:49">
      <c r="B17" s="80"/>
      <c r="C17" s="72"/>
      <c r="D17" s="72"/>
      <c r="E17" s="72"/>
      <c r="F17" s="81"/>
      <c r="G17" s="2" t="s">
        <v>36</v>
      </c>
      <c r="H17" s="29" t="s">
        <v>39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89"/>
      <c r="AA17" s="90"/>
      <c r="AB17" s="90"/>
      <c r="AC17" s="90"/>
      <c r="AD17" s="91"/>
      <c r="AE17" s="49" t="s">
        <v>36</v>
      </c>
      <c r="AF17" s="51" t="s">
        <v>82</v>
      </c>
      <c r="AG17" s="52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50"/>
    </row>
    <row r="18" spans="2:49">
      <c r="B18" s="80"/>
      <c r="C18" s="72"/>
      <c r="D18" s="72"/>
      <c r="E18" s="72"/>
      <c r="F18" s="81"/>
      <c r="G18" s="2" t="s">
        <v>36</v>
      </c>
      <c r="H18" s="29" t="s">
        <v>40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89"/>
      <c r="AA18" s="90"/>
      <c r="AB18" s="90"/>
      <c r="AC18" s="90"/>
      <c r="AD18" s="91"/>
      <c r="AE18" s="49" t="s">
        <v>36</v>
      </c>
      <c r="AF18" s="51" t="s">
        <v>83</v>
      </c>
      <c r="AG18" s="52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50"/>
    </row>
    <row r="19" spans="2:49">
      <c r="B19" s="80"/>
      <c r="C19" s="72"/>
      <c r="D19" s="72"/>
      <c r="E19" s="72"/>
      <c r="F19" s="81"/>
      <c r="G19" s="2" t="s">
        <v>36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89"/>
      <c r="AA19" s="90"/>
      <c r="AB19" s="90"/>
      <c r="AC19" s="90"/>
      <c r="AD19" s="91"/>
      <c r="AE19" s="49" t="s">
        <v>36</v>
      </c>
      <c r="AF19" s="51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50"/>
    </row>
    <row r="20" spans="2:49">
      <c r="B20" s="80"/>
      <c r="C20" s="72"/>
      <c r="D20" s="72"/>
      <c r="E20" s="72"/>
      <c r="F20" s="8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89"/>
      <c r="AA20" s="90"/>
      <c r="AB20" s="90"/>
      <c r="AC20" s="90"/>
      <c r="AD20" s="91"/>
      <c r="AE20" s="49" t="s">
        <v>36</v>
      </c>
      <c r="AF20" s="51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50"/>
    </row>
    <row r="21" spans="2:49" ht="15" thickBot="1">
      <c r="B21" s="82"/>
      <c r="C21" s="73"/>
      <c r="D21" s="73"/>
      <c r="E21" s="73"/>
      <c r="F21" s="83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92"/>
      <c r="AA21" s="93"/>
      <c r="AB21" s="93"/>
      <c r="AC21" s="93"/>
      <c r="AD21" s="94"/>
      <c r="AE21" s="53" t="s">
        <v>36</v>
      </c>
      <c r="AF21" s="54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5"/>
    </row>
    <row r="22" spans="2:49" ht="13.5" customHeight="1">
      <c r="B22" s="80" t="s">
        <v>2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81"/>
    </row>
    <row r="23" spans="2:49">
      <c r="B23" s="32"/>
      <c r="C23" s="2"/>
      <c r="D23" s="2"/>
      <c r="E23" s="2"/>
      <c r="F23" s="2"/>
      <c r="G23" s="2"/>
      <c r="H23" s="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"/>
      <c r="AR23" s="2"/>
      <c r="AS23" s="2"/>
      <c r="AT23" s="2"/>
      <c r="AU23" s="2"/>
      <c r="AV23" s="2"/>
      <c r="AW23" s="28"/>
    </row>
    <row r="24" spans="2:49">
      <c r="B24" s="39" t="s">
        <v>71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8"/>
    </row>
    <row r="25" spans="2:49">
      <c r="B25" s="33" t="s">
        <v>36</v>
      </c>
      <c r="C25" s="2" t="s">
        <v>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8"/>
    </row>
    <row r="26" spans="2:49">
      <c r="B26" s="33"/>
      <c r="C26" s="2" t="s">
        <v>42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8"/>
    </row>
    <row r="27" spans="2:49">
      <c r="B27" s="33"/>
      <c r="C27" s="2" t="s">
        <v>43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8"/>
    </row>
    <row r="28" spans="2:49">
      <c r="B28" s="33" t="s">
        <v>36</v>
      </c>
      <c r="C28" s="2" t="s">
        <v>46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8"/>
    </row>
    <row r="29" spans="2:49">
      <c r="B29" s="33"/>
      <c r="C29" s="2" t="s">
        <v>47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8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8"/>
    </row>
    <row r="30" spans="2:49">
      <c r="B30" s="33"/>
      <c r="C30" s="2" t="s">
        <v>48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8"/>
    </row>
    <row r="31" spans="2:49">
      <c r="B31" s="3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8"/>
    </row>
    <row r="32" spans="2:49">
      <c r="B32" s="39" t="s">
        <v>70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8"/>
    </row>
    <row r="33" spans="2:49">
      <c r="B33" s="33" t="s">
        <v>36</v>
      </c>
      <c r="C33" s="2" t="s">
        <v>49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8"/>
    </row>
    <row r="34" spans="2:49">
      <c r="B34" s="33"/>
      <c r="C34" s="43" t="s">
        <v>50</v>
      </c>
      <c r="D34" s="44"/>
      <c r="E34" s="44"/>
      <c r="F34" s="43" t="s">
        <v>51</v>
      </c>
      <c r="G34" s="44"/>
      <c r="H34" s="44"/>
      <c r="I34" s="45"/>
      <c r="J34" s="68" t="s">
        <v>66</v>
      </c>
      <c r="K34" s="68"/>
      <c r="L34" s="68"/>
      <c r="M34" s="69"/>
      <c r="N34" s="66">
        <v>43076</v>
      </c>
      <c r="O34" s="66"/>
      <c r="P34" s="66"/>
      <c r="Q34" s="66"/>
      <c r="R34" s="66">
        <v>43083</v>
      </c>
      <c r="S34" s="66"/>
      <c r="T34" s="66"/>
      <c r="U34" s="66"/>
      <c r="V34" s="66">
        <v>43090</v>
      </c>
      <c r="W34" s="66"/>
      <c r="X34" s="66"/>
      <c r="Y34" s="66"/>
      <c r="Z34" s="66">
        <v>43097</v>
      </c>
      <c r="AA34" s="66"/>
      <c r="AB34" s="66"/>
      <c r="AC34" s="66"/>
      <c r="AD34" s="66" t="s">
        <v>61</v>
      </c>
      <c r="AE34" s="66"/>
      <c r="AF34" s="66"/>
      <c r="AG34" s="66"/>
      <c r="AH34" s="61" t="s">
        <v>62</v>
      </c>
      <c r="AI34" s="61"/>
      <c r="AJ34" s="61"/>
      <c r="AK34" s="61"/>
      <c r="AL34" s="61" t="s">
        <v>63</v>
      </c>
      <c r="AM34" s="61"/>
      <c r="AN34" s="61"/>
      <c r="AO34" s="61"/>
      <c r="AP34" s="61" t="s">
        <v>64</v>
      </c>
      <c r="AQ34" s="61"/>
      <c r="AR34" s="61"/>
      <c r="AS34" s="61"/>
      <c r="AT34" s="61" t="s">
        <v>65</v>
      </c>
      <c r="AU34" s="61"/>
      <c r="AV34" s="61"/>
      <c r="AW34" s="62"/>
    </row>
    <row r="35" spans="2:49" ht="15" customHeight="1">
      <c r="B35" s="33"/>
      <c r="C35" s="40" t="s">
        <v>52</v>
      </c>
      <c r="D35" s="2"/>
      <c r="E35" s="2"/>
      <c r="F35" s="41" t="s">
        <v>56</v>
      </c>
      <c r="G35" s="2"/>
      <c r="H35" s="2"/>
      <c r="I35" s="42"/>
      <c r="J35" s="56">
        <v>1000000</v>
      </c>
      <c r="K35" s="56"/>
      <c r="L35" s="56"/>
      <c r="M35" s="110"/>
      <c r="N35" s="67">
        <v>151200</v>
      </c>
      <c r="O35" s="67"/>
      <c r="P35" s="67"/>
      <c r="Q35" s="67"/>
      <c r="R35" s="67">
        <v>151200</v>
      </c>
      <c r="S35" s="67"/>
      <c r="T35" s="67"/>
      <c r="U35" s="67"/>
      <c r="V35" s="67">
        <v>149800</v>
      </c>
      <c r="W35" s="67"/>
      <c r="X35" s="67"/>
      <c r="Y35" s="67"/>
      <c r="Z35" s="67"/>
      <c r="AA35" s="67"/>
      <c r="AB35" s="67"/>
      <c r="AC35" s="67"/>
      <c r="AD35" s="67">
        <f>SUM(N35:AC35)</f>
        <v>452200</v>
      </c>
      <c r="AE35" s="67"/>
      <c r="AF35" s="67"/>
      <c r="AG35" s="67"/>
      <c r="AH35" s="56">
        <v>602000</v>
      </c>
      <c r="AI35" s="56"/>
      <c r="AJ35" s="56"/>
      <c r="AK35" s="56"/>
      <c r="AL35" s="56">
        <v>490000</v>
      </c>
      <c r="AM35" s="56"/>
      <c r="AN35" s="56"/>
      <c r="AO35" s="56"/>
      <c r="AP35" s="56">
        <v>504000</v>
      </c>
      <c r="AQ35" s="56"/>
      <c r="AR35" s="56"/>
      <c r="AS35" s="56"/>
      <c r="AT35" s="56">
        <v>378000</v>
      </c>
      <c r="AU35" s="56"/>
      <c r="AV35" s="56"/>
      <c r="AW35" s="57"/>
    </row>
    <row r="36" spans="2:49">
      <c r="B36" s="33"/>
      <c r="C36" s="40" t="s">
        <v>53</v>
      </c>
      <c r="D36" s="2"/>
      <c r="E36" s="2"/>
      <c r="F36" s="41" t="s">
        <v>57</v>
      </c>
      <c r="G36" s="2"/>
      <c r="H36" s="2"/>
      <c r="I36" s="42"/>
      <c r="J36" s="56">
        <v>700000</v>
      </c>
      <c r="K36" s="56"/>
      <c r="L36" s="56"/>
      <c r="M36" s="110"/>
      <c r="N36" s="65">
        <v>100500</v>
      </c>
      <c r="O36" s="65"/>
      <c r="P36" s="65"/>
      <c r="Q36" s="65"/>
      <c r="R36" s="65">
        <v>100500</v>
      </c>
      <c r="S36" s="65"/>
      <c r="T36" s="65"/>
      <c r="U36" s="65"/>
      <c r="V36" s="65">
        <v>112500</v>
      </c>
      <c r="W36" s="65"/>
      <c r="X36" s="65"/>
      <c r="Y36" s="65"/>
      <c r="Z36" s="65"/>
      <c r="AA36" s="65"/>
      <c r="AB36" s="65"/>
      <c r="AC36" s="65"/>
      <c r="AD36" s="65">
        <f t="shared" ref="AD36:AD38" si="0">SUM(N36:AC36)</f>
        <v>313500</v>
      </c>
      <c r="AE36" s="65"/>
      <c r="AF36" s="65"/>
      <c r="AG36" s="65"/>
      <c r="AH36" s="56">
        <v>450000</v>
      </c>
      <c r="AI36" s="56"/>
      <c r="AJ36" s="56"/>
      <c r="AK36" s="56"/>
      <c r="AL36" s="56">
        <v>450000</v>
      </c>
      <c r="AM36" s="56"/>
      <c r="AN36" s="56"/>
      <c r="AO36" s="56"/>
      <c r="AP36" s="56">
        <v>465000</v>
      </c>
      <c r="AQ36" s="56"/>
      <c r="AR36" s="56"/>
      <c r="AS36" s="56"/>
      <c r="AT36" s="56">
        <v>345000</v>
      </c>
      <c r="AU36" s="56"/>
      <c r="AV36" s="56"/>
      <c r="AW36" s="57"/>
    </row>
    <row r="37" spans="2:49" ht="14.25" customHeight="1">
      <c r="B37" s="33"/>
      <c r="C37" s="40" t="s">
        <v>54</v>
      </c>
      <c r="D37" s="2"/>
      <c r="E37" s="2"/>
      <c r="F37" s="41" t="s">
        <v>58</v>
      </c>
      <c r="G37" s="2"/>
      <c r="H37" s="2"/>
      <c r="I37" s="42"/>
      <c r="J37" s="56">
        <v>800000</v>
      </c>
      <c r="K37" s="56"/>
      <c r="L37" s="56"/>
      <c r="M37" s="110"/>
      <c r="N37" s="65">
        <v>100500</v>
      </c>
      <c r="O37" s="65"/>
      <c r="P37" s="65"/>
      <c r="Q37" s="65"/>
      <c r="R37" s="65">
        <v>100500</v>
      </c>
      <c r="S37" s="65"/>
      <c r="T37" s="65"/>
      <c r="U37" s="65"/>
      <c r="V37" s="65">
        <v>100500</v>
      </c>
      <c r="W37" s="65"/>
      <c r="X37" s="65"/>
      <c r="Y37" s="65"/>
      <c r="Z37" s="65"/>
      <c r="AA37" s="65"/>
      <c r="AB37" s="65"/>
      <c r="AC37" s="65"/>
      <c r="AD37" s="65">
        <f t="shared" si="0"/>
        <v>301500</v>
      </c>
      <c r="AE37" s="65"/>
      <c r="AF37" s="65"/>
      <c r="AG37" s="65"/>
      <c r="AH37" s="56">
        <v>420000</v>
      </c>
      <c r="AI37" s="56"/>
      <c r="AJ37" s="56"/>
      <c r="AK37" s="56"/>
      <c r="AL37" s="56">
        <v>420000</v>
      </c>
      <c r="AM37" s="56"/>
      <c r="AN37" s="56"/>
      <c r="AO37" s="56"/>
      <c r="AP37" s="56">
        <v>675000</v>
      </c>
      <c r="AQ37" s="56"/>
      <c r="AR37" s="56"/>
      <c r="AS37" s="56"/>
      <c r="AT37" s="56">
        <v>432000</v>
      </c>
      <c r="AU37" s="56"/>
      <c r="AV37" s="56"/>
      <c r="AW37" s="57"/>
    </row>
    <row r="38" spans="2:49">
      <c r="B38" s="33"/>
      <c r="C38" s="40" t="s">
        <v>55</v>
      </c>
      <c r="D38" s="2"/>
      <c r="E38" s="2"/>
      <c r="F38" s="41" t="s">
        <v>59</v>
      </c>
      <c r="G38" s="2"/>
      <c r="H38" s="2"/>
      <c r="I38" s="42"/>
      <c r="J38" s="56">
        <v>2500000</v>
      </c>
      <c r="K38" s="56"/>
      <c r="L38" s="56"/>
      <c r="M38" s="110"/>
      <c r="N38" s="63">
        <v>400500</v>
      </c>
      <c r="O38" s="63"/>
      <c r="P38" s="63"/>
      <c r="Q38" s="63"/>
      <c r="R38" s="63">
        <v>400500</v>
      </c>
      <c r="S38" s="63"/>
      <c r="T38" s="63"/>
      <c r="U38" s="63"/>
      <c r="V38" s="63">
        <v>400500</v>
      </c>
      <c r="W38" s="63"/>
      <c r="X38" s="63"/>
      <c r="Y38" s="63"/>
      <c r="Z38" s="63">
        <v>480000</v>
      </c>
      <c r="AA38" s="63"/>
      <c r="AB38" s="63"/>
      <c r="AC38" s="63"/>
      <c r="AD38" s="63">
        <f t="shared" si="0"/>
        <v>1681500</v>
      </c>
      <c r="AE38" s="63"/>
      <c r="AF38" s="63"/>
      <c r="AG38" s="63"/>
      <c r="AH38" s="56">
        <v>1920000</v>
      </c>
      <c r="AI38" s="56"/>
      <c r="AJ38" s="56"/>
      <c r="AK38" s="56"/>
      <c r="AL38" s="56">
        <v>1920000</v>
      </c>
      <c r="AM38" s="56"/>
      <c r="AN38" s="56"/>
      <c r="AO38" s="56"/>
      <c r="AP38" s="56">
        <v>1800000</v>
      </c>
      <c r="AQ38" s="56"/>
      <c r="AR38" s="56"/>
      <c r="AS38" s="56"/>
      <c r="AT38" s="56">
        <v>1200000</v>
      </c>
      <c r="AU38" s="56"/>
      <c r="AV38" s="56"/>
      <c r="AW38" s="57"/>
    </row>
    <row r="39" spans="2:49" ht="15" customHeight="1">
      <c r="B39" s="33"/>
      <c r="C39" s="58" t="s">
        <v>60</v>
      </c>
      <c r="D39" s="59"/>
      <c r="E39" s="59"/>
      <c r="F39" s="59"/>
      <c r="G39" s="59"/>
      <c r="H39" s="59"/>
      <c r="I39" s="60"/>
      <c r="J39" s="111">
        <f>SUM(J35:M38)</f>
        <v>5000000</v>
      </c>
      <c r="K39" s="112"/>
      <c r="L39" s="112"/>
      <c r="M39" s="113"/>
      <c r="N39" s="64">
        <f>SUM(N35:Q38)</f>
        <v>752700</v>
      </c>
      <c r="O39" s="64"/>
      <c r="P39" s="64"/>
      <c r="Q39" s="64"/>
      <c r="R39" s="64">
        <f t="shared" ref="R39" si="1">SUM(R35:U38)</f>
        <v>752700</v>
      </c>
      <c r="S39" s="64"/>
      <c r="T39" s="64"/>
      <c r="U39" s="64"/>
      <c r="V39" s="64">
        <f t="shared" ref="V39" si="2">SUM(V35:Y38)</f>
        <v>763300</v>
      </c>
      <c r="W39" s="64"/>
      <c r="X39" s="64"/>
      <c r="Y39" s="64"/>
      <c r="Z39" s="64">
        <f t="shared" ref="Z39" si="3">SUM(Z35:AC38)</f>
        <v>480000</v>
      </c>
      <c r="AA39" s="64"/>
      <c r="AB39" s="64"/>
      <c r="AC39" s="64"/>
      <c r="AD39" s="64">
        <f t="shared" ref="AD39" si="4">SUM(AD35:AG38)</f>
        <v>2748700</v>
      </c>
      <c r="AE39" s="64"/>
      <c r="AF39" s="64"/>
      <c r="AG39" s="64"/>
      <c r="AH39" s="56">
        <f t="shared" ref="AH39" si="5">SUM(AH35:AK38)</f>
        <v>3392000</v>
      </c>
      <c r="AI39" s="56"/>
      <c r="AJ39" s="56"/>
      <c r="AK39" s="56"/>
      <c r="AL39" s="56">
        <f t="shared" ref="AL39" si="6">SUM(AL35:AO38)</f>
        <v>3280000</v>
      </c>
      <c r="AM39" s="56"/>
      <c r="AN39" s="56"/>
      <c r="AO39" s="56"/>
      <c r="AP39" s="56">
        <f t="shared" ref="AP39" si="7">SUM(AP35:AS38)</f>
        <v>3444000</v>
      </c>
      <c r="AQ39" s="56"/>
      <c r="AR39" s="56"/>
      <c r="AS39" s="56"/>
      <c r="AT39" s="56">
        <f t="shared" ref="AT39" si="8">SUM(AT35:AW38)</f>
        <v>2355000</v>
      </c>
      <c r="AU39" s="56"/>
      <c r="AV39" s="56"/>
      <c r="AW39" s="57"/>
    </row>
    <row r="40" spans="2:49">
      <c r="B40" s="3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8"/>
    </row>
    <row r="41" spans="2:49">
      <c r="B41" s="33" t="s">
        <v>36</v>
      </c>
      <c r="C41" s="2" t="s">
        <v>91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8"/>
    </row>
    <row r="42" spans="2:49">
      <c r="B42" s="33"/>
      <c r="C42" s="114" t="s">
        <v>67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8"/>
    </row>
    <row r="43" spans="2:49">
      <c r="B43" s="33" t="s">
        <v>36</v>
      </c>
      <c r="C43" s="2" t="s">
        <v>69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8"/>
    </row>
    <row r="44" spans="2:49">
      <c r="B44" s="33"/>
      <c r="C44" s="2" t="s">
        <v>68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8"/>
    </row>
    <row r="45" spans="2:49">
      <c r="B45" s="3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8"/>
    </row>
    <row r="46" spans="2:49">
      <c r="B46" s="39" t="s">
        <v>80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8"/>
    </row>
    <row r="47" spans="2:49">
      <c r="B47" s="33" t="s">
        <v>36</v>
      </c>
      <c r="C47" s="2" t="s">
        <v>72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8"/>
    </row>
    <row r="48" spans="2:49">
      <c r="B48" s="33"/>
      <c r="C48" s="2" t="s">
        <v>50</v>
      </c>
      <c r="D48" s="2"/>
      <c r="E48" s="2"/>
      <c r="F48" s="2" t="s">
        <v>51</v>
      </c>
      <c r="G48" s="2"/>
      <c r="H48" s="2"/>
      <c r="I48" s="2"/>
      <c r="J48" s="2" t="s">
        <v>73</v>
      </c>
      <c r="K48" s="2"/>
      <c r="L48" s="2"/>
      <c r="M48" s="2"/>
      <c r="N48" s="2"/>
      <c r="O48" s="2"/>
      <c r="P48" s="2"/>
      <c r="Q48" s="114" t="s">
        <v>76</v>
      </c>
      <c r="R48" s="114"/>
      <c r="S48" s="114"/>
      <c r="T48" s="114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8"/>
    </row>
    <row r="49" spans="2:49">
      <c r="B49" s="33"/>
      <c r="C49" s="2" t="s">
        <v>52</v>
      </c>
      <c r="D49" s="2"/>
      <c r="E49" s="2"/>
      <c r="F49" s="2" t="s">
        <v>56</v>
      </c>
      <c r="G49" s="2"/>
      <c r="H49" s="2"/>
      <c r="I49" s="2"/>
      <c r="J49" s="2" t="s">
        <v>74</v>
      </c>
      <c r="K49" s="2"/>
      <c r="L49" s="2"/>
      <c r="M49" s="2"/>
      <c r="N49" s="2"/>
      <c r="O49" s="2"/>
      <c r="P49" s="2"/>
      <c r="Q49" s="114" t="s">
        <v>74</v>
      </c>
      <c r="R49" s="114"/>
      <c r="S49" s="114"/>
      <c r="T49" s="114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8"/>
    </row>
    <row r="50" spans="2:49">
      <c r="B50" s="33"/>
      <c r="C50" s="2" t="s">
        <v>53</v>
      </c>
      <c r="D50" s="2"/>
      <c r="E50" s="2"/>
      <c r="F50" s="2" t="s">
        <v>57</v>
      </c>
      <c r="G50" s="2"/>
      <c r="H50" s="2"/>
      <c r="I50" s="2"/>
      <c r="J50" s="2" t="s">
        <v>75</v>
      </c>
      <c r="K50" s="2"/>
      <c r="L50" s="2"/>
      <c r="M50" s="2"/>
      <c r="N50" s="2"/>
      <c r="O50" s="2"/>
      <c r="P50" s="2"/>
      <c r="Q50" s="114" t="s">
        <v>77</v>
      </c>
      <c r="R50" s="114"/>
      <c r="S50" s="114"/>
      <c r="T50" s="114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8"/>
    </row>
    <row r="51" spans="2:49">
      <c r="B51" s="33"/>
      <c r="C51" s="2" t="s">
        <v>54</v>
      </c>
      <c r="D51" s="2"/>
      <c r="E51" s="2"/>
      <c r="F51" s="2" t="s">
        <v>58</v>
      </c>
      <c r="G51" s="2"/>
      <c r="H51" s="2"/>
      <c r="I51" s="2"/>
      <c r="J51" s="2" t="s">
        <v>75</v>
      </c>
      <c r="K51" s="2"/>
      <c r="L51" s="2"/>
      <c r="M51" s="2"/>
      <c r="N51" s="2"/>
      <c r="O51" s="2"/>
      <c r="P51" s="2"/>
      <c r="Q51" s="114" t="s">
        <v>77</v>
      </c>
      <c r="R51" s="114"/>
      <c r="S51" s="114"/>
      <c r="T51" s="114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8"/>
    </row>
    <row r="52" spans="2:49">
      <c r="B52" s="33"/>
      <c r="C52" s="2" t="s">
        <v>55</v>
      </c>
      <c r="D52" s="2"/>
      <c r="E52" s="2"/>
      <c r="F52" s="2" t="s">
        <v>59</v>
      </c>
      <c r="G52" s="2"/>
      <c r="H52" s="2"/>
      <c r="I52" s="2"/>
      <c r="J52" s="2" t="s">
        <v>75</v>
      </c>
      <c r="K52" s="2"/>
      <c r="L52" s="2"/>
      <c r="M52" s="2"/>
      <c r="N52" s="2"/>
      <c r="O52" s="2"/>
      <c r="P52" s="2"/>
      <c r="Q52" s="114" t="s">
        <v>77</v>
      </c>
      <c r="R52" s="114"/>
      <c r="S52" s="114"/>
      <c r="T52" s="114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8"/>
    </row>
    <row r="53" spans="2:49">
      <c r="B53" s="33" t="s">
        <v>36</v>
      </c>
      <c r="C53" s="2" t="s">
        <v>78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8"/>
    </row>
    <row r="54" spans="2:49">
      <c r="B54" s="33"/>
      <c r="C54" s="2" t="s">
        <v>90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8"/>
    </row>
    <row r="55" spans="2:49">
      <c r="B55" s="33"/>
      <c r="C55" s="2" t="s">
        <v>79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8"/>
    </row>
    <row r="56" spans="2:49">
      <c r="B56" s="3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8"/>
    </row>
    <row r="57" spans="2:49">
      <c r="B57" s="39" t="s">
        <v>84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8"/>
    </row>
    <row r="58" spans="2:49">
      <c r="B58" s="33" t="s">
        <v>36</v>
      </c>
      <c r="C58" s="2" t="s">
        <v>85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8"/>
    </row>
    <row r="59" spans="2:49">
      <c r="B59" s="33" t="s">
        <v>36</v>
      </c>
      <c r="C59" s="2" t="s">
        <v>86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8"/>
    </row>
    <row r="60" spans="2:49">
      <c r="B60" s="3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8"/>
    </row>
    <row r="61" spans="2:49">
      <c r="B61" s="3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8"/>
    </row>
    <row r="62" spans="2:49">
      <c r="B62" s="3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8"/>
    </row>
    <row r="63" spans="2:49">
      <c r="B63" s="3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8"/>
    </row>
    <row r="64" spans="2:49">
      <c r="B64" s="3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8"/>
    </row>
    <row r="65" spans="2:49" ht="15" thickBot="1">
      <c r="B65" s="34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5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1"/>
    </row>
    <row r="66" spans="2:49">
      <c r="B66" s="95" t="s">
        <v>18</v>
      </c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96"/>
    </row>
    <row r="67" spans="2:49">
      <c r="B67" s="33" t="s">
        <v>87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8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8"/>
    </row>
    <row r="68" spans="2:49">
      <c r="B68" s="33" t="s">
        <v>88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8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8"/>
    </row>
    <row r="69" spans="2:49">
      <c r="B69" s="33" t="s">
        <v>89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8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8"/>
    </row>
    <row r="70" spans="2:49">
      <c r="B70" s="3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8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8"/>
    </row>
    <row r="71" spans="2:49" ht="15" thickBot="1">
      <c r="B71" s="37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8"/>
      <c r="U71" s="38"/>
      <c r="V71" s="38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5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1"/>
    </row>
  </sheetData>
  <mergeCells count="82">
    <mergeCell ref="B66:AW66"/>
    <mergeCell ref="H7:J9"/>
    <mergeCell ref="L7:N9"/>
    <mergeCell ref="G5:Q6"/>
    <mergeCell ref="G11:Y14"/>
    <mergeCell ref="B22:AW22"/>
    <mergeCell ref="Y7:AJ7"/>
    <mergeCell ref="Y8:AJ8"/>
    <mergeCell ref="Y9:AJ9"/>
    <mergeCell ref="J35:M35"/>
    <mergeCell ref="J36:M36"/>
    <mergeCell ref="J37:M37"/>
    <mergeCell ref="J38:M38"/>
    <mergeCell ref="J39:M39"/>
    <mergeCell ref="N35:Q35"/>
    <mergeCell ref="R35:U35"/>
    <mergeCell ref="BD14:BE15"/>
    <mergeCell ref="B15:F21"/>
    <mergeCell ref="B7:F9"/>
    <mergeCell ref="B11:F14"/>
    <mergeCell ref="Z11:AD14"/>
    <mergeCell ref="Z15:AD21"/>
    <mergeCell ref="S1:AJ3"/>
    <mergeCell ref="B5:F6"/>
    <mergeCell ref="S5:X6"/>
    <mergeCell ref="S7:X9"/>
    <mergeCell ref="Y6:AJ6"/>
    <mergeCell ref="Y5:AJ5"/>
    <mergeCell ref="Z38:AC38"/>
    <mergeCell ref="V35:Y35"/>
    <mergeCell ref="Z35:AC35"/>
    <mergeCell ref="N36:Q36"/>
    <mergeCell ref="R36:U36"/>
    <mergeCell ref="V36:Y36"/>
    <mergeCell ref="Z36:AC36"/>
    <mergeCell ref="N39:Q39"/>
    <mergeCell ref="R39:U39"/>
    <mergeCell ref="V39:Y39"/>
    <mergeCell ref="Z39:AC39"/>
    <mergeCell ref="J34:M34"/>
    <mergeCell ref="N34:Q34"/>
    <mergeCell ref="R34:U34"/>
    <mergeCell ref="V34:Y34"/>
    <mergeCell ref="Z34:AC34"/>
    <mergeCell ref="N37:Q37"/>
    <mergeCell ref="R37:U37"/>
    <mergeCell ref="V37:Y37"/>
    <mergeCell ref="Z37:AC37"/>
    <mergeCell ref="N38:Q38"/>
    <mergeCell ref="R38:U38"/>
    <mergeCell ref="V38:Y38"/>
    <mergeCell ref="AD34:AG34"/>
    <mergeCell ref="AH34:AK34"/>
    <mergeCell ref="AL34:AO34"/>
    <mergeCell ref="AP34:AS34"/>
    <mergeCell ref="AD35:AG35"/>
    <mergeCell ref="AH35:AK35"/>
    <mergeCell ref="AL35:AO35"/>
    <mergeCell ref="AP35:AS35"/>
    <mergeCell ref="AH36:AK36"/>
    <mergeCell ref="AL36:AO36"/>
    <mergeCell ref="AP36:AS36"/>
    <mergeCell ref="AD37:AG37"/>
    <mergeCell ref="AH37:AK37"/>
    <mergeCell ref="AL37:AO37"/>
    <mergeCell ref="AP37:AS37"/>
    <mergeCell ref="AT39:AW39"/>
    <mergeCell ref="C39:I39"/>
    <mergeCell ref="AT34:AW34"/>
    <mergeCell ref="AT35:AW35"/>
    <mergeCell ref="AT36:AW36"/>
    <mergeCell ref="AT37:AW37"/>
    <mergeCell ref="AT38:AW38"/>
    <mergeCell ref="AD38:AG38"/>
    <mergeCell ref="AH38:AK38"/>
    <mergeCell ref="AL38:AO38"/>
    <mergeCell ref="AP38:AS38"/>
    <mergeCell ref="AD39:AG39"/>
    <mergeCell ref="AH39:AK39"/>
    <mergeCell ref="AL39:AO39"/>
    <mergeCell ref="AP39:AS39"/>
    <mergeCell ref="AD36:AG36"/>
  </mergeCells>
  <printOptions horizontalCentered="1" verticalCentered="1"/>
  <pageMargins left="0.19685039370078741" right="0.19685039370078741" top="0.39370078740157483" bottom="0.39370078740157483" header="0.31496062992125984" footer="0.19685039370078741"/>
  <pageSetup paperSize="9" scale="79" orientation="portrait" r:id="rId1"/>
  <headerFooter>
    <oddFooter>&amp;L&amp;D&amp;C&amp;P&amp;R&amp;F</oddFooter>
  </headerFooter>
  <ignoredErrors>
    <ignoredError sqref="C35:C3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2017-11-25T15:23:52Z</cp:lastPrinted>
  <dcterms:created xsi:type="dcterms:W3CDTF">2016-09-01T00:00:56Z</dcterms:created>
  <dcterms:modified xsi:type="dcterms:W3CDTF">2017-11-25T15:46:55Z</dcterms:modified>
</cp:coreProperties>
</file>