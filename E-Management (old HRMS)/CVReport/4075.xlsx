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マイドキュメント２\福井松下・PEDMA\"/>
    </mc:Choice>
  </mc:AlternateContent>
  <bookViews>
    <workbookView xWindow="0" yWindow="0" windowWidth="19470" windowHeight="8355"/>
  </bookViews>
  <sheets>
    <sheet name="report" sheetId="2" r:id="rId1"/>
    <sheet name="MARUWA result" sheetId="1" r:id="rId2"/>
    <sheet name="pana result" sheetId="4" r:id="rId3"/>
  </sheets>
  <calcPr calcId="152511"/>
  <pivotCaches>
    <pivotCache cacheId="0" r:id="rId4"/>
    <pivotCache cacheId="1" r:id="rId5"/>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9" i="2" l="1"/>
  <c r="E68" i="2"/>
  <c r="C34" i="2"/>
  <c r="B34" i="2"/>
  <c r="D33" i="2"/>
  <c r="D32" i="2"/>
  <c r="D31" i="2"/>
  <c r="D34" i="2" l="1"/>
  <c r="H50" i="1"/>
  <c r="H49" i="1"/>
  <c r="H48" i="1"/>
  <c r="H47" i="1"/>
  <c r="H46" i="1"/>
  <c r="H45" i="1"/>
  <c r="H44" i="1"/>
  <c r="C53" i="2" l="1"/>
  <c r="B53" i="2"/>
  <c r="H39" i="1" l="1"/>
  <c r="H35" i="1"/>
  <c r="H34" i="1"/>
  <c r="H43" i="1"/>
  <c r="H42" i="1"/>
  <c r="H41" i="1"/>
  <c r="H40" i="1"/>
  <c r="H38" i="1"/>
  <c r="H37" i="1"/>
  <c r="H36" i="1"/>
  <c r="H33" i="1"/>
  <c r="H32" i="1"/>
  <c r="H31" i="1"/>
  <c r="H30" i="1"/>
  <c r="H29" i="1"/>
  <c r="H28" i="1"/>
  <c r="H27" i="1"/>
  <c r="H26" i="1"/>
  <c r="H25" i="1"/>
  <c r="H24" i="1"/>
  <c r="H22" i="1"/>
  <c r="H21" i="1"/>
  <c r="H23" i="1"/>
  <c r="H20" i="1"/>
  <c r="H19" i="1"/>
  <c r="H18" i="1"/>
  <c r="H17" i="1"/>
  <c r="H16" i="1"/>
  <c r="H15" i="1"/>
  <c r="H14" i="1"/>
  <c r="H13" i="1"/>
  <c r="H12" i="1"/>
  <c r="H11" i="1"/>
  <c r="H10" i="1" l="1"/>
  <c r="H9" i="1"/>
  <c r="H8" i="1"/>
  <c r="H7" i="1"/>
  <c r="H6" i="1"/>
  <c r="H5" i="1"/>
  <c r="H4" i="1"/>
  <c r="H3" i="1"/>
  <c r="H2" i="1"/>
</calcChain>
</file>

<file path=xl/sharedStrings.xml><?xml version="1.0" encoding="utf-8"?>
<sst xmlns="http://schemas.openxmlformats.org/spreadsheetml/2006/main" count="469" uniqueCount="243">
  <si>
    <t>Lot No,</t>
    <phoneticPr fontId="1"/>
  </si>
  <si>
    <t>Rank</t>
    <phoneticPr fontId="1"/>
  </si>
  <si>
    <t>Crack</t>
    <phoneticPr fontId="1"/>
  </si>
  <si>
    <t>Others</t>
    <phoneticPr fontId="1"/>
  </si>
  <si>
    <t>Inspectin</t>
    <phoneticPr fontId="1"/>
  </si>
  <si>
    <t>Product</t>
    <phoneticPr fontId="1"/>
  </si>
  <si>
    <t xml:space="preserve">Curton </t>
    <phoneticPr fontId="1"/>
  </si>
  <si>
    <t>LE56-D09</t>
    <phoneticPr fontId="1"/>
  </si>
  <si>
    <t>2GNE</t>
    <phoneticPr fontId="1"/>
  </si>
  <si>
    <t>Actual</t>
    <phoneticPr fontId="1"/>
  </si>
  <si>
    <t>sampling</t>
    <phoneticPr fontId="1"/>
  </si>
  <si>
    <t>2GNE</t>
    <phoneticPr fontId="1"/>
  </si>
  <si>
    <t>LE56-D09</t>
    <phoneticPr fontId="1"/>
  </si>
  <si>
    <t>報告先</t>
    <rPh sb="0" eb="2">
      <t>ホウコク</t>
    </rPh>
    <rPh sb="2" eb="3">
      <t>サキ</t>
    </rPh>
    <phoneticPr fontId="4"/>
  </si>
  <si>
    <t>小川MD</t>
    <rPh sb="0" eb="2">
      <t>オガワ</t>
    </rPh>
    <phoneticPr fontId="4"/>
  </si>
  <si>
    <t>　出張計画　及び　出張報告書　</t>
    <rPh sb="1" eb="3">
      <t>シュッチョウ</t>
    </rPh>
    <rPh sb="3" eb="5">
      <t>ケイカク</t>
    </rPh>
    <rPh sb="6" eb="7">
      <t>オヨ</t>
    </rPh>
    <rPh sb="9" eb="11">
      <t>シュッチョウ</t>
    </rPh>
    <rPh sb="11" eb="14">
      <t>ホウコクショ</t>
    </rPh>
    <phoneticPr fontId="4"/>
  </si>
  <si>
    <t>写し配付先</t>
    <rPh sb="0" eb="1">
      <t>ウツ</t>
    </rPh>
    <rPh sb="2" eb="4">
      <t>ハイフ</t>
    </rPh>
    <rPh sb="4" eb="5">
      <t>サキ</t>
    </rPh>
    <phoneticPr fontId="4"/>
  </si>
  <si>
    <t>ﾁｯﾌﾟP各位</t>
    <rPh sb="5" eb="7">
      <t>カクイ</t>
    </rPh>
    <phoneticPr fontId="4"/>
  </si>
  <si>
    <t>出張者</t>
    <rPh sb="0" eb="3">
      <t>シュッチョウシャ</t>
    </rPh>
    <phoneticPr fontId="4"/>
  </si>
  <si>
    <t>稲垣</t>
    <rPh sb="0" eb="2">
      <t>イナガキ</t>
    </rPh>
    <phoneticPr fontId="4"/>
  </si>
  <si>
    <t>期間</t>
    <rPh sb="0" eb="2">
      <t>キカン</t>
    </rPh>
    <phoneticPr fontId="4"/>
  </si>
  <si>
    <t>同行者</t>
    <rPh sb="0" eb="3">
      <t>ドウコウシャ</t>
    </rPh>
    <phoneticPr fontId="4"/>
  </si>
  <si>
    <t>添付資料</t>
    <rPh sb="0" eb="2">
      <t>テンプ</t>
    </rPh>
    <rPh sb="2" eb="4">
      <t>シリョウ</t>
    </rPh>
    <phoneticPr fontId="4"/>
  </si>
  <si>
    <t>有</t>
    <rPh sb="0" eb="1">
      <t>ア</t>
    </rPh>
    <phoneticPr fontId="4"/>
  </si>
  <si>
    <t>無</t>
    <rPh sb="0" eb="1">
      <t>ナ</t>
    </rPh>
    <phoneticPr fontId="4"/>
  </si>
  <si>
    <t>出張先</t>
    <rPh sb="0" eb="2">
      <t>シュッチョウ</t>
    </rPh>
    <rPh sb="2" eb="3">
      <t>サキ</t>
    </rPh>
    <phoneticPr fontId="4"/>
  </si>
  <si>
    <t>相手先　　　　面談者</t>
    <rPh sb="0" eb="3">
      <t>アイテサキ</t>
    </rPh>
    <rPh sb="7" eb="9">
      <t>メンダン</t>
    </rPh>
    <rPh sb="9" eb="10">
      <t>シャ</t>
    </rPh>
    <phoneticPr fontId="4"/>
  </si>
  <si>
    <t>出張目的</t>
    <rPh sb="0" eb="2">
      <t>シュッチョウ</t>
    </rPh>
    <rPh sb="2" eb="4">
      <t>モクテキ</t>
    </rPh>
    <phoneticPr fontId="4"/>
  </si>
  <si>
    <t>報告内容</t>
    <rPh sb="0" eb="2">
      <t>ホウコク</t>
    </rPh>
    <rPh sb="2" eb="4">
      <t>ナイヨウ</t>
    </rPh>
    <phoneticPr fontId="4"/>
  </si>
  <si>
    <t>意見/考え</t>
    <rPh sb="0" eb="2">
      <t>イケン</t>
    </rPh>
    <rPh sb="3" eb="4">
      <t>カンガ</t>
    </rPh>
    <phoneticPr fontId="4"/>
  </si>
  <si>
    <t>板谷SM、方営業員</t>
    <rPh sb="0" eb="2">
      <t>イタヤ</t>
    </rPh>
    <rPh sb="5" eb="6">
      <t>ホウ</t>
    </rPh>
    <rPh sb="6" eb="9">
      <t>エイギョウイン</t>
    </rPh>
    <phoneticPr fontId="4"/>
  </si>
  <si>
    <t>Panasonic(TJ)</t>
    <phoneticPr fontId="4"/>
  </si>
  <si>
    <t>購買　PEI　LIN　SHANさん
QC　　受け入れ検査員2名</t>
    <rPh sb="0" eb="2">
      <t>コウバイ</t>
    </rPh>
    <rPh sb="22" eb="23">
      <t>ウ</t>
    </rPh>
    <rPh sb="24" eb="25">
      <t>イ</t>
    </rPh>
    <rPh sb="26" eb="28">
      <t>ケンサ</t>
    </rPh>
    <rPh sb="28" eb="29">
      <t>イン</t>
    </rPh>
    <rPh sb="30" eb="31">
      <t>メイ</t>
    </rPh>
    <phoneticPr fontId="4"/>
  </si>
  <si>
    <t>クラック受け入れ検査ロットの現地選別作業</t>
    <rPh sb="4" eb="5">
      <t>ウ</t>
    </rPh>
    <rPh sb="6" eb="7">
      <t>イ</t>
    </rPh>
    <rPh sb="8" eb="10">
      <t>ケンサ</t>
    </rPh>
    <rPh sb="14" eb="16">
      <t>ゲンチ</t>
    </rPh>
    <rPh sb="16" eb="18">
      <t>センベツ</t>
    </rPh>
    <rPh sb="18" eb="20">
      <t>サギョウ</t>
    </rPh>
    <phoneticPr fontId="1"/>
  </si>
  <si>
    <t>Date</t>
    <phoneticPr fontId="1"/>
  </si>
  <si>
    <t>2015,08,10</t>
    <phoneticPr fontId="1"/>
  </si>
  <si>
    <t>3GKB</t>
    <phoneticPr fontId="1"/>
  </si>
  <si>
    <t>10PKB</t>
    <phoneticPr fontId="1"/>
  </si>
  <si>
    <t>break</t>
    <phoneticPr fontId="1"/>
  </si>
  <si>
    <t>dirty</t>
    <phoneticPr fontId="1"/>
  </si>
  <si>
    <t>QTY</t>
    <phoneticPr fontId="1"/>
  </si>
  <si>
    <t>The sorting in customer of the crack inspection work</t>
    <phoneticPr fontId="1"/>
  </si>
  <si>
    <t>2015.08.11</t>
    <phoneticPr fontId="1"/>
  </si>
  <si>
    <t>stickly</t>
    <phoneticPr fontId="1"/>
  </si>
  <si>
    <t>MP45-J07</t>
    <phoneticPr fontId="1"/>
  </si>
  <si>
    <t>15-E12652</t>
    <phoneticPr fontId="1"/>
  </si>
  <si>
    <t xml:space="preserve">15-E12651 </t>
    <phoneticPr fontId="1"/>
  </si>
  <si>
    <t>15-E12655</t>
    <phoneticPr fontId="1"/>
  </si>
  <si>
    <t>NC43-D11</t>
    <phoneticPr fontId="1"/>
  </si>
  <si>
    <t>15-F11505</t>
    <phoneticPr fontId="1"/>
  </si>
  <si>
    <t>3GKB</t>
    <phoneticPr fontId="1"/>
  </si>
  <si>
    <t>15-F11053</t>
    <phoneticPr fontId="1"/>
  </si>
  <si>
    <t>15-F12578</t>
    <phoneticPr fontId="1"/>
  </si>
  <si>
    <t>15-F14019</t>
    <phoneticPr fontId="1"/>
  </si>
  <si>
    <t>DC49-H19</t>
    <phoneticPr fontId="1"/>
  </si>
  <si>
    <t>15-E09716</t>
    <phoneticPr fontId="1"/>
  </si>
  <si>
    <t>15-E09549</t>
    <phoneticPr fontId="1"/>
  </si>
  <si>
    <t>15-E09550</t>
    <phoneticPr fontId="1"/>
  </si>
  <si>
    <t>15-E08024</t>
    <phoneticPr fontId="1"/>
  </si>
  <si>
    <t>NB68-D10</t>
    <phoneticPr fontId="1"/>
  </si>
  <si>
    <t>solid</t>
    <phoneticPr fontId="1"/>
  </si>
  <si>
    <t>15-F12670</t>
    <phoneticPr fontId="1"/>
  </si>
  <si>
    <t>15-F11411</t>
    <phoneticPr fontId="1"/>
  </si>
  <si>
    <t>3GKB</t>
    <phoneticPr fontId="1"/>
  </si>
  <si>
    <r>
      <t>FG09</t>
    </r>
    <r>
      <rPr>
        <sz val="11"/>
        <color theme="1"/>
        <rFont val="ＭＳ Ｐゴシック"/>
        <family val="2"/>
        <charset val="128"/>
        <scheme val="minor"/>
      </rPr>
      <t>-A01</t>
    </r>
    <phoneticPr fontId="1"/>
  </si>
  <si>
    <t>15-F14029</t>
    <phoneticPr fontId="1"/>
  </si>
  <si>
    <t>15-F14028</t>
    <phoneticPr fontId="1"/>
  </si>
  <si>
    <t>15-F12753</t>
    <phoneticPr fontId="1"/>
  </si>
  <si>
    <t>15-F10492</t>
    <phoneticPr fontId="1"/>
  </si>
  <si>
    <t>15-F12669</t>
    <phoneticPr fontId="1"/>
  </si>
  <si>
    <t>15-F12667</t>
    <phoneticPr fontId="1"/>
  </si>
  <si>
    <t>PIDJTの受け入れ検査でNGと判断された箱の全数検査結果</t>
    <phoneticPr fontId="16" type="noConversion"/>
  </si>
  <si>
    <t>PIDJTが3GKBの受け入れ検査結果</t>
    <phoneticPr fontId="16" type="noConversion"/>
  </si>
  <si>
    <t>不良</t>
    <phoneticPr fontId="16" type="noConversion"/>
  </si>
  <si>
    <t>番号</t>
    <phoneticPr fontId="16" type="noConversion"/>
  </si>
  <si>
    <t>品名</t>
    <phoneticPr fontId="16" type="noConversion"/>
  </si>
  <si>
    <t>CARTON NO</t>
    <phoneticPr fontId="16" type="noConversion"/>
  </si>
  <si>
    <t>LOT</t>
    <phoneticPr fontId="16" type="noConversion"/>
  </si>
  <si>
    <t>RANK</t>
    <phoneticPr fontId="16" type="noConversion"/>
  </si>
  <si>
    <t>数量</t>
    <phoneticPr fontId="16" type="noConversion"/>
  </si>
  <si>
    <t>クラック</t>
    <phoneticPr fontId="16" type="noConversion"/>
  </si>
  <si>
    <t>Remark</t>
    <phoneticPr fontId="16" type="noConversion"/>
  </si>
  <si>
    <t>3GKB</t>
    <phoneticPr fontId="16" type="noConversion"/>
  </si>
  <si>
    <t>15-F11505</t>
    <phoneticPr fontId="16" type="noConversion"/>
  </si>
  <si>
    <t>NC43-D11</t>
    <phoneticPr fontId="16" type="noConversion"/>
  </si>
  <si>
    <t>不良2枚発見で該当LOTの全箱を検査する</t>
    <phoneticPr fontId="16" type="noConversion"/>
  </si>
  <si>
    <t>15-F12745</t>
    <phoneticPr fontId="16" type="noConversion"/>
  </si>
  <si>
    <t>波及性検査</t>
    <phoneticPr fontId="16" type="noConversion"/>
  </si>
  <si>
    <t>15-F12753</t>
    <phoneticPr fontId="16" type="noConversion"/>
  </si>
  <si>
    <t>FG09-A01</t>
    <phoneticPr fontId="16" type="noConversion"/>
  </si>
  <si>
    <t>PIDJTが受け入れ検査でNGと判断されたLOTに対して箱ごとを300pcsずつ検査した結果</t>
    <phoneticPr fontId="16" type="noConversion"/>
  </si>
  <si>
    <t>表面異物</t>
    <phoneticPr fontId="16" type="noConversion"/>
  </si>
  <si>
    <t>15-F10491</t>
    <phoneticPr fontId="16" type="noConversion"/>
  </si>
  <si>
    <t>15-F14024</t>
    <phoneticPr fontId="16" type="noConversion"/>
  </si>
  <si>
    <t>15-F12578</t>
    <phoneticPr fontId="16" type="noConversion"/>
  </si>
  <si>
    <t>15-F14033</t>
    <phoneticPr fontId="16" type="noConversion"/>
  </si>
  <si>
    <t>15-F12559</t>
    <phoneticPr fontId="16" type="noConversion"/>
  </si>
  <si>
    <t>15-F12734</t>
    <phoneticPr fontId="16" type="noConversion"/>
  </si>
  <si>
    <t>15-F14032</t>
    <phoneticPr fontId="16" type="noConversion"/>
  </si>
  <si>
    <t>15-F12558</t>
    <phoneticPr fontId="16" type="noConversion"/>
  </si>
  <si>
    <t>15-F10490</t>
    <phoneticPr fontId="16" type="noConversion"/>
  </si>
  <si>
    <t>15-F12784</t>
    <phoneticPr fontId="16" type="noConversion"/>
  </si>
  <si>
    <t>15-F13695</t>
    <phoneticPr fontId="16" type="noConversion"/>
  </si>
  <si>
    <t>15-F14276</t>
    <phoneticPr fontId="16" type="noConversion"/>
  </si>
  <si>
    <t>NC43-D10(?)</t>
    <phoneticPr fontId="16" type="noConversion"/>
  </si>
  <si>
    <t>15-F12577</t>
    <phoneticPr fontId="16" type="noConversion"/>
  </si>
  <si>
    <t>15-F12736</t>
    <phoneticPr fontId="16" type="noConversion"/>
  </si>
  <si>
    <t>15-F11024</t>
    <phoneticPr fontId="16" type="noConversion"/>
  </si>
  <si>
    <t>15-F06612</t>
    <phoneticPr fontId="16" type="noConversion"/>
  </si>
  <si>
    <t>15-F14019</t>
    <phoneticPr fontId="16" type="noConversion"/>
  </si>
  <si>
    <t>15-F14021</t>
    <phoneticPr fontId="16" type="noConversion"/>
  </si>
  <si>
    <t>Box</t>
    <phoneticPr fontId="1"/>
  </si>
  <si>
    <t>Panasonic(TJ)による受け入れ検査で3GKBにNG発生の傾向がありました</t>
    <rPh sb="16" eb="17">
      <t>ウ</t>
    </rPh>
    <rPh sb="18" eb="19">
      <t>イ</t>
    </rPh>
    <rPh sb="20" eb="22">
      <t>ケンサ</t>
    </rPh>
    <rPh sb="30" eb="32">
      <t>ハッセイ</t>
    </rPh>
    <rPh sb="33" eb="35">
      <t>ケイコウ</t>
    </rPh>
    <phoneticPr fontId="1"/>
  </si>
  <si>
    <t>NC43</t>
    <phoneticPr fontId="1"/>
  </si>
  <si>
    <t>NG09</t>
    <phoneticPr fontId="1"/>
  </si>
  <si>
    <t>Sampling</t>
    <phoneticPr fontId="1"/>
  </si>
  <si>
    <t>NG</t>
    <phoneticPr fontId="1"/>
  </si>
  <si>
    <t>NG%</t>
    <phoneticPr fontId="1"/>
  </si>
  <si>
    <t>各出荷ロットの詳細履歴を確認したところ両方共混成ロットでした</t>
    <rPh sb="0" eb="1">
      <t>カク</t>
    </rPh>
    <rPh sb="1" eb="3">
      <t>シュッカ</t>
    </rPh>
    <rPh sb="7" eb="9">
      <t>ショウサイ</t>
    </rPh>
    <rPh sb="9" eb="11">
      <t>リレキ</t>
    </rPh>
    <rPh sb="12" eb="14">
      <t>カクニン</t>
    </rPh>
    <rPh sb="19" eb="21">
      <t>リョウホウ</t>
    </rPh>
    <rPh sb="21" eb="22">
      <t>トモ</t>
    </rPh>
    <rPh sb="22" eb="24">
      <t>コンセイ</t>
    </rPh>
    <phoneticPr fontId="1"/>
  </si>
  <si>
    <t>各混成ロットのスリット深さ履歴を確認したところ170～200μm（規格180±30）に推移していました</t>
    <rPh sb="0" eb="1">
      <t>カク</t>
    </rPh>
    <rPh sb="1" eb="3">
      <t>コンセイ</t>
    </rPh>
    <rPh sb="11" eb="12">
      <t>フカ</t>
    </rPh>
    <rPh sb="13" eb="15">
      <t>リレキ</t>
    </rPh>
    <rPh sb="16" eb="18">
      <t>カクニン</t>
    </rPh>
    <rPh sb="33" eb="35">
      <t>キカク</t>
    </rPh>
    <rPh sb="43" eb="45">
      <t>スイイ</t>
    </rPh>
    <phoneticPr fontId="1"/>
  </si>
  <si>
    <t>よって2つ出荷ロットの性質は同じです</t>
    <rPh sb="5" eb="7">
      <t>シュッカ</t>
    </rPh>
    <rPh sb="11" eb="13">
      <t>セイシツ</t>
    </rPh>
    <rPh sb="14" eb="15">
      <t>オナ</t>
    </rPh>
    <phoneticPr fontId="1"/>
  </si>
  <si>
    <t>外観検査員の差異による傾向を確認します</t>
    <rPh sb="0" eb="2">
      <t>ガイカン</t>
    </rPh>
    <rPh sb="2" eb="4">
      <t>ケンサ</t>
    </rPh>
    <rPh sb="4" eb="5">
      <t>イン</t>
    </rPh>
    <rPh sb="6" eb="8">
      <t>サイ</t>
    </rPh>
    <rPh sb="11" eb="13">
      <t>ケイコウ</t>
    </rPh>
    <rPh sb="14" eb="16">
      <t>カクニン</t>
    </rPh>
    <phoneticPr fontId="1"/>
  </si>
  <si>
    <t>Both were mix lots when the details record of each shipping lot were confirmed.</t>
  </si>
  <si>
    <t>It changed in 170 - 200μm (standard 180±30) when the slit depth record of each mix lot was confirmed.</t>
  </si>
  <si>
    <t>Panasonic（TJ)の検査方法</t>
    <rPh sb="14" eb="16">
      <t>ケンサ</t>
    </rPh>
    <rPh sb="16" eb="18">
      <t>ホウホウ</t>
    </rPh>
    <phoneticPr fontId="1"/>
  </si>
  <si>
    <t>1枚あたり4～5秒凝視しています</t>
    <rPh sb="1" eb="2">
      <t>マイ</t>
    </rPh>
    <rPh sb="8" eb="9">
      <t>ビョウ</t>
    </rPh>
    <rPh sb="9" eb="11">
      <t>ギョウシ</t>
    </rPh>
    <phoneticPr fontId="1"/>
  </si>
  <si>
    <t>怪しいものを着色して確認します</t>
    <rPh sb="0" eb="1">
      <t>アヤ</t>
    </rPh>
    <rPh sb="6" eb="8">
      <t>チャクショク</t>
    </rPh>
    <rPh sb="10" eb="12">
      <t>カクニン</t>
    </rPh>
    <phoneticPr fontId="1"/>
  </si>
  <si>
    <t>Inspectino methed for Panasonic(TJ)</t>
    <phoneticPr fontId="1"/>
  </si>
  <si>
    <t>It not clear is color confirmed.</t>
    <phoneticPr fontId="1"/>
  </si>
  <si>
    <t>It was in the tendency of the NG occurrence in 3GKB by the incoming inspection by Panasonic (TJ).</t>
  </si>
  <si>
    <t>Therefore, two characters of the shipping lot are the same.</t>
    <phoneticPr fontId="1"/>
  </si>
  <si>
    <t>A tendency by the difference in the inspector is confirmed.</t>
    <phoneticPr fontId="1"/>
  </si>
  <si>
    <t>It looked at 4-5-second per 1 sheet.</t>
    <phoneticPr fontId="1"/>
  </si>
  <si>
    <t>各出荷ロットの着色濃度を比較しましたが同じでした</t>
  </si>
  <si>
    <t>It was the same though the coloring concentration of each shipping lot was compared.</t>
    <phoneticPr fontId="1"/>
  </si>
  <si>
    <t>2015.08.12</t>
    <phoneticPr fontId="1"/>
  </si>
  <si>
    <t>15-F12758</t>
    <phoneticPr fontId="1"/>
  </si>
  <si>
    <t>15-F12751</t>
    <phoneticPr fontId="1"/>
  </si>
  <si>
    <t>15-F12770</t>
    <phoneticPr fontId="1"/>
  </si>
  <si>
    <t>番号</t>
    <phoneticPr fontId="16" type="noConversion"/>
  </si>
  <si>
    <t>品名</t>
    <phoneticPr fontId="16" type="noConversion"/>
  </si>
  <si>
    <t>CARTON NO</t>
    <phoneticPr fontId="16" type="noConversion"/>
  </si>
  <si>
    <t>LOT</t>
    <phoneticPr fontId="16" type="noConversion"/>
  </si>
  <si>
    <t>RANK</t>
    <phoneticPr fontId="16" type="noConversion"/>
  </si>
  <si>
    <t>数量</t>
    <phoneticPr fontId="16" type="noConversion"/>
  </si>
  <si>
    <t>検査数量</t>
    <phoneticPr fontId="16" type="noConversion"/>
  </si>
  <si>
    <t>クラック</t>
    <phoneticPr fontId="16" type="noConversion"/>
  </si>
  <si>
    <t>Remark</t>
    <phoneticPr fontId="16" type="noConversion"/>
  </si>
  <si>
    <t>出荷P/LにないLOT</t>
    <phoneticPr fontId="16" type="noConversion"/>
  </si>
  <si>
    <t>15-F11053</t>
    <phoneticPr fontId="16" type="noConversion"/>
  </si>
  <si>
    <t>NC43-D11</t>
    <phoneticPr fontId="16" type="noConversion"/>
  </si>
  <si>
    <t>3GKB</t>
    <phoneticPr fontId="16" type="noConversion"/>
  </si>
  <si>
    <t>15-F10492</t>
    <phoneticPr fontId="16" type="noConversion"/>
  </si>
  <si>
    <t>FG09-A01</t>
    <phoneticPr fontId="16" type="noConversion"/>
  </si>
  <si>
    <t>15-F14029</t>
    <phoneticPr fontId="16" type="noConversion"/>
  </si>
  <si>
    <t>15-F14028</t>
    <phoneticPr fontId="16" type="noConversion"/>
  </si>
  <si>
    <t>15-F01120</t>
    <phoneticPr fontId="16" type="noConversion"/>
  </si>
  <si>
    <t>15-F11411</t>
    <phoneticPr fontId="16" type="noConversion"/>
  </si>
  <si>
    <t>15-F12670</t>
    <phoneticPr fontId="16" type="noConversion"/>
  </si>
  <si>
    <t>15-F11410</t>
    <phoneticPr fontId="16" type="noConversion"/>
  </si>
  <si>
    <t>15-F12667</t>
    <phoneticPr fontId="16" type="noConversion"/>
  </si>
  <si>
    <t>15-F12732</t>
    <phoneticPr fontId="16" type="noConversion"/>
  </si>
  <si>
    <t>15-F12669</t>
    <phoneticPr fontId="16" type="noConversion"/>
  </si>
  <si>
    <t>15-F12775</t>
    <phoneticPr fontId="16" type="noConversion"/>
  </si>
  <si>
    <t>15-F12778</t>
    <phoneticPr fontId="16" type="noConversion"/>
  </si>
  <si>
    <t>15-F12668</t>
    <phoneticPr fontId="16" type="noConversion"/>
  </si>
  <si>
    <t>15-F12751</t>
    <phoneticPr fontId="16" type="noConversion"/>
  </si>
  <si>
    <t>15-F12579</t>
    <phoneticPr fontId="16" type="noConversion"/>
  </si>
  <si>
    <t>15-F12758</t>
    <phoneticPr fontId="16" type="noConversion"/>
  </si>
  <si>
    <t>15-F10489</t>
    <phoneticPr fontId="16" type="noConversion"/>
  </si>
  <si>
    <t>15-F12763</t>
    <phoneticPr fontId="16" type="noConversion"/>
  </si>
  <si>
    <t>15-F12770</t>
    <phoneticPr fontId="16" type="noConversion"/>
  </si>
  <si>
    <t>15-F12775</t>
    <phoneticPr fontId="1"/>
  </si>
  <si>
    <t>15-F12668</t>
    <phoneticPr fontId="1"/>
  </si>
  <si>
    <t>stickly,dent</t>
    <phoneticPr fontId="1"/>
  </si>
  <si>
    <t>12-F12778</t>
    <phoneticPr fontId="1"/>
  </si>
  <si>
    <t>15-F01120</t>
    <phoneticPr fontId="1"/>
  </si>
  <si>
    <t>break,dent</t>
    <phoneticPr fontId="1"/>
  </si>
  <si>
    <t>15-F12763</t>
    <phoneticPr fontId="1"/>
  </si>
  <si>
    <t>15-F12732</t>
    <phoneticPr fontId="1"/>
  </si>
  <si>
    <t>Remark</t>
    <phoneticPr fontId="1"/>
  </si>
  <si>
    <t>行ラベル</t>
  </si>
  <si>
    <t>10PKB</t>
  </si>
  <si>
    <t>2GNE</t>
  </si>
  <si>
    <t>3GKB</t>
  </si>
  <si>
    <t>総計</t>
  </si>
  <si>
    <t>合計 / Inspectin</t>
  </si>
  <si>
    <t>合計 / Crack</t>
  </si>
  <si>
    <t>Sorting result</t>
    <phoneticPr fontId="1"/>
  </si>
  <si>
    <t>Crack</t>
    <phoneticPr fontId="1"/>
  </si>
  <si>
    <t>Crack %</t>
    <phoneticPr fontId="1"/>
  </si>
  <si>
    <t>Total</t>
    <phoneticPr fontId="1"/>
  </si>
  <si>
    <t>通常受け入れ検査</t>
    <rPh sb="0" eb="2">
      <t>ツウジョウ</t>
    </rPh>
    <rPh sb="2" eb="3">
      <t>ウ</t>
    </rPh>
    <rPh sb="4" eb="5">
      <t>イ</t>
    </rPh>
    <rPh sb="6" eb="8">
      <t>ケンサ</t>
    </rPh>
    <phoneticPr fontId="1"/>
  </si>
  <si>
    <t>特別受け入れ検査</t>
    <rPh sb="0" eb="2">
      <t>トクベツ</t>
    </rPh>
    <rPh sb="2" eb="3">
      <t>ウ</t>
    </rPh>
    <rPh sb="4" eb="5">
      <t>イ</t>
    </rPh>
    <rPh sb="6" eb="8">
      <t>ケンサ</t>
    </rPh>
    <phoneticPr fontId="1"/>
  </si>
  <si>
    <t>Lot</t>
    <phoneticPr fontId="1"/>
  </si>
  <si>
    <t>Curton</t>
    <phoneticPr fontId="1"/>
  </si>
  <si>
    <t>315pcs</t>
    <phoneticPr fontId="1"/>
  </si>
  <si>
    <t>300pcs</t>
    <phoneticPr fontId="1"/>
  </si>
  <si>
    <t>NG jugement</t>
    <phoneticPr fontId="1"/>
  </si>
  <si>
    <t>Normal inspectin</t>
    <phoneticPr fontId="1"/>
  </si>
  <si>
    <t>Sampling</t>
    <phoneticPr fontId="1"/>
  </si>
  <si>
    <t>不合格判定</t>
    <rPh sb="0" eb="3">
      <t>フゴウカク</t>
    </rPh>
    <rPh sb="3" eb="5">
      <t>ハンテイ</t>
    </rPh>
    <phoneticPr fontId="1"/>
  </si>
  <si>
    <t>Special incominｇ</t>
    <phoneticPr fontId="1"/>
  </si>
  <si>
    <t>通常受け入れ検査で不合格判定されたロットは特別受け入れ検査が実施されました</t>
    <rPh sb="0" eb="2">
      <t>ツウジョウ</t>
    </rPh>
    <rPh sb="2" eb="3">
      <t>ウ</t>
    </rPh>
    <rPh sb="4" eb="5">
      <t>イ</t>
    </rPh>
    <rPh sb="6" eb="8">
      <t>ケンサ</t>
    </rPh>
    <rPh sb="9" eb="12">
      <t>フゴウカク</t>
    </rPh>
    <rPh sb="12" eb="14">
      <t>ハンテイ</t>
    </rPh>
    <rPh sb="21" eb="23">
      <t>トクベツ</t>
    </rPh>
    <rPh sb="23" eb="24">
      <t>ウ</t>
    </rPh>
    <rPh sb="25" eb="26">
      <t>イ</t>
    </rPh>
    <rPh sb="27" eb="29">
      <t>ケンサ</t>
    </rPh>
    <rPh sb="30" eb="32">
      <t>ジッシ</t>
    </rPh>
    <phoneticPr fontId="1"/>
  </si>
  <si>
    <t>詳細結果は2ページ目を御参照願います</t>
    <rPh sb="0" eb="2">
      <t>ショウサイ</t>
    </rPh>
    <rPh sb="2" eb="4">
      <t>ケッカ</t>
    </rPh>
    <rPh sb="9" eb="10">
      <t>メ</t>
    </rPh>
    <rPh sb="11" eb="12">
      <t>ゴ</t>
    </rPh>
    <rPh sb="12" eb="14">
      <t>サンショウ</t>
    </rPh>
    <rPh sb="14" eb="15">
      <t>ネガ</t>
    </rPh>
    <phoneticPr fontId="1"/>
  </si>
  <si>
    <t>検査結果備考</t>
    <rPh sb="0" eb="2">
      <t>ケンサ</t>
    </rPh>
    <rPh sb="2" eb="4">
      <t>ケッカ</t>
    </rPh>
    <rPh sb="4" eb="6">
      <t>ビコウ</t>
    </rPh>
    <phoneticPr fontId="1"/>
  </si>
  <si>
    <t>As for the lot that NG was judged with normal incoming inspection, special incoming inspection was enforced.</t>
  </si>
  <si>
    <t>Sorting work was done about the product that NG was judged with special incoming inspection.</t>
  </si>
  <si>
    <t>特別受け入れ検査で不合格判定された製品について現地選別作業を行いました</t>
    <rPh sb="0" eb="2">
      <t>トクベツ</t>
    </rPh>
    <rPh sb="2" eb="3">
      <t>ウ</t>
    </rPh>
    <rPh sb="4" eb="5">
      <t>イ</t>
    </rPh>
    <rPh sb="6" eb="8">
      <t>ケンサ</t>
    </rPh>
    <rPh sb="9" eb="12">
      <t>フゴウカク</t>
    </rPh>
    <rPh sb="12" eb="14">
      <t>ハンテイ</t>
    </rPh>
    <rPh sb="17" eb="19">
      <t>セイヒン</t>
    </rPh>
    <rPh sb="23" eb="25">
      <t>ゲンチ</t>
    </rPh>
    <rPh sb="25" eb="27">
      <t>センベツ</t>
    </rPh>
    <rPh sb="27" eb="29">
      <t>サギョウ</t>
    </rPh>
    <rPh sb="30" eb="31">
      <t>オコナ</t>
    </rPh>
    <phoneticPr fontId="1"/>
  </si>
  <si>
    <t>Special incoming inspection wasn't enforced because most was OK decision with 10PKB with normal incoming inspection.</t>
  </si>
  <si>
    <t>Refer to the 2 page for a result of details</t>
  </si>
  <si>
    <t>Inspection result note</t>
  </si>
  <si>
    <t>考察</t>
    <rPh sb="0" eb="2">
      <t>コウサツ</t>
    </rPh>
    <phoneticPr fontId="1"/>
  </si>
  <si>
    <t>Consideration</t>
  </si>
  <si>
    <t>合計 / クラック</t>
  </si>
  <si>
    <t>報告2015年08月12日</t>
    <rPh sb="0" eb="2">
      <t>ホウコク</t>
    </rPh>
    <rPh sb="6" eb="7">
      <t>ネン</t>
    </rPh>
    <rPh sb="9" eb="10">
      <t>ツキ</t>
    </rPh>
    <rPh sb="12" eb="13">
      <t>ヒ</t>
    </rPh>
    <phoneticPr fontId="4"/>
  </si>
  <si>
    <t>Panasonic(TJ)とMARUWAの検出差異</t>
    <rPh sb="21" eb="23">
      <t>ケンシュツ</t>
    </rPh>
    <rPh sb="23" eb="25">
      <t>サイ</t>
    </rPh>
    <phoneticPr fontId="1"/>
  </si>
  <si>
    <t>MARUWA</t>
    <phoneticPr fontId="1"/>
  </si>
  <si>
    <t>Panasonic</t>
    <phoneticPr fontId="1"/>
  </si>
  <si>
    <t>Inspection</t>
    <phoneticPr fontId="1"/>
  </si>
  <si>
    <t>Crack</t>
    <phoneticPr fontId="1"/>
  </si>
  <si>
    <t>Product</t>
    <phoneticPr fontId="1"/>
  </si>
  <si>
    <t>3GKB</t>
    <phoneticPr fontId="1"/>
  </si>
  <si>
    <t>Crack %</t>
    <phoneticPr fontId="1"/>
  </si>
  <si>
    <t>双方の検出差異の要因は下記にあると考えます</t>
    <rPh sb="0" eb="2">
      <t>ソウホウ</t>
    </rPh>
    <rPh sb="3" eb="5">
      <t>ケンシュツ</t>
    </rPh>
    <rPh sb="5" eb="7">
      <t>サイ</t>
    </rPh>
    <rPh sb="8" eb="10">
      <t>ヨウイン</t>
    </rPh>
    <rPh sb="11" eb="13">
      <t>カキ</t>
    </rPh>
    <rPh sb="17" eb="18">
      <t>カンガ</t>
    </rPh>
    <phoneticPr fontId="1"/>
  </si>
  <si>
    <t>改善案</t>
    <rPh sb="0" eb="2">
      <t>カイゼン</t>
    </rPh>
    <rPh sb="2" eb="3">
      <t>アン</t>
    </rPh>
    <phoneticPr fontId="1"/>
  </si>
  <si>
    <t>1,A limit of "the not cleara" is reconfirmed and detect.</t>
    <phoneticPr fontId="1"/>
  </si>
  <si>
    <t>1,”怪しいレベル”の限度を再確認し摘出する</t>
    <rPh sb="3" eb="4">
      <t>アヤ</t>
    </rPh>
    <rPh sb="11" eb="13">
      <t>ゲンド</t>
    </rPh>
    <rPh sb="14" eb="17">
      <t>サイカクニン</t>
    </rPh>
    <rPh sb="18" eb="20">
      <t>テキシュツ</t>
    </rPh>
    <phoneticPr fontId="1"/>
  </si>
  <si>
    <t>2,MARUWA is thought that you must lower it to the inspection speed of the slow level which is suitable for the mass production.</t>
    <phoneticPr fontId="1"/>
  </si>
  <si>
    <t>2,MARUWAは量産に適した最低レベルの検査速度まで下げる必要があると考えます</t>
    <rPh sb="9" eb="11">
      <t>リョウサン</t>
    </rPh>
    <rPh sb="12" eb="13">
      <t>テキ</t>
    </rPh>
    <rPh sb="15" eb="17">
      <t>サイテイ</t>
    </rPh>
    <rPh sb="21" eb="23">
      <t>ケンサ</t>
    </rPh>
    <rPh sb="23" eb="25">
      <t>ソクド</t>
    </rPh>
    <rPh sb="27" eb="28">
      <t>サ</t>
    </rPh>
    <rPh sb="30" eb="32">
      <t>ヒツヨウ</t>
    </rPh>
    <rPh sb="36" eb="37">
      <t>カンガ</t>
    </rPh>
    <phoneticPr fontId="1"/>
  </si>
  <si>
    <t>Improvement plan</t>
  </si>
  <si>
    <t>break・・・2GNE WD Insex side No,3rd slit line , Always same point is boroken</t>
    <phoneticPr fontId="1"/>
  </si>
  <si>
    <t>2GNE WDノッチ側第3列目スリット　いつも同じ箇所で割れる</t>
    <rPh sb="10" eb="11">
      <t>ガワ</t>
    </rPh>
    <rPh sb="11" eb="12">
      <t>ダイ</t>
    </rPh>
    <rPh sb="13" eb="14">
      <t>レツ</t>
    </rPh>
    <rPh sb="14" eb="15">
      <t>メ</t>
    </rPh>
    <rPh sb="23" eb="24">
      <t>オナ</t>
    </rPh>
    <rPh sb="25" eb="27">
      <t>カショ</t>
    </rPh>
    <rPh sb="28" eb="29">
      <t>ワ</t>
    </rPh>
    <phoneticPr fontId="1"/>
  </si>
  <si>
    <t>dirty・・・2GNE Black color dirty , become sandwich both product is dirty , From ranking M/C dust is drop on poruct</t>
    <phoneticPr fontId="1"/>
  </si>
  <si>
    <t>2GNE 基板表面に黒汚れ、汚れを挟み込んでいるので双方の基板が汚れている、ランク分類機からでる汚れと思われる</t>
    <rPh sb="5" eb="7">
      <t>キバン</t>
    </rPh>
    <rPh sb="7" eb="9">
      <t>ヒョウメン</t>
    </rPh>
    <rPh sb="10" eb="11">
      <t>クロ</t>
    </rPh>
    <rPh sb="11" eb="12">
      <t>ヨゴ</t>
    </rPh>
    <rPh sb="14" eb="15">
      <t>ヨゴ</t>
    </rPh>
    <rPh sb="17" eb="18">
      <t>ハサ</t>
    </rPh>
    <rPh sb="19" eb="20">
      <t>コ</t>
    </rPh>
    <rPh sb="26" eb="28">
      <t>ソウホウ</t>
    </rPh>
    <rPh sb="29" eb="31">
      <t>キバン</t>
    </rPh>
    <rPh sb="32" eb="33">
      <t>ヨゴ</t>
    </rPh>
    <rPh sb="41" eb="43">
      <t>ブンルイ</t>
    </rPh>
    <rPh sb="43" eb="44">
      <t>キ</t>
    </rPh>
    <rPh sb="48" eb="49">
      <t>ヨゴ</t>
    </rPh>
    <rPh sb="51" eb="52">
      <t>オモ</t>
    </rPh>
    <phoneticPr fontId="1"/>
  </si>
  <si>
    <t>全製品　セラミック片の付着</t>
    <rPh sb="0" eb="1">
      <t>ゼン</t>
    </rPh>
    <rPh sb="1" eb="3">
      <t>セイヒン</t>
    </rPh>
    <rPh sb="9" eb="10">
      <t>ヘン</t>
    </rPh>
    <rPh sb="11" eb="13">
      <t>フチャク</t>
    </rPh>
    <phoneticPr fontId="1"/>
  </si>
  <si>
    <t>stickly・・・All product ceramic dust is stick to surface</t>
    <phoneticPr fontId="1"/>
  </si>
  <si>
    <t>Panasonic(TJ)の厳しくなった受け入れ検査対応を真摯に受け止め改善に努める</t>
    <rPh sb="14" eb="15">
      <t>キビ</t>
    </rPh>
    <rPh sb="20" eb="21">
      <t>ウ</t>
    </rPh>
    <rPh sb="22" eb="23">
      <t>イ</t>
    </rPh>
    <rPh sb="24" eb="26">
      <t>ケンサ</t>
    </rPh>
    <rPh sb="26" eb="28">
      <t>タイオウ</t>
    </rPh>
    <rPh sb="29" eb="31">
      <t>シンシ</t>
    </rPh>
    <rPh sb="32" eb="33">
      <t>ウ</t>
    </rPh>
    <rPh sb="34" eb="35">
      <t>ト</t>
    </rPh>
    <rPh sb="36" eb="38">
      <t>カイゼン</t>
    </rPh>
    <rPh sb="39" eb="40">
      <t>ツト</t>
    </rPh>
    <phoneticPr fontId="1"/>
  </si>
  <si>
    <t>The incoming inspection which Panasonic (TJ) made tight is caught sincerely, and it works for the improvement.</t>
  </si>
  <si>
    <t>2015,08,10～12</t>
    <phoneticPr fontId="4"/>
  </si>
  <si>
    <t>10PKBはほとんどが通常受け入れ検査で合格判定だったので特別受け入れ検査の対象になりませんでした</t>
    <rPh sb="11" eb="13">
      <t>ツウジョウ</t>
    </rPh>
    <rPh sb="13" eb="14">
      <t>ウ</t>
    </rPh>
    <rPh sb="15" eb="16">
      <t>イ</t>
    </rPh>
    <rPh sb="17" eb="19">
      <t>ケンサ</t>
    </rPh>
    <rPh sb="20" eb="22">
      <t>ゴウカク</t>
    </rPh>
    <rPh sb="22" eb="24">
      <t>ハンテイ</t>
    </rPh>
    <rPh sb="29" eb="31">
      <t>トクベツ</t>
    </rPh>
    <rPh sb="31" eb="32">
      <t>ウ</t>
    </rPh>
    <rPh sb="33" eb="34">
      <t>イ</t>
    </rPh>
    <rPh sb="35" eb="37">
      <t>ケンサ</t>
    </rPh>
    <rPh sb="38" eb="40">
      <t>タイショウ</t>
    </rPh>
    <phoneticPr fontId="1"/>
  </si>
  <si>
    <t>Detection difference in Panasonic (TJ) and MARUWA</t>
    <phoneticPr fontId="1"/>
  </si>
  <si>
    <t>It thinks that there is a factor of both detection difference in the following.</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</si>
</sst>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_(* #,##0_);_(* \(#,##0\);_(* &quot;-&quot;_);_(@_)"/>
  </numFmts>
  <fonts count="22">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sz val="12"/>
      <name val="ＭＳ Ｐゴシック"/>
      <family val="3"/>
      <charset val="128"/>
    </font>
    <font>
      <sz val="6"/>
      <name val="ＭＳ Ｐゴシック"/>
      <family val="3"/>
      <charset val="128"/>
    </font>
    <font>
      <sz val="14"/>
      <name val="ＭＳ Ｐゴシック"/>
      <family val="3"/>
      <charset val="128"/>
    </font>
    <font>
      <b/>
      <u val="double"/>
      <sz val="20"/>
      <name val="ＭＳ Ｐゴシック"/>
      <family val="3"/>
      <charset val="128"/>
    </font>
    <font>
      <sz val="10"/>
      <name val="ＭＳ Ｐゴシック"/>
      <family val="3"/>
      <charset val="128"/>
    </font>
    <font>
      <sz val="18"/>
      <name val="ＭＳ Ｐゴシック"/>
      <family val="3"/>
      <charset val="128"/>
    </font>
    <font>
      <sz val="11"/>
      <color theme="1"/>
      <name val="ＭＳ Ｐゴシック"/>
      <family val="3"/>
      <charset val="128"/>
      <scheme val="minor"/>
    </font>
    <font>
      <sz val="11"/>
      <color theme="1"/>
      <name val="ＭＳ Ｐゴシック"/>
      <family val="3"/>
      <charset val="128"/>
      <scheme val="major"/>
    </font>
    <font>
      <sz val="11"/>
      <name val="ＭＳ Ｐゴシック"/>
      <family val="3"/>
      <charset val="128"/>
    </font>
    <font>
      <sz val="11"/>
      <color rgb="FF000000"/>
      <name val="ＭＳ Ｐゴシック"/>
      <family val="3"/>
      <charset val="128"/>
      <scheme val="minor"/>
    </font>
    <font>
      <sz val="10"/>
      <color indexed="8"/>
      <name val="Arial"/>
      <family val="2"/>
    </font>
    <font>
      <sz val="11"/>
      <color indexed="8"/>
      <name val="ＭＳ Ｐゴシック"/>
      <family val="3"/>
      <charset val="128"/>
      <scheme val="major"/>
    </font>
    <font>
      <sz val="11"/>
      <name val="ＭＳ Ｐゴシック"/>
      <family val="3"/>
      <charset val="128"/>
      <scheme val="major"/>
    </font>
    <font>
      <sz val="9"/>
      <name val="ＭＳ Ｐゴシック"/>
      <family val="2"/>
      <charset val="134"/>
      <scheme val="minor"/>
    </font>
    <font>
      <sz val="11"/>
      <name val="ＭＳ Ｐゴシック"/>
      <family val="2"/>
      <charset val="134"/>
      <scheme val="minor"/>
    </font>
    <font>
      <sz val="11"/>
      <name val="ＭＳ Ｐゴシック"/>
      <family val="3"/>
      <charset val="134"/>
      <scheme val="minor"/>
    </font>
    <font>
      <strike/>
      <sz val="11"/>
      <color theme="1"/>
      <name val="ＭＳ Ｐゴシック"/>
      <family val="3"/>
      <charset val="128"/>
      <scheme val="minor"/>
    </font>
    <font>
      <sz val="11"/>
      <color rgb="FFFF0000"/>
      <name val="ＭＳ Ｐゴシック"/>
      <family val="2"/>
      <charset val="134"/>
      <scheme val="minor"/>
    </font>
    <font>
      <sz val="11"/>
      <color rgb="FFFF0000"/>
      <name val="ＭＳ Ｐゴシック"/>
      <family val="3"/>
      <charset val="134"/>
      <scheme val="minor"/>
    </font>
  </fonts>
  <fills count="4">
    <fill>
      <patternFill patternType="none"/>
    </fill>
    <fill>
      <patternFill patternType="gray125"/>
    </fill>
    <fill>
      <patternFill patternType="solid">
        <fgColor theme="8" tint="0.39997558519241921"/>
        <bgColor indexed="64"/>
      </patternFill>
    </fill>
    <fill>
      <patternFill patternType="solid">
        <fgColor rgb="FFFFFF00"/>
        <bgColor indexed="64"/>
      </patternFill>
    </fill>
  </fills>
  <borders count="23">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alignment vertical="center"/>
    </xf>
    <xf numFmtId="40" fontId="2" fillId="0" borderId="0" applyFont="0" applyFill="0" applyBorder="0" applyAlignment="0" applyProtection="0">
      <alignment vertical="center"/>
    </xf>
    <xf numFmtId="38" fontId="2" fillId="0" borderId="0" applyFont="0" applyFill="0" applyBorder="0" applyAlignment="0" applyProtection="0">
      <alignment vertical="center"/>
    </xf>
    <xf numFmtId="9" fontId="2" fillId="0" borderId="0" applyFont="0" applyFill="0" applyBorder="0" applyAlignment="0" applyProtection="0">
      <alignment vertical="center"/>
    </xf>
    <xf numFmtId="0" fontId="13" fillId="0" borderId="0"/>
    <xf numFmtId="0" fontId="13" fillId="0" borderId="0"/>
  </cellStyleXfs>
  <cellXfs count="130">
    <xf numFmtId="0" fontId="0" fillId="0" borderId="0" xfId="0">
      <alignment vertical="center"/>
    </xf>
    <xf numFmtId="0" fontId="0" fillId="0" borderId="0" xfId="0" applyAlignment="1">
      <alignment vertical="center"/>
    </xf>
    <xf numFmtId="0" fontId="0" fillId="0" borderId="0" xfId="0" applyBorder="1" applyAlignment="1">
      <alignment vertical="center"/>
    </xf>
    <xf numFmtId="0" fontId="6" fillId="0" borderId="0" xfId="0" applyFont="1" applyBorder="1" applyAlignment="1">
      <alignment vertical="center"/>
    </xf>
    <xf numFmtId="0" fontId="6" fillId="0" borderId="0" xfId="0" quotePrefix="1" applyFont="1" applyAlignment="1">
      <alignment vertical="center"/>
    </xf>
    <xf numFmtId="0" fontId="6" fillId="0" borderId="0" xfId="0" applyFont="1" applyAlignment="1">
      <alignment vertical="center"/>
    </xf>
    <xf numFmtId="0" fontId="0" fillId="0" borderId="0" xfId="0" applyFill="1" applyBorder="1" applyAlignment="1">
      <alignment vertical="center"/>
    </xf>
    <xf numFmtId="0" fontId="8" fillId="0" borderId="0" xfId="0" applyFont="1" applyFill="1" applyBorder="1" applyAlignment="1">
      <alignment vertical="center" shrinkToFit="1"/>
    </xf>
    <xf numFmtId="0" fontId="0" fillId="0" borderId="1" xfId="0" applyBorder="1" applyAlignment="1">
      <alignment vertical="center"/>
    </xf>
    <xf numFmtId="0" fontId="5" fillId="0" borderId="0" xfId="0" applyFont="1" applyFill="1" applyBorder="1" applyAlignment="1">
      <alignment vertical="center"/>
    </xf>
    <xf numFmtId="0" fontId="0" fillId="0" borderId="3" xfId="0" applyBorder="1" applyAlignment="1">
      <alignment vertical="center"/>
    </xf>
    <xf numFmtId="0" fontId="0" fillId="0" borderId="2" xfId="0" applyBorder="1" applyAlignment="1">
      <alignment vertical="center"/>
    </xf>
    <xf numFmtId="0" fontId="0" fillId="0" borderId="6" xfId="0" applyBorder="1" applyAlignment="1">
      <alignment vertical="center"/>
    </xf>
    <xf numFmtId="0" fontId="0" fillId="0" borderId="5"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3" xfId="0" applyFont="1" applyBorder="1" applyAlignment="1">
      <alignment vertical="center"/>
    </xf>
    <xf numFmtId="0" fontId="0" fillId="0" borderId="5" xfId="0" applyFont="1" applyFill="1" applyBorder="1">
      <alignment vertical="center"/>
    </xf>
    <xf numFmtId="0" fontId="9" fillId="0" borderId="0" xfId="0" applyFont="1" applyFill="1" applyBorder="1">
      <alignment vertical="center"/>
    </xf>
    <xf numFmtId="0" fontId="0" fillId="0" borderId="0" xfId="0" applyFill="1" applyBorder="1">
      <alignment vertical="center"/>
    </xf>
    <xf numFmtId="0" fontId="9" fillId="0" borderId="9" xfId="0" applyFont="1" applyFill="1" applyBorder="1">
      <alignment vertical="center"/>
    </xf>
    <xf numFmtId="0" fontId="11" fillId="0" borderId="0" xfId="0" applyFont="1" applyBorder="1" applyAlignment="1"/>
    <xf numFmtId="0" fontId="0" fillId="0" borderId="0" xfId="0" applyBorder="1">
      <alignment vertical="center"/>
    </xf>
    <xf numFmtId="38" fontId="10" fillId="0" borderId="0" xfId="2" applyFont="1" applyFill="1" applyBorder="1">
      <alignment vertical="center"/>
    </xf>
    <xf numFmtId="0" fontId="0" fillId="0" borderId="5" xfId="0" applyBorder="1" applyAlignment="1">
      <alignment horizontal="left" vertical="center" indent="1"/>
    </xf>
    <xf numFmtId="0" fontId="0" fillId="0" borderId="0" xfId="0" applyAlignment="1">
      <alignment horizontal="left" vertical="center" indent="1"/>
    </xf>
    <xf numFmtId="0" fontId="10" fillId="0" borderId="0" xfId="0" applyFont="1" applyFill="1" applyBorder="1">
      <alignment vertical="center"/>
    </xf>
    <xf numFmtId="10" fontId="0" fillId="0" borderId="0" xfId="3" applyNumberFormat="1" applyFont="1" applyBorder="1" applyAlignment="1">
      <alignment vertical="center"/>
    </xf>
    <xf numFmtId="0" fontId="10" fillId="0" borderId="5" xfId="0" applyFont="1" applyBorder="1" applyAlignment="1">
      <alignment horizontal="left" vertical="center" indent="1"/>
    </xf>
    <xf numFmtId="0" fontId="10" fillId="0" borderId="0" xfId="0" applyFont="1" applyBorder="1" applyAlignment="1">
      <alignment vertical="center"/>
    </xf>
    <xf numFmtId="0" fontId="10" fillId="0" borderId="6" xfId="0" applyFont="1" applyBorder="1" applyAlignment="1">
      <alignment vertical="center"/>
    </xf>
    <xf numFmtId="0" fontId="0" fillId="0" borderId="7" xfId="0" applyFill="1" applyBorder="1">
      <alignment vertical="center"/>
    </xf>
    <xf numFmtId="0" fontId="0" fillId="0" borderId="1" xfId="0" applyFill="1" applyBorder="1">
      <alignment vertical="center"/>
    </xf>
    <xf numFmtId="0" fontId="10" fillId="0" borderId="1" xfId="0" applyFont="1" applyFill="1" applyBorder="1">
      <alignment vertical="center"/>
    </xf>
    <xf numFmtId="0" fontId="11" fillId="0" borderId="1" xfId="0" applyFont="1" applyBorder="1" applyAlignment="1"/>
    <xf numFmtId="0" fontId="14" fillId="0" borderId="0" xfId="4" applyFont="1" applyFill="1" applyBorder="1" applyAlignment="1">
      <alignment horizontal="center" vertical="center" shrinkToFit="1"/>
    </xf>
    <xf numFmtId="176" fontId="14" fillId="0" borderId="0" xfId="1" applyNumberFormat="1" applyFont="1" applyFill="1" applyBorder="1" applyAlignment="1">
      <alignment vertical="center" shrinkToFit="1"/>
    </xf>
    <xf numFmtId="0" fontId="15" fillId="0" borderId="0" xfId="0" applyFont="1" applyFill="1" applyBorder="1" applyAlignment="1">
      <alignment horizontal="center" vertical="center" shrinkToFit="1"/>
    </xf>
    <xf numFmtId="0" fontId="15" fillId="0" borderId="6" xfId="0" applyFont="1" applyFill="1" applyBorder="1" applyAlignment="1">
      <alignment horizontal="center" vertical="center" shrinkToFit="1"/>
    </xf>
    <xf numFmtId="0" fontId="0" fillId="0" borderId="9" xfId="0" applyBorder="1">
      <alignment vertical="center"/>
    </xf>
    <xf numFmtId="0" fontId="0" fillId="0" borderId="9" xfId="0" applyBorder="1" applyAlignment="1">
      <alignment vertical="center"/>
    </xf>
    <xf numFmtId="0" fontId="12" fillId="0" borderId="9" xfId="0" applyFont="1" applyBorder="1" applyAlignment="1">
      <alignment vertical="center"/>
    </xf>
    <xf numFmtId="0" fontId="0" fillId="0" borderId="9" xfId="0" applyFill="1" applyBorder="1">
      <alignment vertical="center"/>
    </xf>
    <xf numFmtId="0" fontId="9" fillId="0" borderId="9" xfId="0" applyFont="1" applyBorder="1">
      <alignment vertical="center"/>
    </xf>
    <xf numFmtId="0" fontId="0" fillId="0" borderId="11" xfId="0" applyBorder="1" applyAlignment="1">
      <alignment vertical="center"/>
    </xf>
    <xf numFmtId="0" fontId="0" fillId="0" borderId="12" xfId="0" applyBorder="1" applyAlignment="1">
      <alignment vertical="center"/>
    </xf>
    <xf numFmtId="0" fontId="0" fillId="0" borderId="13" xfId="0" applyBorder="1" applyAlignment="1">
      <alignment vertical="center"/>
    </xf>
    <xf numFmtId="0" fontId="0" fillId="0" borderId="14"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10" fillId="0" borderId="9" xfId="0" applyFont="1" applyBorder="1" applyAlignment="1">
      <alignment vertical="center"/>
    </xf>
    <xf numFmtId="0" fontId="14" fillId="0" borderId="9" xfId="4" applyFont="1" applyFill="1" applyBorder="1" applyAlignment="1">
      <alignment vertical="center" shrinkToFit="1"/>
    </xf>
    <xf numFmtId="10" fontId="14" fillId="0" borderId="9" xfId="3" applyNumberFormat="1" applyFont="1" applyFill="1" applyBorder="1" applyAlignment="1">
      <alignment vertical="center" shrinkToFit="1"/>
    </xf>
    <xf numFmtId="0" fontId="0" fillId="0" borderId="9" xfId="0" applyBorder="1" applyAlignment="1">
      <alignment horizontal="center" vertical="center"/>
    </xf>
    <xf numFmtId="10" fontId="14" fillId="0" borderId="0" xfId="3" applyNumberFormat="1" applyFont="1" applyFill="1" applyBorder="1" applyAlignment="1">
      <alignment vertical="center" shrinkToFit="1"/>
    </xf>
    <xf numFmtId="0" fontId="0" fillId="0" borderId="0" xfId="0" applyBorder="1" applyAlignment="1">
      <alignment horizontal="center" vertical="center"/>
    </xf>
    <xf numFmtId="0" fontId="0" fillId="0" borderId="0" xfId="0" applyFill="1" applyBorder="1" applyAlignment="1">
      <alignment horizontal="center" vertical="center"/>
    </xf>
    <xf numFmtId="0" fontId="0" fillId="2" borderId="18" xfId="0" applyFill="1" applyBorder="1" applyAlignment="1">
      <alignment vertical="center"/>
    </xf>
    <xf numFmtId="0" fontId="0" fillId="2" borderId="9" xfId="0" applyFill="1" applyBorder="1" applyAlignment="1">
      <alignment vertical="center"/>
    </xf>
    <xf numFmtId="0" fontId="0" fillId="2" borderId="19" xfId="0" applyFill="1" applyBorder="1" applyAlignment="1">
      <alignment vertical="center"/>
    </xf>
    <xf numFmtId="0" fontId="0" fillId="3" borderId="20" xfId="0" applyFill="1" applyBorder="1" applyAlignment="1">
      <alignment vertical="center"/>
    </xf>
    <xf numFmtId="0" fontId="0" fillId="3" borderId="21" xfId="0" applyFill="1" applyBorder="1" applyAlignment="1">
      <alignment vertical="center"/>
    </xf>
    <xf numFmtId="0" fontId="0" fillId="3" borderId="22" xfId="0" applyFill="1" applyBorder="1" applyAlignment="1">
      <alignment vertical="center"/>
    </xf>
    <xf numFmtId="0" fontId="20" fillId="2" borderId="18" xfId="0" applyFont="1" applyFill="1" applyBorder="1" applyAlignment="1">
      <alignment vertical="center"/>
    </xf>
    <xf numFmtId="0" fontId="20" fillId="2" borderId="9" xfId="0" applyFont="1" applyFill="1" applyBorder="1" applyAlignment="1">
      <alignment vertical="center"/>
    </xf>
    <xf numFmtId="0" fontId="21" fillId="2" borderId="9" xfId="0" applyFont="1" applyFill="1" applyBorder="1" applyAlignment="1">
      <alignment vertical="center"/>
    </xf>
    <xf numFmtId="0" fontId="21" fillId="2" borderId="19" xfId="0" applyFont="1" applyFill="1" applyBorder="1" applyAlignment="1">
      <alignment vertical="center"/>
    </xf>
    <xf numFmtId="0" fontId="0" fillId="3" borderId="18" xfId="0" applyFill="1" applyBorder="1" applyAlignment="1">
      <alignment vertical="center"/>
    </xf>
    <xf numFmtId="0" fontId="0" fillId="3" borderId="9" xfId="0" applyFill="1" applyBorder="1" applyAlignment="1">
      <alignment vertical="center"/>
    </xf>
    <xf numFmtId="0" fontId="0" fillId="3" borderId="19" xfId="0" applyFill="1" applyBorder="1" applyAlignment="1">
      <alignment vertical="center"/>
    </xf>
    <xf numFmtId="0" fontId="0" fillId="0" borderId="0" xfId="0" pivotButton="1">
      <alignment vertical="center"/>
    </xf>
    <xf numFmtId="0" fontId="0" fillId="0" borderId="0" xfId="0" applyAlignment="1">
      <alignment horizontal="left" vertical="center"/>
    </xf>
    <xf numFmtId="0" fontId="0" fillId="0" borderId="0" xfId="0" applyNumberFormat="1">
      <alignment vertical="center"/>
    </xf>
    <xf numFmtId="0" fontId="12" fillId="0" borderId="0" xfId="0" applyFont="1" applyBorder="1">
      <alignment vertical="center"/>
    </xf>
    <xf numFmtId="0" fontId="19" fillId="0" borderId="0" xfId="0" applyFont="1" applyBorder="1" applyAlignment="1">
      <alignment vertical="center"/>
    </xf>
    <xf numFmtId="38" fontId="10" fillId="0" borderId="9" xfId="2" applyFont="1" applyFill="1" applyBorder="1">
      <alignment vertical="center"/>
    </xf>
    <xf numFmtId="0" fontId="9" fillId="0" borderId="9" xfId="3" applyNumberFormat="1" applyFont="1" applyBorder="1">
      <alignment vertical="center"/>
    </xf>
    <xf numFmtId="10" fontId="12" fillId="0" borderId="9" xfId="3" applyNumberFormat="1" applyFont="1" applyBorder="1" applyAlignment="1">
      <alignment vertical="center"/>
    </xf>
    <xf numFmtId="0" fontId="12" fillId="0" borderId="9" xfId="0" applyFont="1" applyBorder="1">
      <alignment vertical="center"/>
    </xf>
    <xf numFmtId="0" fontId="11" fillId="0" borderId="9" xfId="3" applyNumberFormat="1" applyFont="1" applyBorder="1" applyAlignment="1"/>
    <xf numFmtId="0" fontId="11" fillId="0" borderId="9" xfId="0" applyNumberFormat="1" applyFont="1" applyFill="1" applyBorder="1" applyAlignment="1"/>
    <xf numFmtId="0" fontId="0" fillId="0" borderId="5" xfId="0" applyBorder="1" applyAlignment="1">
      <alignment horizontal="left" vertical="center" indent="2"/>
    </xf>
    <xf numFmtId="0" fontId="12" fillId="0" borderId="5" xfId="0" applyFont="1" applyBorder="1" applyAlignment="1">
      <alignment horizontal="left" vertical="center"/>
    </xf>
    <xf numFmtId="10" fontId="0" fillId="0" borderId="9" xfId="3" applyNumberFormat="1" applyFont="1" applyBorder="1" applyAlignment="1">
      <alignment vertical="center"/>
    </xf>
    <xf numFmtId="38" fontId="9" fillId="0" borderId="5" xfId="2" applyFont="1" applyBorder="1" applyAlignment="1">
      <alignment horizontal="left" vertical="center" indent="1"/>
    </xf>
    <xf numFmtId="0" fontId="3" fillId="0" borderId="0" xfId="0" applyFont="1" applyBorder="1" applyAlignment="1">
      <alignment horizontal="center"/>
    </xf>
    <xf numFmtId="0" fontId="3" fillId="0" borderId="1" xfId="0" applyFont="1" applyBorder="1" applyAlignment="1">
      <alignment horizontal="center"/>
    </xf>
    <xf numFmtId="0" fontId="0" fillId="0" borderId="0" xfId="0" applyBorder="1" applyAlignment="1">
      <alignment horizontal="center" vertical="center"/>
    </xf>
    <xf numFmtId="0" fontId="0" fillId="0" borderId="1" xfId="0" applyBorder="1" applyAlignment="1">
      <alignment horizontal="center" vertical="center"/>
    </xf>
    <xf numFmtId="0" fontId="5" fillId="0" borderId="0" xfId="0" quotePrefix="1" applyFont="1" applyFill="1" applyBorder="1" applyAlignment="1">
      <alignment horizontal="center" vertical="center" shrinkToFit="1"/>
    </xf>
    <xf numFmtId="0" fontId="6" fillId="0" borderId="0" xfId="0" quotePrefix="1" applyFont="1" applyAlignment="1">
      <alignment horizontal="center" vertical="center"/>
    </xf>
    <xf numFmtId="0" fontId="7" fillId="0" borderId="0" xfId="0" quotePrefix="1" applyFont="1" applyFill="1" applyBorder="1" applyAlignment="1">
      <alignment horizontal="center" vertical="center"/>
    </xf>
    <xf numFmtId="0" fontId="7" fillId="0" borderId="1" xfId="0" quotePrefix="1" applyFont="1" applyFill="1" applyBorder="1" applyAlignment="1">
      <alignment horizontal="center" vertical="center"/>
    </xf>
    <xf numFmtId="0" fontId="5" fillId="0" borderId="0" xfId="0" applyFont="1" applyFill="1" applyBorder="1" applyAlignment="1">
      <alignment vertical="center"/>
    </xf>
    <xf numFmtId="0" fontId="5" fillId="0" borderId="1" xfId="0" applyFont="1" applyFill="1" applyBorder="1" applyAlignment="1">
      <alignment vertical="center"/>
    </xf>
    <xf numFmtId="0" fontId="5" fillId="0" borderId="0" xfId="0" applyFont="1" applyFill="1" applyBorder="1" applyAlignment="1">
      <alignment horizontal="center" vertical="center"/>
    </xf>
    <xf numFmtId="0" fontId="5" fillId="0" borderId="1" xfId="0" applyFont="1" applyFill="1" applyBorder="1" applyAlignment="1">
      <alignment horizontal="center" vertical="center"/>
    </xf>
    <xf numFmtId="0" fontId="0" fillId="0" borderId="0" xfId="0" applyFill="1" applyBorder="1" applyAlignment="1">
      <alignment horizontal="center" vertical="center"/>
    </xf>
    <xf numFmtId="0" fontId="0" fillId="0" borderId="1" xfId="0" applyFill="1" applyBorder="1" applyAlignment="1">
      <alignment horizontal="center" vertical="center"/>
    </xf>
    <xf numFmtId="0" fontId="5" fillId="0" borderId="2" xfId="0" applyFont="1" applyFill="1"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3" xfId="0" quotePrefix="1" applyBorder="1" applyAlignment="1">
      <alignment horizontal="center" vertical="center" wrapText="1"/>
    </xf>
    <xf numFmtId="0" fontId="0" fillId="0" borderId="5" xfId="0" quotePrefix="1" applyBorder="1" applyAlignment="1">
      <alignment horizontal="center" vertical="center" wrapText="1"/>
    </xf>
    <xf numFmtId="0" fontId="0" fillId="0" borderId="7" xfId="0" quotePrefix="1" applyBorder="1" applyAlignment="1">
      <alignment horizontal="center" vertical="center" wrapText="1"/>
    </xf>
    <xf numFmtId="0" fontId="0" fillId="0" borderId="3" xfId="0" applyBorder="1" applyAlignment="1">
      <alignment vertical="center" wrapText="1" shrinkToFit="1"/>
    </xf>
    <xf numFmtId="0" fontId="0" fillId="0" borderId="2" xfId="0" applyBorder="1" applyAlignment="1">
      <alignment vertical="center" wrapText="1" shrinkToFit="1"/>
    </xf>
    <xf numFmtId="0" fontId="0" fillId="0" borderId="4" xfId="0" applyBorder="1" applyAlignment="1">
      <alignment vertical="center" wrapText="1" shrinkToFit="1"/>
    </xf>
    <xf numFmtId="0" fontId="0" fillId="0" borderId="5" xfId="0" applyBorder="1" applyAlignment="1">
      <alignment vertical="center" wrapText="1" shrinkToFit="1"/>
    </xf>
    <xf numFmtId="0" fontId="0" fillId="0" borderId="0" xfId="0" applyBorder="1" applyAlignment="1">
      <alignment vertical="center" wrapText="1" shrinkToFit="1"/>
    </xf>
    <xf numFmtId="0" fontId="0" fillId="0" borderId="6" xfId="0" applyBorder="1" applyAlignment="1">
      <alignment vertical="center" wrapText="1" shrinkToFit="1"/>
    </xf>
    <xf numFmtId="0" fontId="0" fillId="0" borderId="7" xfId="0" applyBorder="1" applyAlignment="1">
      <alignment vertical="center" wrapText="1" shrinkToFit="1"/>
    </xf>
    <xf numFmtId="0" fontId="0" fillId="0" borderId="1" xfId="0" applyBorder="1" applyAlignment="1">
      <alignment vertical="center" wrapText="1" shrinkToFit="1"/>
    </xf>
    <xf numFmtId="0" fontId="0" fillId="0" borderId="8" xfId="0" applyBorder="1" applyAlignment="1">
      <alignment vertical="center" wrapText="1" shrinkToFit="1"/>
    </xf>
    <xf numFmtId="0" fontId="0" fillId="0" borderId="10" xfId="0" quotePrefix="1" applyBorder="1" applyAlignment="1">
      <alignment horizontal="center" vertical="center"/>
    </xf>
    <xf numFmtId="0" fontId="0" fillId="0" borderId="9" xfId="0" quotePrefix="1" applyBorder="1" applyAlignment="1">
      <alignment horizontal="center" vertical="center"/>
    </xf>
    <xf numFmtId="0" fontId="3" fillId="0" borderId="2" xfId="0" applyFont="1" applyFill="1" applyBorder="1" applyAlignment="1">
      <alignment horizontal="center" vertical="center"/>
    </xf>
    <xf numFmtId="0" fontId="3" fillId="0" borderId="1" xfId="0" applyFont="1" applyFill="1" applyBorder="1" applyAlignment="1">
      <alignment horizontal="center" vertical="center"/>
    </xf>
    <xf numFmtId="0" fontId="0" fillId="0" borderId="2" xfId="0" applyFill="1" applyBorder="1" applyAlignment="1">
      <alignment horizontal="center" vertical="center"/>
    </xf>
    <xf numFmtId="0" fontId="17" fillId="0" borderId="15" xfId="0" applyFont="1" applyBorder="1" applyAlignment="1">
      <alignment horizontal="center" vertical="center"/>
    </xf>
    <xf numFmtId="0" fontId="18" fillId="0" borderId="16" xfId="0" applyFont="1" applyBorder="1" applyAlignment="1">
      <alignment horizontal="center" vertical="center"/>
    </xf>
    <xf numFmtId="0" fontId="18" fillId="0" borderId="17" xfId="0" applyFont="1" applyBorder="1" applyAlignment="1">
      <alignment horizontal="center" vertical="center"/>
    </xf>
    <xf numFmtId="0" fontId="17" fillId="0" borderId="11" xfId="0" applyFont="1" applyBorder="1" applyAlignment="1">
      <alignment horizontal="center" vertical="center"/>
    </xf>
    <xf numFmtId="0" fontId="17" fillId="0" borderId="12" xfId="0" applyFont="1" applyBorder="1" applyAlignment="1">
      <alignment horizontal="center" vertical="center"/>
    </xf>
    <xf numFmtId="0" fontId="17" fillId="0" borderId="14" xfId="0" applyFont="1" applyBorder="1" applyAlignment="1">
      <alignment horizontal="center" vertical="center"/>
    </xf>
  </cellXfs>
  <cellStyles count="6">
    <cellStyle name="Normal_Sheet1" xfId="5"/>
    <cellStyle name="Normal_Sheet2" xfId="4"/>
    <cellStyle name="パーセント" xfId="3" builtinId="5"/>
    <cellStyle name="桁区切り" xfId="2" builtinId="6"/>
    <cellStyle name="桁区切り [0.00]" xfId="1" builtinId="3"/>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9</xdr:col>
      <xdr:colOff>47625</xdr:colOff>
      <xdr:row>12</xdr:row>
      <xdr:rowOff>57150</xdr:rowOff>
    </xdr:from>
    <xdr:to>
      <xdr:col>11</xdr:col>
      <xdr:colOff>590550</xdr:colOff>
      <xdr:row>17</xdr:row>
      <xdr:rowOff>114300</xdr:rowOff>
    </xdr:to>
    <xdr:sp macro="" textlink="">
      <xdr:nvSpPr>
        <xdr:cNvPr id="2" name="AutoShape 1"/>
        <xdr:cNvSpPr>
          <a:spLocks noChangeArrowheads="1"/>
        </xdr:cNvSpPr>
      </xdr:nvSpPr>
      <xdr:spPr bwMode="auto">
        <a:xfrm>
          <a:off x="6524625" y="2381250"/>
          <a:ext cx="1914525" cy="914400"/>
        </a:xfrm>
        <a:prstGeom prst="roundRect">
          <a:avLst>
            <a:gd name="adj"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報告の注意点！！</a:t>
          </a:r>
        </a:p>
        <a:p>
          <a:pPr algn="l" rtl="0">
            <a:defRPr sz="1000"/>
          </a:pPr>
          <a:r>
            <a:rPr lang="ja-JP" altLang="en-US" sz="800" b="0" i="0" u="none" strike="noStrike" baseline="0">
              <a:solidFill>
                <a:srgbClr val="000000"/>
              </a:solidFill>
              <a:latin typeface="ＭＳ Ｐゴシック"/>
              <a:ea typeface="ＭＳ Ｐゴシック"/>
            </a:rPr>
            <a:t>　1.　悪い報告から先に</a:t>
          </a:r>
        </a:p>
        <a:p>
          <a:pPr algn="l" rtl="0">
            <a:defRPr sz="1000"/>
          </a:pPr>
          <a:r>
            <a:rPr lang="ja-JP" altLang="en-US" sz="800" b="0" i="0" u="none" strike="noStrike" baseline="0">
              <a:solidFill>
                <a:srgbClr val="000000"/>
              </a:solidFill>
              <a:latin typeface="ＭＳ Ｐゴシック"/>
              <a:ea typeface="ＭＳ Ｐゴシック"/>
            </a:rPr>
            <a:t>　2.　事実を</a:t>
          </a:r>
        </a:p>
        <a:p>
          <a:pPr algn="l" rtl="0">
            <a:defRPr sz="1000"/>
          </a:pPr>
          <a:r>
            <a:rPr lang="ja-JP" altLang="en-US" sz="800" b="0" i="0" u="none" strike="noStrike" baseline="0">
              <a:solidFill>
                <a:srgbClr val="000000"/>
              </a:solidFill>
              <a:latin typeface="ＭＳ Ｐゴシック"/>
              <a:ea typeface="ＭＳ Ｐゴシック"/>
            </a:rPr>
            <a:t>　3.　結論から</a:t>
          </a:r>
        </a:p>
        <a:p>
          <a:pPr algn="l" rtl="0">
            <a:defRPr sz="1000"/>
          </a:pPr>
          <a:r>
            <a:rPr lang="ja-JP" altLang="en-US" sz="800" b="0" i="0" u="none" strike="noStrike" baseline="0">
              <a:solidFill>
                <a:srgbClr val="000000"/>
              </a:solidFill>
              <a:latin typeface="ＭＳ Ｐゴシック"/>
              <a:ea typeface="ＭＳ Ｐゴシック"/>
            </a:rPr>
            <a:t>　4.　簡潔明瞭に具体的に</a:t>
          </a:r>
        </a:p>
        <a:p>
          <a:pPr algn="l" rtl="0">
            <a:defRPr sz="1000"/>
          </a:pPr>
          <a:r>
            <a:rPr lang="ja-JP" altLang="en-US" sz="800" b="0" i="0" u="none" strike="noStrike" baseline="0">
              <a:solidFill>
                <a:srgbClr val="000000"/>
              </a:solidFill>
              <a:latin typeface="ＭＳ Ｐゴシック"/>
              <a:ea typeface="ＭＳ Ｐゴシック"/>
            </a:rPr>
            <a:t>　5.　そして最後に自分の考えを言う</a:t>
          </a:r>
        </a:p>
      </xdr:txBody>
    </xdr:sp>
    <xdr:clientData/>
  </xdr:twoCellAnchor>
  <xdr:twoCellAnchor>
    <xdr:from>
      <xdr:col>10</xdr:col>
      <xdr:colOff>209550</xdr:colOff>
      <xdr:row>6</xdr:row>
      <xdr:rowOff>85725</xdr:rowOff>
    </xdr:from>
    <xdr:to>
      <xdr:col>10</xdr:col>
      <xdr:colOff>495300</xdr:colOff>
      <xdr:row>7</xdr:row>
      <xdr:rowOff>152400</xdr:rowOff>
    </xdr:to>
    <xdr:sp macro="" textlink="">
      <xdr:nvSpPr>
        <xdr:cNvPr id="3" name="Oval 2"/>
        <xdr:cNvSpPr>
          <a:spLocks noChangeArrowheads="1"/>
        </xdr:cNvSpPr>
      </xdr:nvSpPr>
      <xdr:spPr bwMode="auto">
        <a:xfrm>
          <a:off x="7372350" y="1171575"/>
          <a:ext cx="285750" cy="247650"/>
        </a:xfrm>
        <a:prstGeom prst="ellips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6</xdr:col>
      <xdr:colOff>238125</xdr:colOff>
      <xdr:row>20</xdr:row>
      <xdr:rowOff>85725</xdr:rowOff>
    </xdr:from>
    <xdr:to>
      <xdr:col>6</xdr:col>
      <xdr:colOff>542925</xdr:colOff>
      <xdr:row>21</xdr:row>
      <xdr:rowOff>133350</xdr:rowOff>
    </xdr:to>
    <xdr:sp macro="" textlink="">
      <xdr:nvSpPr>
        <xdr:cNvPr id="4" name="右矢印 3"/>
        <xdr:cNvSpPr/>
      </xdr:nvSpPr>
      <xdr:spPr>
        <a:xfrm>
          <a:off x="4714875" y="3781425"/>
          <a:ext cx="304800" cy="219075"/>
        </a:xfrm>
        <a:prstGeom prst="rightArrow">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4</xdr:col>
      <xdr:colOff>247650</xdr:colOff>
      <xdr:row>20</xdr:row>
      <xdr:rowOff>76200</xdr:rowOff>
    </xdr:from>
    <xdr:to>
      <xdr:col>4</xdr:col>
      <xdr:colOff>552450</xdr:colOff>
      <xdr:row>21</xdr:row>
      <xdr:rowOff>123825</xdr:rowOff>
    </xdr:to>
    <xdr:sp macro="" textlink="">
      <xdr:nvSpPr>
        <xdr:cNvPr id="5" name="右矢印 4"/>
        <xdr:cNvSpPr/>
      </xdr:nvSpPr>
      <xdr:spPr>
        <a:xfrm>
          <a:off x="3295650" y="3771900"/>
          <a:ext cx="304800" cy="219075"/>
        </a:xfrm>
        <a:prstGeom prst="rightArrow">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user" refreshedDate="42228.672791898149" createdVersion="5" refreshedVersion="5" minRefreshableVersion="3" recordCount="49">
  <cacheSource type="worksheet">
    <worksheetSource ref="A1:K50" sheet="MARUWA result"/>
  </cacheSource>
  <cacheFields count="11">
    <cacheField name="Date" numFmtId="0">
      <sharedItems/>
    </cacheField>
    <cacheField name="Product" numFmtId="0">
      <sharedItems count="3">
        <s v="2GNE"/>
        <s v="10PKB"/>
        <s v="3GKB"/>
      </sharedItems>
    </cacheField>
    <cacheField name="Lot No," numFmtId="0">
      <sharedItems/>
    </cacheField>
    <cacheField name="Rank" numFmtId="0">
      <sharedItems containsSemiMixedTypes="0" containsString="0" containsNumber="1" containsInteger="1" minValue="3" maxValue="124"/>
    </cacheField>
    <cacheField name="Curton " numFmtId="0">
      <sharedItems containsMixedTypes="1" containsNumber="1" containsInteger="1" minValue="15071005" maxValue="15072420"/>
    </cacheField>
    <cacheField name="Inspectin" numFmtId="0">
      <sharedItems containsSemiMixedTypes="0" containsString="0" containsNumber="1" containsInteger="1" minValue="300" maxValue="1800" count="10">
        <n v="1800"/>
        <n v="1500"/>
        <n v="300"/>
        <n v="800"/>
        <n v="1200"/>
        <n v="600"/>
        <n v="1700"/>
        <n v="1300"/>
        <n v="1600"/>
        <n v="1400"/>
      </sharedItems>
    </cacheField>
    <cacheField name="sampling" numFmtId="0">
      <sharedItems containsSemiMixedTypes="0" containsString="0" containsNumber="1" containsInteger="1" minValue="0" maxValue="18"/>
    </cacheField>
    <cacheField name="Actual" numFmtId="0">
      <sharedItems containsSemiMixedTypes="0" containsString="0" containsNumber="1" containsInteger="1" minValue="298" maxValue="1799"/>
    </cacheField>
    <cacheField name="Crack" numFmtId="0">
      <sharedItems containsSemiMixedTypes="0" containsString="0" containsNumber="1" containsInteger="1" minValue="0" maxValue="4"/>
    </cacheField>
    <cacheField name="Others" numFmtId="0">
      <sharedItems containsSemiMixedTypes="0" containsString="0" containsNumber="1" containsInteger="1" minValue="0" maxValue="23"/>
    </cacheField>
    <cacheField name="Remark"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2228.703561689814" createdVersion="5" refreshedVersion="5" minRefreshableVersion="3" recordCount="38">
  <cacheSource type="worksheet">
    <worksheetSource ref="C11:H49" sheet="pana result"/>
  </cacheSource>
  <cacheFields count="6">
    <cacheField name="品名" numFmtId="0">
      <sharedItems count="1">
        <s v="3GKB"/>
      </sharedItems>
    </cacheField>
    <cacheField name="CARTON NO" numFmtId="0">
      <sharedItems/>
    </cacheField>
    <cacheField name="LOT" numFmtId="0">
      <sharedItems/>
    </cacheField>
    <cacheField name="RANK" numFmtId="0">
      <sharedItems containsSemiMixedTypes="0" containsString="0" containsNumber="1" containsInteger="1" minValue="12" maxValue="25"/>
    </cacheField>
    <cacheField name="数量" numFmtId="0">
      <sharedItems containsSemiMixedTypes="0" containsString="0" containsNumber="1" containsInteger="1" minValue="1800" maxValue="1800" count="1">
        <n v="1800"/>
      </sharedItems>
    </cacheField>
    <cacheField name="クラック" numFmtId="0">
      <sharedItems containsSemiMixedTypes="0" containsString="0" containsNumber="1" containsInteger="1" minValue="0"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9">
  <r>
    <s v="2015,08,10"/>
    <x v="0"/>
    <s v="LE56-D09"/>
    <n v="19"/>
    <n v="15071006"/>
    <x v="0"/>
    <n v="15"/>
    <n v="1785"/>
    <n v="0"/>
    <n v="0"/>
    <m/>
  </r>
  <r>
    <s v="2015,08,10"/>
    <x v="0"/>
    <s v="LE56-D09"/>
    <n v="123"/>
    <n v="15071015"/>
    <x v="1"/>
    <n v="1"/>
    <n v="1499"/>
    <n v="0"/>
    <n v="0"/>
    <m/>
  </r>
  <r>
    <s v="2015,08,10"/>
    <x v="0"/>
    <s v="LE56-D09"/>
    <n v="18"/>
    <n v="15072414"/>
    <x v="2"/>
    <n v="2"/>
    <n v="298"/>
    <n v="0"/>
    <n v="0"/>
    <m/>
  </r>
  <r>
    <s v="2015,08,10"/>
    <x v="0"/>
    <s v="LE56-D09"/>
    <n v="24"/>
    <n v="15072414"/>
    <x v="3"/>
    <n v="2"/>
    <n v="798"/>
    <n v="0"/>
    <n v="0"/>
    <m/>
  </r>
  <r>
    <s v="2015,08,10"/>
    <x v="0"/>
    <s v="LE56-D09"/>
    <n v="13"/>
    <n v="15072419"/>
    <x v="1"/>
    <n v="1"/>
    <n v="1499"/>
    <n v="4"/>
    <n v="0"/>
    <m/>
  </r>
  <r>
    <s v="2015,08,10"/>
    <x v="0"/>
    <s v="LE56-D09"/>
    <n v="106"/>
    <n v="15072415"/>
    <x v="4"/>
    <n v="1"/>
    <n v="1199"/>
    <n v="1"/>
    <n v="0"/>
    <m/>
  </r>
  <r>
    <s v="2015,08,10"/>
    <x v="0"/>
    <s v="LE56-D09"/>
    <n v="113"/>
    <n v="15072413"/>
    <x v="2"/>
    <n v="0"/>
    <n v="300"/>
    <n v="0"/>
    <n v="0"/>
    <m/>
  </r>
  <r>
    <s v="2015,08,10"/>
    <x v="0"/>
    <s v="LE56-D09"/>
    <n v="124"/>
    <n v="15072413"/>
    <x v="5"/>
    <n v="0"/>
    <n v="600"/>
    <n v="0"/>
    <n v="23"/>
    <s v="dirty"/>
  </r>
  <r>
    <s v="2015,08,10"/>
    <x v="0"/>
    <s v="LE56-D09"/>
    <n v="23"/>
    <n v="15072420"/>
    <x v="6"/>
    <n v="5"/>
    <n v="1695"/>
    <n v="2"/>
    <n v="0"/>
    <m/>
  </r>
  <r>
    <s v="2015,08,10"/>
    <x v="0"/>
    <s v="LE56-D09"/>
    <n v="24"/>
    <n v="15072411"/>
    <x v="0"/>
    <n v="1"/>
    <n v="1799"/>
    <n v="2"/>
    <n v="0"/>
    <m/>
  </r>
  <r>
    <s v="2015,08,10"/>
    <x v="0"/>
    <s v="LE56-D09"/>
    <n v="113"/>
    <n v="15072404"/>
    <x v="0"/>
    <n v="2"/>
    <n v="1798"/>
    <n v="3"/>
    <n v="0"/>
    <m/>
  </r>
  <r>
    <s v="2015.08.11"/>
    <x v="0"/>
    <s v="LE56-D09"/>
    <n v="118"/>
    <n v="15072416"/>
    <x v="7"/>
    <n v="1"/>
    <n v="1299"/>
    <n v="3"/>
    <n v="0"/>
    <m/>
  </r>
  <r>
    <s v="2015.08.11"/>
    <x v="0"/>
    <s v="LE56-D09"/>
    <n v="12"/>
    <n v="15072418"/>
    <x v="8"/>
    <n v="2"/>
    <n v="1598"/>
    <n v="0"/>
    <n v="0"/>
    <m/>
  </r>
  <r>
    <s v="2015.08.11"/>
    <x v="0"/>
    <s v="LE56-D09"/>
    <n v="124"/>
    <n v="15072407"/>
    <x v="0"/>
    <n v="2"/>
    <n v="1798"/>
    <n v="1"/>
    <n v="0"/>
    <m/>
  </r>
  <r>
    <s v="2015.08.11"/>
    <x v="0"/>
    <s v="LE56-D09"/>
    <n v="13"/>
    <n v="15072408"/>
    <x v="0"/>
    <n v="3"/>
    <n v="1797"/>
    <n v="1"/>
    <n v="0"/>
    <m/>
  </r>
  <r>
    <s v="2015.08.11"/>
    <x v="0"/>
    <s v="LE56-D09"/>
    <n v="118"/>
    <n v="15072406"/>
    <x v="0"/>
    <n v="1"/>
    <n v="1799"/>
    <n v="0"/>
    <n v="0"/>
    <m/>
  </r>
  <r>
    <s v="2015.08.11"/>
    <x v="0"/>
    <s v="LE56-D09"/>
    <n v="15"/>
    <n v="15071005"/>
    <x v="0"/>
    <n v="1"/>
    <n v="1799"/>
    <n v="0"/>
    <n v="0"/>
    <m/>
  </r>
  <r>
    <s v="2015.08.11"/>
    <x v="0"/>
    <s v="LE56-D09"/>
    <n v="3"/>
    <n v="15071020"/>
    <x v="7"/>
    <n v="1"/>
    <n v="1299"/>
    <n v="0"/>
    <n v="0"/>
    <m/>
  </r>
  <r>
    <s v="2015.08.11"/>
    <x v="0"/>
    <s v="LE56-D09"/>
    <n v="107"/>
    <n v="15072402"/>
    <x v="0"/>
    <n v="16"/>
    <n v="1784"/>
    <n v="0"/>
    <n v="0"/>
    <m/>
  </r>
  <r>
    <s v="2015.08.11"/>
    <x v="0"/>
    <s v="LE56-D09"/>
    <n v="12"/>
    <n v="15071014"/>
    <x v="9"/>
    <n v="4"/>
    <n v="1396"/>
    <n v="0"/>
    <n v="1"/>
    <s v="stickly"/>
  </r>
  <r>
    <s v="2015.08.11"/>
    <x v="0"/>
    <s v="LE56-D09"/>
    <n v="112"/>
    <n v="15071011"/>
    <x v="7"/>
    <n v="2"/>
    <n v="1298"/>
    <n v="0"/>
    <n v="0"/>
    <m/>
  </r>
  <r>
    <s v="2015.08.11"/>
    <x v="1"/>
    <s v="MP45-J07"/>
    <n v="17"/>
    <s v="15-E12652"/>
    <x v="0"/>
    <n v="1"/>
    <n v="1799"/>
    <n v="0"/>
    <n v="0"/>
    <m/>
  </r>
  <r>
    <s v="2015.08.11"/>
    <x v="1"/>
    <s v="MP45-J07"/>
    <n v="17"/>
    <s v="15-E12651 "/>
    <x v="0"/>
    <n v="1"/>
    <n v="1799"/>
    <n v="0"/>
    <n v="0"/>
    <m/>
  </r>
  <r>
    <s v="2015.08.11"/>
    <x v="1"/>
    <s v="MP45-J07"/>
    <n v="12"/>
    <s v="15-E12655"/>
    <x v="0"/>
    <n v="16"/>
    <n v="1784"/>
    <n v="0"/>
    <n v="0"/>
    <m/>
  </r>
  <r>
    <s v="2015.08.11"/>
    <x v="2"/>
    <s v="NC43-D11"/>
    <n v="13"/>
    <s v="15-F11505"/>
    <x v="0"/>
    <n v="15"/>
    <n v="1785"/>
    <n v="0"/>
    <n v="1"/>
    <s v="stickly"/>
  </r>
  <r>
    <s v="2015.08.11"/>
    <x v="2"/>
    <s v="NC43-D11"/>
    <n v="15"/>
    <s v="15-F11053"/>
    <x v="0"/>
    <n v="1"/>
    <n v="1799"/>
    <n v="0"/>
    <n v="1"/>
    <s v="break"/>
  </r>
  <r>
    <s v="2015.08.11"/>
    <x v="2"/>
    <s v="NC43-D11"/>
    <n v="13"/>
    <s v="15-F12578"/>
    <x v="0"/>
    <n v="1"/>
    <n v="1799"/>
    <n v="0"/>
    <n v="4"/>
    <s v="break"/>
  </r>
  <r>
    <s v="2015.08.11"/>
    <x v="2"/>
    <s v="NC43-D11"/>
    <n v="12"/>
    <s v="15-F14019"/>
    <x v="0"/>
    <n v="2"/>
    <n v="1798"/>
    <n v="0"/>
    <n v="0"/>
    <m/>
  </r>
  <r>
    <s v="2015.08.11"/>
    <x v="2"/>
    <s v="DC49-H19"/>
    <n v="14"/>
    <s v="15-E09716"/>
    <x v="0"/>
    <n v="18"/>
    <n v="1782"/>
    <n v="2"/>
    <n v="1"/>
    <s v="stickly"/>
  </r>
  <r>
    <s v="2015.08.11"/>
    <x v="2"/>
    <s v="DC49-H19"/>
    <n v="14"/>
    <s v="15-E09549"/>
    <x v="0"/>
    <n v="2"/>
    <n v="1798"/>
    <n v="2"/>
    <n v="0"/>
    <m/>
  </r>
  <r>
    <s v="2015.08.11"/>
    <x v="2"/>
    <s v="DC49-H19"/>
    <n v="19"/>
    <s v="15-E09550"/>
    <x v="0"/>
    <n v="3"/>
    <n v="1797"/>
    <n v="0"/>
    <n v="0"/>
    <m/>
  </r>
  <r>
    <s v="2015.08.11"/>
    <x v="2"/>
    <s v="NB68-D10"/>
    <n v="15"/>
    <s v="15-E08024"/>
    <x v="0"/>
    <n v="14"/>
    <n v="1786"/>
    <n v="0"/>
    <n v="1"/>
    <s v="solid"/>
  </r>
  <r>
    <s v="2015.08.11"/>
    <x v="2"/>
    <s v="FG09-A01"/>
    <n v="12"/>
    <s v="15-F12670"/>
    <x v="0"/>
    <n v="5"/>
    <n v="1795"/>
    <n v="0"/>
    <n v="0"/>
    <m/>
  </r>
  <r>
    <s v="2015.08.11"/>
    <x v="2"/>
    <s v="FG09-A01"/>
    <n v="15"/>
    <s v="15-F11411"/>
    <x v="0"/>
    <n v="1"/>
    <n v="1799"/>
    <n v="0"/>
    <n v="0"/>
    <m/>
  </r>
  <r>
    <s v="2015.08.11"/>
    <x v="2"/>
    <s v="FG09-A01"/>
    <n v="19"/>
    <s v="15-F14029"/>
    <x v="0"/>
    <n v="2"/>
    <n v="1798"/>
    <n v="0"/>
    <n v="0"/>
    <m/>
  </r>
  <r>
    <s v="2015.08.11"/>
    <x v="2"/>
    <s v="FG09-A01"/>
    <n v="23"/>
    <s v="15-F14028"/>
    <x v="0"/>
    <n v="1"/>
    <n v="1799"/>
    <n v="0"/>
    <n v="0"/>
    <m/>
  </r>
  <r>
    <s v="2015.08.11"/>
    <x v="2"/>
    <s v="FG09-A01"/>
    <n v="14"/>
    <s v="15-F12753"/>
    <x v="0"/>
    <n v="15"/>
    <n v="1785"/>
    <n v="0"/>
    <n v="0"/>
    <m/>
  </r>
  <r>
    <s v="2015.08.11"/>
    <x v="2"/>
    <s v="FG09-A01"/>
    <n v="14"/>
    <s v="15-F10492"/>
    <x v="0"/>
    <n v="1"/>
    <n v="1799"/>
    <n v="2"/>
    <n v="1"/>
    <s v="break"/>
  </r>
  <r>
    <s v="2015.08.11"/>
    <x v="2"/>
    <s v="FG09-A01"/>
    <n v="19"/>
    <s v="15-F12669"/>
    <x v="0"/>
    <n v="2"/>
    <n v="1798"/>
    <n v="0"/>
    <n v="0"/>
    <m/>
  </r>
  <r>
    <s v="2015.08.11"/>
    <x v="2"/>
    <s v="FG09-A01"/>
    <n v="13"/>
    <s v="15-F12667"/>
    <x v="0"/>
    <n v="4"/>
    <n v="1796"/>
    <n v="0"/>
    <n v="2"/>
    <s v="stickly"/>
  </r>
  <r>
    <s v="2015.08.12"/>
    <x v="2"/>
    <s v="FG09-A01"/>
    <n v="14"/>
    <s v="15-F12758"/>
    <x v="0"/>
    <n v="1"/>
    <n v="1799"/>
    <n v="2"/>
    <n v="0"/>
    <m/>
  </r>
  <r>
    <s v="2015.08.12"/>
    <x v="2"/>
    <s v="FG09-A01"/>
    <n v="14"/>
    <s v="15-F12751"/>
    <x v="0"/>
    <n v="2"/>
    <n v="1798"/>
    <n v="2"/>
    <n v="0"/>
    <m/>
  </r>
  <r>
    <s v="2015.08.12"/>
    <x v="2"/>
    <s v="FG09-A01"/>
    <n v="14"/>
    <s v="15-F12770"/>
    <x v="0"/>
    <n v="1"/>
    <n v="1799"/>
    <n v="4"/>
    <n v="1"/>
    <s v="stickly"/>
  </r>
  <r>
    <s v="2015.08.12"/>
    <x v="2"/>
    <s v="FG09-A01"/>
    <n v="12"/>
    <s v="15-F12775"/>
    <x v="0"/>
    <n v="3"/>
    <n v="1797"/>
    <n v="2"/>
    <n v="0"/>
    <m/>
  </r>
  <r>
    <s v="2015.08.12"/>
    <x v="2"/>
    <s v="FG09-A01"/>
    <n v="13"/>
    <s v="15-F12668"/>
    <x v="0"/>
    <n v="2"/>
    <n v="1798"/>
    <n v="2"/>
    <n v="2"/>
    <s v="stickly,dent"/>
  </r>
  <r>
    <s v="2015.08.12"/>
    <x v="2"/>
    <s v="FG09-A01"/>
    <n v="12"/>
    <s v="12-F12778"/>
    <x v="0"/>
    <n v="1"/>
    <n v="1799"/>
    <n v="2"/>
    <n v="1"/>
    <s v="stickly"/>
  </r>
  <r>
    <s v="2015.08.12"/>
    <x v="2"/>
    <s v="FG09-A01"/>
    <n v="25"/>
    <s v="15-F01120"/>
    <x v="0"/>
    <n v="5"/>
    <n v="1795"/>
    <n v="1"/>
    <n v="2"/>
    <s v="break,dent"/>
  </r>
  <r>
    <s v="2015.08.12"/>
    <x v="2"/>
    <s v="FG09-A01"/>
    <n v="19"/>
    <s v="15-F12763"/>
    <x v="0"/>
    <n v="1"/>
    <n v="1799"/>
    <n v="2"/>
    <n v="1"/>
    <s v="break"/>
  </r>
  <r>
    <s v="2015.08.12"/>
    <x v="2"/>
    <s v="FG09-A01"/>
    <n v="12"/>
    <s v="15-F12732"/>
    <x v="0"/>
    <n v="5"/>
    <n v="1795"/>
    <n v="0"/>
    <n v="2"/>
    <s v="stickly"/>
  </r>
</pivotCacheRecords>
</file>

<file path=xl/pivotCache/pivotCacheRecords2.xml><?xml version="1.0" encoding="utf-8"?>
<pivotCacheRecords xmlns="http://schemas.openxmlformats.org/spreadsheetml/2006/main" xmlns:r="http://schemas.openxmlformats.org/officeDocument/2006/relationships" count="38">
  <r>
    <x v="0"/>
    <s v="15-F10491"/>
    <s v="NC43-D11"/>
    <n v="14"/>
    <x v="0"/>
    <n v="0"/>
  </r>
  <r>
    <x v="0"/>
    <s v="15-F14024"/>
    <s v="NC43-D11"/>
    <n v="18"/>
    <x v="0"/>
    <n v="0"/>
  </r>
  <r>
    <x v="0"/>
    <s v="15-F12578"/>
    <s v="NC43-D11"/>
    <n v="13"/>
    <x v="0"/>
    <n v="1"/>
  </r>
  <r>
    <x v="0"/>
    <s v="15-F14033"/>
    <s v="NC43-D11"/>
    <n v="14"/>
    <x v="0"/>
    <n v="0"/>
  </r>
  <r>
    <x v="0"/>
    <s v="15-F12559"/>
    <s v="NC43-D11"/>
    <n v="13"/>
    <x v="0"/>
    <n v="0"/>
  </r>
  <r>
    <x v="0"/>
    <s v="15-F12734"/>
    <s v="NC43-D11"/>
    <n v="18"/>
    <x v="0"/>
    <n v="0"/>
  </r>
  <r>
    <x v="0"/>
    <s v="15-F14032"/>
    <s v="NC43-D11"/>
    <n v="18"/>
    <x v="0"/>
    <n v="0"/>
  </r>
  <r>
    <x v="0"/>
    <s v="15-F12558"/>
    <s v="NC43-D11"/>
    <n v="18"/>
    <x v="0"/>
    <n v="0"/>
  </r>
  <r>
    <x v="0"/>
    <s v="15-F10490"/>
    <s v="NC43-D11"/>
    <n v="19"/>
    <x v="0"/>
    <n v="0"/>
  </r>
  <r>
    <x v="0"/>
    <s v="15-F12784"/>
    <s v="NC43-D11"/>
    <n v="13"/>
    <x v="0"/>
    <n v="0"/>
  </r>
  <r>
    <x v="0"/>
    <s v="15-F13695"/>
    <s v="NC43-D11"/>
    <n v="13"/>
    <x v="0"/>
    <n v="0"/>
  </r>
  <r>
    <x v="0"/>
    <s v="15-F14276"/>
    <s v="NC43-D10(?)"/>
    <n v="12"/>
    <x v="0"/>
    <n v="0"/>
  </r>
  <r>
    <x v="0"/>
    <s v="15-F12577"/>
    <s v="NC43-D11"/>
    <n v="15"/>
    <x v="0"/>
    <n v="0"/>
  </r>
  <r>
    <x v="0"/>
    <s v="15-F12736"/>
    <s v="NC43-D11"/>
    <n v="14"/>
    <x v="0"/>
    <n v="0"/>
  </r>
  <r>
    <x v="0"/>
    <s v="15-F11024"/>
    <s v="NC43-D11"/>
    <n v="14"/>
    <x v="0"/>
    <n v="0"/>
  </r>
  <r>
    <x v="0"/>
    <s v="15-F06612"/>
    <s v="NC43-D11"/>
    <n v="13"/>
    <x v="0"/>
    <n v="0"/>
  </r>
  <r>
    <x v="0"/>
    <s v="15-F14019"/>
    <s v="NC43-D11"/>
    <n v="12"/>
    <x v="0"/>
    <n v="2"/>
  </r>
  <r>
    <x v="0"/>
    <s v="15-F14021"/>
    <s v="NC43-D11"/>
    <n v="13"/>
    <x v="0"/>
    <n v="0"/>
  </r>
  <r>
    <x v="0"/>
    <s v="15-F11053"/>
    <s v="NC43-D11"/>
    <n v="15"/>
    <x v="0"/>
    <n v="1"/>
  </r>
  <r>
    <x v="0"/>
    <s v="15-F10492"/>
    <s v="FG09-A01"/>
    <n v="14"/>
    <x v="0"/>
    <n v="1"/>
  </r>
  <r>
    <x v="0"/>
    <s v="15-F14029"/>
    <s v="FG09-A01"/>
    <n v="19"/>
    <x v="0"/>
    <n v="3"/>
  </r>
  <r>
    <x v="0"/>
    <s v="15-F14028"/>
    <s v="FG09-A01"/>
    <n v="23"/>
    <x v="0"/>
    <n v="1"/>
  </r>
  <r>
    <x v="0"/>
    <s v="15-F01120"/>
    <s v="FG09-A01"/>
    <n v="25"/>
    <x v="0"/>
    <n v="4"/>
  </r>
  <r>
    <x v="0"/>
    <s v="15-F11411"/>
    <s v="FG09-A01"/>
    <n v="15"/>
    <x v="0"/>
    <n v="1"/>
  </r>
  <r>
    <x v="0"/>
    <s v="15-F12670"/>
    <s v="FG09-A01"/>
    <n v="12"/>
    <x v="0"/>
    <n v="5"/>
  </r>
  <r>
    <x v="0"/>
    <s v="15-F11410"/>
    <s v="FG09-A01"/>
    <n v="24"/>
    <x v="0"/>
    <n v="0"/>
  </r>
  <r>
    <x v="0"/>
    <s v="15-F12667"/>
    <s v="FG09-A01"/>
    <n v="13"/>
    <x v="0"/>
    <n v="4"/>
  </r>
  <r>
    <x v="0"/>
    <s v="15-F12732"/>
    <s v="FG09-A01"/>
    <n v="12"/>
    <x v="0"/>
    <n v="5"/>
  </r>
  <r>
    <x v="0"/>
    <s v="15-F12669"/>
    <s v="FG09-A01"/>
    <n v="19"/>
    <x v="0"/>
    <n v="2"/>
  </r>
  <r>
    <x v="0"/>
    <s v="15-F12775"/>
    <s v="FG09-A01"/>
    <n v="12"/>
    <x v="0"/>
    <n v="3"/>
  </r>
  <r>
    <x v="0"/>
    <s v="15-F12778"/>
    <s v="FG09-A01"/>
    <n v="12"/>
    <x v="0"/>
    <n v="1"/>
  </r>
  <r>
    <x v="0"/>
    <s v="15-F12668"/>
    <s v="FG09-A01"/>
    <n v="13"/>
    <x v="0"/>
    <n v="2"/>
  </r>
  <r>
    <x v="0"/>
    <s v="15-F12751"/>
    <s v="FG09-A01"/>
    <n v="14"/>
    <x v="0"/>
    <n v="2"/>
  </r>
  <r>
    <x v="0"/>
    <s v="15-F12579"/>
    <s v="FG09-A01"/>
    <n v="14"/>
    <x v="0"/>
    <n v="0"/>
  </r>
  <r>
    <x v="0"/>
    <s v="15-F12758"/>
    <s v="FG09-A01"/>
    <n v="14"/>
    <x v="0"/>
    <n v="1"/>
  </r>
  <r>
    <x v="0"/>
    <s v="15-F10489"/>
    <s v="FG09-A01"/>
    <n v="15"/>
    <x v="0"/>
    <n v="0"/>
  </r>
  <r>
    <x v="0"/>
    <s v="15-F12763"/>
    <s v="FG09-A01"/>
    <n v="19"/>
    <x v="0"/>
    <n v="1"/>
  </r>
  <r>
    <x v="0"/>
    <s v="15-F12770"/>
    <s v="FG09-A01"/>
    <n v="14"/>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ﾋﾟﾎﾞｯﾄﾃｰﾌﾞﾙ1" cacheId="0" applyNumberFormats="0" applyBorderFormats="0" applyFontFormats="0" applyPatternFormats="0" applyAlignmentFormats="0" applyWidthHeightFormats="1" dataCaption="値" updatedVersion="5" minRefreshableVersion="3" useAutoFormatting="1" itemPrintTitles="1" createdVersion="5" indent="0" outline="1" outlineData="1" multipleFieldFilters="0">
  <location ref="M1:O5" firstHeaderRow="0" firstDataRow="1" firstDataCol="1"/>
  <pivotFields count="11">
    <pivotField showAll="0"/>
    <pivotField axis="axisRow" showAll="0">
      <items count="4">
        <item x="1"/>
        <item x="0"/>
        <item x="2"/>
        <item t="default"/>
      </items>
    </pivotField>
    <pivotField showAll="0"/>
    <pivotField showAll="0"/>
    <pivotField showAll="0"/>
    <pivotField dataField="1" showAll="0">
      <items count="11">
        <item x="2"/>
        <item x="5"/>
        <item x="3"/>
        <item x="4"/>
        <item x="7"/>
        <item x="9"/>
        <item x="1"/>
        <item x="8"/>
        <item x="6"/>
        <item x="0"/>
        <item t="default"/>
      </items>
    </pivotField>
    <pivotField showAll="0"/>
    <pivotField showAll="0"/>
    <pivotField dataField="1" showAll="0"/>
    <pivotField showAll="0"/>
    <pivotField showAll="0"/>
  </pivotFields>
  <rowFields count="1">
    <field x="1"/>
  </rowFields>
  <rowItems count="4">
    <i>
      <x/>
    </i>
    <i>
      <x v="1"/>
    </i>
    <i>
      <x v="2"/>
    </i>
    <i t="grand">
      <x/>
    </i>
  </rowItems>
  <colFields count="1">
    <field x="-2"/>
  </colFields>
  <colItems count="2">
    <i>
      <x/>
    </i>
    <i i="1">
      <x v="1"/>
    </i>
  </colItems>
  <dataFields count="2">
    <dataField name="合計 / Inspectin" fld="5" baseField="0" baseItem="0"/>
    <dataField name="合計 / Crack"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ﾋﾟﾎﾞｯﾄﾃｰﾌﾞﾙ2" cacheId="1" applyNumberFormats="0" applyBorderFormats="0" applyFontFormats="0" applyPatternFormats="0" applyAlignmentFormats="0" applyWidthHeightFormats="1" dataCaption="値" updatedVersion="5" minRefreshableVersion="3" useAutoFormatting="1" itemPrintTitles="1" createdVersion="5" indent="0" outline="1" outlineData="1" multipleFieldFilters="0">
  <location ref="L11:M14" firstHeaderRow="1" firstDataRow="1" firstDataCol="1"/>
  <pivotFields count="6">
    <pivotField axis="axisRow" showAll="0">
      <items count="2">
        <item x="0"/>
        <item t="default"/>
      </items>
    </pivotField>
    <pivotField showAll="0"/>
    <pivotField showAll="0"/>
    <pivotField showAll="0"/>
    <pivotField axis="axisRow" showAll="0">
      <items count="2">
        <item x="0"/>
        <item t="default"/>
      </items>
    </pivotField>
    <pivotField dataField="1" showAll="0"/>
  </pivotFields>
  <rowFields count="2">
    <field x="0"/>
    <field x="4"/>
  </rowFields>
  <rowItems count="3">
    <i>
      <x/>
    </i>
    <i r="1">
      <x/>
    </i>
    <i t="grand">
      <x/>
    </i>
  </rowItems>
  <colItems count="1">
    <i/>
  </colItems>
  <dataFields count="1">
    <dataField name="合計 / クラック"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89"/>
  <sheetViews>
    <sheetView tabSelected="1" workbookViewId="0">
      <selection sqref="A1:A2"/>
    </sheetView>
  </sheetViews>
  <sheetFormatPr defaultRowHeight="13.5"/>
  <cols>
    <col min="1" max="1" width="9.625" style="1" customWidth="1"/>
    <col min="2" max="2" width="10.125" style="1" customWidth="1"/>
    <col min="3" max="3" width="11.25" style="1" customWidth="1"/>
    <col min="4" max="4" width="9" style="1"/>
    <col min="5" max="5" width="9.75" style="1" customWidth="1"/>
    <col min="6" max="16384" width="9" style="1"/>
  </cols>
  <sheetData>
    <row r="1" spans="1:12" ht="14.25" customHeight="1">
      <c r="A1" s="85" t="s">
        <v>13</v>
      </c>
      <c r="B1" s="87" t="s">
        <v>14</v>
      </c>
      <c r="C1" s="87"/>
      <c r="J1" s="89" t="s">
        <v>215</v>
      </c>
      <c r="K1" s="89"/>
      <c r="L1" s="89"/>
    </row>
    <row r="2" spans="1:12" ht="14.25" customHeight="1">
      <c r="A2" s="86"/>
      <c r="B2" s="88"/>
      <c r="C2" s="88"/>
      <c r="D2" s="90" t="s">
        <v>15</v>
      </c>
      <c r="E2" s="90"/>
      <c r="F2" s="90"/>
      <c r="G2" s="90"/>
      <c r="H2" s="90"/>
      <c r="I2" s="90"/>
      <c r="J2" s="89"/>
      <c r="K2" s="89"/>
      <c r="L2" s="89"/>
    </row>
    <row r="3" spans="1:12" ht="14.25" customHeight="1">
      <c r="A3" s="2"/>
      <c r="B3" s="3"/>
      <c r="C3" s="4"/>
      <c r="D3" s="90"/>
      <c r="E3" s="90"/>
      <c r="F3" s="90"/>
      <c r="G3" s="90"/>
      <c r="H3" s="90"/>
      <c r="I3" s="90"/>
      <c r="J3" s="5"/>
      <c r="K3" s="5"/>
      <c r="L3" s="5"/>
    </row>
    <row r="4" spans="1:12" ht="14.25" customHeight="1">
      <c r="A4" s="3"/>
      <c r="B4" s="3"/>
      <c r="D4" s="5"/>
      <c r="E4" s="5"/>
      <c r="F4" s="5"/>
      <c r="G4" s="5"/>
      <c r="H4" s="5"/>
      <c r="I4" s="5"/>
      <c r="K4" s="5"/>
      <c r="L4" s="5"/>
    </row>
    <row r="5" spans="1:12" ht="14.25" customHeight="1">
      <c r="A5" s="91" t="s">
        <v>16</v>
      </c>
      <c r="B5" s="93" t="s">
        <v>17</v>
      </c>
      <c r="C5" s="93"/>
      <c r="D5" s="95" t="s">
        <v>18</v>
      </c>
      <c r="E5" s="87" t="s">
        <v>19</v>
      </c>
      <c r="F5" s="87"/>
      <c r="G5" s="87"/>
      <c r="H5" s="6"/>
      <c r="I5" s="97" t="s">
        <v>20</v>
      </c>
      <c r="J5" s="97" t="s">
        <v>239</v>
      </c>
      <c r="K5" s="97"/>
      <c r="L5" s="97"/>
    </row>
    <row r="6" spans="1:12" ht="14.25" customHeight="1">
      <c r="A6" s="92"/>
      <c r="B6" s="94"/>
      <c r="C6" s="94"/>
      <c r="D6" s="96"/>
      <c r="E6" s="88"/>
      <c r="F6" s="88"/>
      <c r="G6" s="88"/>
      <c r="H6" s="6"/>
      <c r="I6" s="98"/>
      <c r="J6" s="98"/>
      <c r="K6" s="98"/>
      <c r="L6" s="98"/>
    </row>
    <row r="7" spans="1:12" ht="14.25" customHeight="1">
      <c r="A7" s="7"/>
      <c r="B7" s="7"/>
      <c r="D7" s="121" t="s">
        <v>21</v>
      </c>
      <c r="E7" s="123" t="s">
        <v>30</v>
      </c>
      <c r="F7" s="123"/>
      <c r="G7" s="123"/>
      <c r="I7" s="121" t="s">
        <v>22</v>
      </c>
      <c r="J7" s="99" t="s">
        <v>23</v>
      </c>
      <c r="K7" s="99" t="s">
        <v>24</v>
      </c>
    </row>
    <row r="8" spans="1:12" ht="14.25" customHeight="1">
      <c r="A8" s="7"/>
      <c r="B8" s="7"/>
      <c r="D8" s="122"/>
      <c r="E8" s="98"/>
      <c r="F8" s="98"/>
      <c r="G8" s="98"/>
      <c r="I8" s="122"/>
      <c r="J8" s="96"/>
      <c r="K8" s="96"/>
      <c r="L8" s="8"/>
    </row>
    <row r="9" spans="1:12" ht="15" customHeight="1">
      <c r="A9" s="13"/>
      <c r="B9" s="2"/>
      <c r="C9" s="2"/>
      <c r="D9" s="2"/>
      <c r="E9" s="2"/>
      <c r="F9" s="2"/>
      <c r="G9" s="2"/>
      <c r="H9" s="2"/>
      <c r="I9" s="9"/>
      <c r="J9" s="9"/>
      <c r="K9" s="9"/>
      <c r="L9" s="2"/>
    </row>
    <row r="10" spans="1:12" ht="14.25" customHeight="1">
      <c r="A10" s="100" t="s">
        <v>25</v>
      </c>
      <c r="B10" s="103" t="s">
        <v>31</v>
      </c>
      <c r="C10" s="104"/>
      <c r="D10" s="107" t="s">
        <v>26</v>
      </c>
      <c r="E10" s="110" t="s">
        <v>32</v>
      </c>
      <c r="F10" s="111"/>
      <c r="G10" s="111"/>
      <c r="H10" s="111"/>
      <c r="I10" s="111"/>
      <c r="J10" s="111"/>
      <c r="K10" s="111"/>
      <c r="L10" s="112"/>
    </row>
    <row r="11" spans="1:12">
      <c r="A11" s="101"/>
      <c r="B11" s="101"/>
      <c r="C11" s="105"/>
      <c r="D11" s="108"/>
      <c r="E11" s="113"/>
      <c r="F11" s="114"/>
      <c r="G11" s="114"/>
      <c r="H11" s="114"/>
      <c r="I11" s="114"/>
      <c r="J11" s="114"/>
      <c r="K11" s="114"/>
      <c r="L11" s="115"/>
    </row>
    <row r="12" spans="1:12" ht="26.25" customHeight="1">
      <c r="A12" s="102"/>
      <c r="B12" s="102"/>
      <c r="C12" s="106"/>
      <c r="D12" s="109"/>
      <c r="E12" s="116"/>
      <c r="F12" s="117"/>
      <c r="G12" s="117"/>
      <c r="H12" s="117"/>
      <c r="I12" s="117"/>
      <c r="J12" s="117"/>
      <c r="K12" s="117"/>
      <c r="L12" s="118"/>
    </row>
    <row r="13" spans="1:12">
      <c r="A13" s="10" t="s">
        <v>27</v>
      </c>
      <c r="B13" s="11"/>
      <c r="C13" s="2"/>
      <c r="D13" s="2"/>
      <c r="E13" s="2"/>
      <c r="F13" s="2"/>
      <c r="G13" s="2"/>
      <c r="H13" s="2"/>
      <c r="I13" s="2"/>
      <c r="J13" s="2"/>
      <c r="K13" s="2"/>
      <c r="L13" s="12"/>
    </row>
    <row r="14" spans="1:12">
      <c r="A14" s="13"/>
      <c r="B14" s="2"/>
      <c r="C14" s="2"/>
      <c r="D14" s="2"/>
      <c r="E14" s="2"/>
      <c r="F14" s="2"/>
      <c r="G14" s="2"/>
      <c r="H14" s="2"/>
      <c r="I14" s="2"/>
      <c r="J14" s="2"/>
      <c r="K14" s="2"/>
      <c r="L14" s="12"/>
    </row>
    <row r="15" spans="1:12">
      <c r="A15" s="13" t="s">
        <v>41</v>
      </c>
      <c r="B15" s="2"/>
      <c r="C15" s="2"/>
      <c r="D15" s="2"/>
      <c r="E15" s="2"/>
      <c r="F15" s="2"/>
      <c r="G15" s="2"/>
      <c r="H15" s="2"/>
      <c r="I15" s="2"/>
      <c r="J15" s="2"/>
      <c r="K15" s="2"/>
      <c r="L15" s="12"/>
    </row>
    <row r="16" spans="1:12">
      <c r="A16" s="13" t="s">
        <v>33</v>
      </c>
      <c r="B16" s="2"/>
      <c r="C16" s="2"/>
      <c r="D16" s="2"/>
      <c r="E16" s="2"/>
      <c r="F16" s="2"/>
      <c r="G16" s="2"/>
      <c r="H16" s="2"/>
      <c r="I16" s="2"/>
      <c r="J16" s="2"/>
      <c r="K16" s="2"/>
      <c r="L16" s="12"/>
    </row>
    <row r="17" spans="1:12">
      <c r="A17" s="13"/>
      <c r="B17" s="2"/>
      <c r="C17" s="2"/>
      <c r="D17" s="2"/>
      <c r="E17" s="2"/>
      <c r="F17" s="2"/>
      <c r="G17" s="2"/>
      <c r="H17" s="2"/>
      <c r="I17" s="2"/>
      <c r="J17" s="2"/>
      <c r="K17" s="2"/>
      <c r="L17" s="12"/>
    </row>
    <row r="18" spans="1:12">
      <c r="A18" s="14"/>
      <c r="B18" s="8"/>
      <c r="C18" s="8"/>
      <c r="D18" s="8"/>
      <c r="E18" s="8"/>
      <c r="F18" s="8"/>
      <c r="G18" s="8"/>
      <c r="H18" s="8"/>
      <c r="I18" s="8"/>
      <c r="J18" s="8"/>
      <c r="K18" s="8"/>
      <c r="L18" s="15"/>
    </row>
    <row r="19" spans="1:12">
      <c r="A19" s="16" t="s">
        <v>28</v>
      </c>
      <c r="B19" s="11"/>
      <c r="C19" s="2"/>
      <c r="D19" s="2"/>
      <c r="E19" s="2"/>
      <c r="F19" s="2"/>
      <c r="G19" s="2"/>
      <c r="H19" s="2"/>
      <c r="I19" s="2"/>
      <c r="J19" s="2"/>
      <c r="K19" s="2"/>
      <c r="L19" s="12"/>
    </row>
    <row r="20" spans="1:12">
      <c r="A20" s="17"/>
      <c r="B20" s="18"/>
      <c r="C20" s="18"/>
      <c r="D20" s="18"/>
      <c r="E20" s="18"/>
      <c r="F20" s="18"/>
      <c r="G20" s="19"/>
      <c r="H20" s="19"/>
      <c r="I20" s="2"/>
      <c r="J20" s="2"/>
      <c r="K20" s="2"/>
      <c r="L20" s="12"/>
    </row>
    <row r="21" spans="1:12">
      <c r="A21" s="13" t="s">
        <v>199</v>
      </c>
      <c r="B21" s="2"/>
      <c r="C21" s="2" t="s">
        <v>200</v>
      </c>
      <c r="D21" s="2"/>
      <c r="E21" s="2"/>
      <c r="F21" s="2" t="s">
        <v>198</v>
      </c>
      <c r="G21" s="21"/>
      <c r="H21" s="19" t="s">
        <v>202</v>
      </c>
      <c r="I21" s="2"/>
      <c r="J21" s="2" t="s">
        <v>200</v>
      </c>
      <c r="K21" s="2"/>
      <c r="L21" s="12"/>
    </row>
    <row r="22" spans="1:12">
      <c r="A22" s="13" t="s">
        <v>192</v>
      </c>
      <c r="B22" s="2"/>
      <c r="C22" s="40" t="s">
        <v>194</v>
      </c>
      <c r="D22" s="40" t="s">
        <v>196</v>
      </c>
      <c r="E22" s="2"/>
      <c r="F22" s="2" t="s">
        <v>201</v>
      </c>
      <c r="G22" s="2"/>
      <c r="H22" s="2" t="s">
        <v>193</v>
      </c>
      <c r="I22" s="19"/>
      <c r="J22" s="40" t="s">
        <v>195</v>
      </c>
      <c r="K22" s="40" t="s">
        <v>197</v>
      </c>
      <c r="L22" s="12"/>
    </row>
    <row r="23" spans="1:12">
      <c r="A23" s="24" t="s">
        <v>206</v>
      </c>
      <c r="B23" s="2"/>
      <c r="C23" s="2"/>
      <c r="D23" s="2"/>
      <c r="E23" s="2"/>
      <c r="F23" s="22"/>
      <c r="G23" s="22"/>
      <c r="H23" s="22"/>
      <c r="I23" s="55"/>
      <c r="J23" s="2"/>
      <c r="K23" s="2"/>
      <c r="L23" s="12"/>
    </row>
    <row r="24" spans="1:12">
      <c r="A24" s="24" t="s">
        <v>203</v>
      </c>
      <c r="B24" s="2"/>
      <c r="C24" s="2"/>
      <c r="D24" s="2"/>
      <c r="E24" s="2"/>
      <c r="F24" s="22"/>
      <c r="G24" s="22"/>
      <c r="H24" s="22"/>
      <c r="I24" s="55"/>
      <c r="J24" s="2"/>
      <c r="K24" s="2"/>
      <c r="L24" s="12"/>
    </row>
    <row r="25" spans="1:12">
      <c r="A25" s="24" t="s">
        <v>207</v>
      </c>
      <c r="B25" s="2"/>
      <c r="C25" s="2"/>
      <c r="D25" s="2"/>
      <c r="E25" s="2"/>
      <c r="F25" s="22"/>
      <c r="G25" s="22"/>
      <c r="H25" s="22"/>
      <c r="I25" s="55"/>
      <c r="J25" s="2"/>
      <c r="K25" s="2"/>
      <c r="L25" s="12"/>
    </row>
    <row r="26" spans="1:12">
      <c r="A26" s="24" t="s">
        <v>208</v>
      </c>
      <c r="B26" s="2"/>
      <c r="C26" s="2"/>
      <c r="D26" s="2"/>
      <c r="E26" s="2"/>
      <c r="F26" s="22"/>
      <c r="G26" s="22"/>
      <c r="H26" s="22"/>
      <c r="I26" s="55"/>
      <c r="J26" s="2"/>
      <c r="K26" s="2"/>
      <c r="L26" s="12"/>
    </row>
    <row r="27" spans="1:12">
      <c r="A27" s="24" t="s">
        <v>209</v>
      </c>
      <c r="B27" s="2"/>
      <c r="C27" s="2"/>
      <c r="D27" s="2"/>
      <c r="E27" s="2"/>
      <c r="F27" s="22"/>
      <c r="G27" s="22"/>
      <c r="H27" s="22"/>
      <c r="I27" s="55"/>
      <c r="J27" s="2"/>
      <c r="K27" s="2"/>
      <c r="L27" s="12"/>
    </row>
    <row r="28" spans="1:12">
      <c r="A28" s="24" t="s">
        <v>240</v>
      </c>
      <c r="B28" s="2"/>
      <c r="C28" s="2"/>
      <c r="D28" s="2"/>
      <c r="E28" s="2"/>
      <c r="F28" s="22"/>
      <c r="G28" s="22"/>
      <c r="H28" s="22"/>
      <c r="I28" s="55"/>
      <c r="J28" s="2"/>
      <c r="K28" s="2"/>
      <c r="L28" s="12"/>
    </row>
    <row r="29" spans="1:12">
      <c r="A29" s="13" t="s">
        <v>188</v>
      </c>
      <c r="B29" s="2"/>
      <c r="C29" s="23"/>
      <c r="D29" s="73"/>
      <c r="E29" s="2"/>
      <c r="F29" s="22"/>
      <c r="G29" s="22"/>
      <c r="H29" s="22"/>
      <c r="I29" s="55"/>
      <c r="J29" s="2"/>
      <c r="K29" s="2"/>
      <c r="L29" s="12"/>
    </row>
    <row r="30" spans="1:12">
      <c r="A30" s="20" t="s">
        <v>5</v>
      </c>
      <c r="B30" s="20" t="s">
        <v>40</v>
      </c>
      <c r="C30" s="75" t="s">
        <v>189</v>
      </c>
      <c r="D30" s="20" t="s">
        <v>190</v>
      </c>
      <c r="E30" s="2"/>
      <c r="F30" s="22"/>
      <c r="G30" s="22"/>
      <c r="H30" s="22"/>
      <c r="I30" s="55"/>
      <c r="J30" s="2"/>
      <c r="K30" s="2"/>
      <c r="L30" s="12"/>
    </row>
    <row r="31" spans="1:12">
      <c r="A31" s="20" t="s">
        <v>8</v>
      </c>
      <c r="B31" s="20">
        <v>29200</v>
      </c>
      <c r="C31" s="76">
        <v>17</v>
      </c>
      <c r="D31" s="77">
        <f>+C31/B31</f>
        <v>5.8219178082191778E-4</v>
      </c>
      <c r="E31" s="2"/>
      <c r="F31" s="22"/>
      <c r="G31" s="22"/>
      <c r="H31" s="22"/>
      <c r="I31" s="55"/>
      <c r="J31" s="2"/>
      <c r="K31" s="2"/>
      <c r="L31" s="12"/>
    </row>
    <row r="32" spans="1:12">
      <c r="A32" s="78" t="s">
        <v>182</v>
      </c>
      <c r="B32" s="40">
        <v>5400</v>
      </c>
      <c r="C32" s="79">
        <v>0</v>
      </c>
      <c r="D32" s="77">
        <f t="shared" ref="D32:D34" si="0">+C32/B32</f>
        <v>0</v>
      </c>
      <c r="E32" s="74"/>
      <c r="F32" s="22"/>
      <c r="G32" s="19"/>
      <c r="H32" s="22"/>
      <c r="I32" s="55"/>
      <c r="J32" s="2"/>
      <c r="K32" s="2"/>
      <c r="L32" s="12"/>
    </row>
    <row r="33" spans="1:14">
      <c r="A33" s="41" t="s">
        <v>184</v>
      </c>
      <c r="B33" s="40">
        <v>45000</v>
      </c>
      <c r="C33" s="80">
        <v>23</v>
      </c>
      <c r="D33" s="77">
        <f t="shared" si="0"/>
        <v>5.1111111111111116E-4</v>
      </c>
      <c r="E33" s="2"/>
      <c r="F33" s="22"/>
      <c r="G33" s="22"/>
      <c r="H33" s="19"/>
      <c r="I33" s="55"/>
      <c r="J33" s="2"/>
      <c r="K33" s="2"/>
      <c r="L33" s="12"/>
    </row>
    <row r="34" spans="1:14">
      <c r="A34" s="40" t="s">
        <v>191</v>
      </c>
      <c r="B34" s="40">
        <f>SUM(B31:B33)</f>
        <v>79600</v>
      </c>
      <c r="C34" s="40">
        <f>SUM(C31:C33)</f>
        <v>40</v>
      </c>
      <c r="D34" s="77">
        <f t="shared" si="0"/>
        <v>5.025125628140704E-4</v>
      </c>
      <c r="E34" s="2"/>
      <c r="F34" s="2"/>
      <c r="G34" s="2"/>
      <c r="H34" s="2"/>
      <c r="I34" s="55"/>
      <c r="J34" s="2"/>
      <c r="K34" s="2"/>
      <c r="L34" s="12"/>
    </row>
    <row r="35" spans="1:14">
      <c r="A35" s="24" t="s">
        <v>210</v>
      </c>
      <c r="B35" s="2"/>
      <c r="C35" s="2"/>
      <c r="D35" s="2"/>
      <c r="E35" s="2"/>
      <c r="F35" s="22"/>
      <c r="G35" s="22"/>
      <c r="H35" s="22"/>
      <c r="I35" s="55"/>
      <c r="J35" s="2"/>
      <c r="K35" s="2"/>
      <c r="L35" s="12"/>
    </row>
    <row r="36" spans="1:14">
      <c r="A36" s="24" t="s">
        <v>204</v>
      </c>
      <c r="B36" s="2"/>
      <c r="C36" s="56"/>
      <c r="D36" s="2"/>
      <c r="E36" s="2"/>
      <c r="F36" s="22"/>
      <c r="G36" s="22"/>
      <c r="H36" s="22"/>
      <c r="I36" s="55"/>
      <c r="J36" s="2"/>
      <c r="K36" s="2"/>
      <c r="L36" s="12"/>
    </row>
    <row r="37" spans="1:14">
      <c r="A37" s="24" t="s">
        <v>211</v>
      </c>
      <c r="B37" s="2"/>
      <c r="C37" s="56"/>
      <c r="D37" s="2"/>
      <c r="E37" s="2"/>
      <c r="F37" s="22"/>
      <c r="G37" s="22"/>
      <c r="H37" s="22"/>
      <c r="I37" s="55"/>
      <c r="J37" s="2"/>
      <c r="K37" s="2"/>
      <c r="L37" s="12"/>
    </row>
    <row r="38" spans="1:14">
      <c r="A38" s="24" t="s">
        <v>205</v>
      </c>
      <c r="B38" s="2"/>
      <c r="C38" s="55"/>
      <c r="D38" s="2"/>
      <c r="E38" s="22"/>
      <c r="F38" s="22"/>
      <c r="G38" s="22"/>
      <c r="H38" s="22"/>
      <c r="I38" s="55"/>
      <c r="J38" s="2"/>
      <c r="K38" s="2"/>
      <c r="L38" s="12"/>
    </row>
    <row r="39" spans="1:14">
      <c r="A39" s="24" t="s">
        <v>231</v>
      </c>
      <c r="B39" s="2"/>
      <c r="C39" s="2"/>
      <c r="D39" s="2"/>
      <c r="E39" s="2"/>
      <c r="F39" s="2"/>
      <c r="G39" s="2"/>
      <c r="H39" s="2"/>
      <c r="I39" s="2"/>
      <c r="J39" s="2"/>
      <c r="K39" s="2"/>
      <c r="L39" s="12"/>
    </row>
    <row r="40" spans="1:14">
      <c r="A40" s="81"/>
      <c r="B40" s="2" t="s">
        <v>232</v>
      </c>
      <c r="C40" s="2"/>
      <c r="D40" s="2"/>
      <c r="E40" s="2"/>
      <c r="F40" s="2"/>
      <c r="G40" s="2"/>
      <c r="H40" s="2"/>
      <c r="I40" s="2"/>
      <c r="J40" s="2"/>
      <c r="K40" s="2"/>
      <c r="L40" s="12"/>
    </row>
    <row r="41" spans="1:14">
      <c r="A41" s="24" t="s">
        <v>233</v>
      </c>
      <c r="B41" s="2"/>
      <c r="C41" s="19"/>
      <c r="D41" s="19"/>
      <c r="E41" s="19"/>
      <c r="F41" s="19"/>
      <c r="G41" s="19"/>
      <c r="H41" s="22"/>
      <c r="I41" s="19"/>
      <c r="J41" s="19"/>
      <c r="K41" s="22"/>
      <c r="L41" s="12"/>
    </row>
    <row r="42" spans="1:14">
      <c r="A42" s="28"/>
      <c r="B42" s="29" t="s">
        <v>234</v>
      </c>
      <c r="C42" s="19"/>
      <c r="D42" s="19"/>
      <c r="E42" s="19"/>
      <c r="F42" s="19"/>
      <c r="G42" s="19"/>
      <c r="H42" s="22"/>
      <c r="I42" s="19"/>
      <c r="J42" s="19"/>
      <c r="K42" s="22"/>
      <c r="L42" s="12"/>
    </row>
    <row r="43" spans="1:14">
      <c r="A43" s="28" t="s">
        <v>236</v>
      </c>
      <c r="B43" s="29"/>
      <c r="C43" s="19"/>
      <c r="D43" s="19"/>
      <c r="E43" s="19"/>
      <c r="F43" s="19"/>
      <c r="G43" s="19"/>
      <c r="H43" s="22"/>
      <c r="I43" s="19"/>
      <c r="J43" s="19"/>
      <c r="K43" s="22"/>
      <c r="L43" s="12"/>
    </row>
    <row r="44" spans="1:14">
      <c r="A44" s="28"/>
      <c r="B44" s="29" t="s">
        <v>235</v>
      </c>
      <c r="C44" s="19"/>
      <c r="D44" s="19"/>
      <c r="E44" s="19"/>
      <c r="F44" s="19"/>
      <c r="G44" s="19"/>
      <c r="H44" s="22"/>
      <c r="I44" s="19"/>
      <c r="J44" s="19"/>
      <c r="K44" s="22"/>
      <c r="L44" s="12"/>
    </row>
    <row r="45" spans="1:14">
      <c r="A45" s="82" t="s">
        <v>213</v>
      </c>
      <c r="B45" s="2"/>
      <c r="C45" s="2"/>
      <c r="D45" s="2"/>
      <c r="E45" s="2"/>
      <c r="F45" s="2"/>
      <c r="G45" s="2"/>
      <c r="H45" s="2"/>
      <c r="I45" s="2"/>
      <c r="J45" s="2"/>
      <c r="K45" s="2"/>
      <c r="L45" s="12"/>
    </row>
    <row r="46" spans="1:14">
      <c r="A46" s="82" t="s">
        <v>212</v>
      </c>
      <c r="B46" s="2"/>
      <c r="C46" s="2"/>
      <c r="D46" s="2"/>
      <c r="E46" s="2"/>
      <c r="F46" s="2"/>
      <c r="G46" s="2"/>
      <c r="H46" s="2"/>
      <c r="I46" s="2"/>
      <c r="J46" s="2"/>
      <c r="K46" s="2"/>
      <c r="L46" s="12"/>
    </row>
    <row r="47" spans="1:14">
      <c r="A47" s="24" t="s">
        <v>129</v>
      </c>
      <c r="B47" s="2"/>
      <c r="C47" s="2"/>
      <c r="D47" s="2"/>
      <c r="E47" s="19"/>
      <c r="F47" s="2"/>
      <c r="G47" s="6"/>
      <c r="H47" s="2"/>
      <c r="I47" s="19"/>
      <c r="J47" s="2"/>
      <c r="K47" s="19"/>
      <c r="L47" s="12"/>
      <c r="N47" s="25"/>
    </row>
    <row r="48" spans="1:14">
      <c r="A48" s="84" t="s">
        <v>112</v>
      </c>
      <c r="B48" s="2"/>
      <c r="C48" s="2"/>
      <c r="D48" s="19"/>
      <c r="E48" s="26"/>
      <c r="F48" s="2"/>
      <c r="G48" s="21"/>
      <c r="H48" s="2"/>
      <c r="I48" s="21"/>
      <c r="J48" s="27"/>
      <c r="K48" s="19"/>
      <c r="L48" s="12"/>
    </row>
    <row r="49" spans="1:12">
      <c r="A49" s="40"/>
      <c r="B49" s="53" t="s">
        <v>113</v>
      </c>
      <c r="C49" s="53" t="s">
        <v>114</v>
      </c>
      <c r="D49" s="2"/>
      <c r="E49" s="2"/>
      <c r="F49" s="2"/>
      <c r="G49" s="21"/>
      <c r="H49" s="2"/>
      <c r="I49" s="2"/>
      <c r="J49" s="27"/>
      <c r="K49" s="2"/>
      <c r="L49" s="12"/>
    </row>
    <row r="50" spans="1:12">
      <c r="A50" s="40" t="s">
        <v>111</v>
      </c>
      <c r="B50" s="40">
        <v>19</v>
      </c>
      <c r="C50" s="50">
        <v>12</v>
      </c>
      <c r="D50" s="2"/>
      <c r="E50" s="29"/>
      <c r="F50" s="29"/>
      <c r="G50" s="29"/>
      <c r="H50" s="29"/>
      <c r="I50" s="29"/>
      <c r="J50" s="29"/>
      <c r="K50" s="29"/>
      <c r="L50" s="30"/>
    </row>
    <row r="51" spans="1:12">
      <c r="A51" s="50" t="s">
        <v>115</v>
      </c>
      <c r="B51" s="51">
        <v>5700</v>
      </c>
      <c r="C51" s="51">
        <v>3600</v>
      </c>
      <c r="D51" s="2"/>
      <c r="E51" s="35"/>
      <c r="F51" s="36"/>
      <c r="G51" s="35"/>
      <c r="H51" s="37"/>
      <c r="I51" s="37"/>
      <c r="J51" s="37"/>
      <c r="K51" s="37"/>
      <c r="L51" s="38"/>
    </row>
    <row r="52" spans="1:12">
      <c r="A52" s="50" t="s">
        <v>116</v>
      </c>
      <c r="B52" s="51">
        <v>3</v>
      </c>
      <c r="C52" s="51">
        <v>30</v>
      </c>
      <c r="D52" s="2"/>
      <c r="E52" s="35"/>
      <c r="F52" s="36"/>
      <c r="G52" s="35"/>
      <c r="H52" s="37"/>
      <c r="I52" s="37"/>
      <c r="J52" s="37"/>
      <c r="K52" s="37"/>
      <c r="L52" s="38"/>
    </row>
    <row r="53" spans="1:12">
      <c r="A53" s="50" t="s">
        <v>117</v>
      </c>
      <c r="B53" s="52">
        <f>+B52/B51</f>
        <v>5.263157894736842E-4</v>
      </c>
      <c r="C53" s="52">
        <f>+C52/C51</f>
        <v>8.3333333333333332E-3</v>
      </c>
      <c r="D53" s="2"/>
      <c r="E53" s="35"/>
      <c r="F53" s="36"/>
      <c r="G53" s="35"/>
      <c r="H53" s="37"/>
      <c r="I53" s="37"/>
      <c r="J53" s="37"/>
      <c r="K53" s="37"/>
      <c r="L53" s="38"/>
    </row>
    <row r="54" spans="1:12">
      <c r="A54" s="24" t="s">
        <v>122</v>
      </c>
      <c r="B54" s="54"/>
      <c r="C54" s="54"/>
      <c r="D54" s="2"/>
      <c r="E54" s="35"/>
      <c r="F54" s="36"/>
      <c r="G54" s="35"/>
      <c r="H54" s="37"/>
      <c r="I54" s="37"/>
      <c r="J54" s="37"/>
      <c r="K54" s="37"/>
      <c r="L54" s="38"/>
    </row>
    <row r="55" spans="1:12">
      <c r="A55" s="24" t="s">
        <v>118</v>
      </c>
      <c r="B55" s="2"/>
      <c r="C55" s="2"/>
      <c r="D55" s="2"/>
      <c r="E55" s="2"/>
      <c r="F55" s="2"/>
      <c r="G55" s="2"/>
      <c r="H55" s="2"/>
      <c r="I55" s="2"/>
      <c r="J55" s="27"/>
      <c r="K55" s="2"/>
      <c r="L55" s="12"/>
    </row>
    <row r="56" spans="1:12">
      <c r="A56" s="24" t="s">
        <v>123</v>
      </c>
      <c r="B56" s="2"/>
      <c r="C56" s="2"/>
      <c r="D56" s="2"/>
      <c r="E56" s="2"/>
      <c r="F56" s="2"/>
      <c r="G56" s="2"/>
      <c r="H56" s="2"/>
      <c r="I56" s="2"/>
      <c r="J56" s="27"/>
      <c r="K56" s="2"/>
      <c r="L56" s="12"/>
    </row>
    <row r="57" spans="1:12">
      <c r="A57" s="24" t="s">
        <v>119</v>
      </c>
      <c r="B57" s="2"/>
      <c r="C57" s="2"/>
      <c r="D57" s="2"/>
      <c r="E57" s="2"/>
      <c r="F57" s="2"/>
      <c r="G57" s="2"/>
      <c r="H57" s="2"/>
      <c r="I57" s="2"/>
      <c r="J57" s="27"/>
      <c r="K57" s="2"/>
      <c r="L57" s="12"/>
    </row>
    <row r="58" spans="1:12">
      <c r="A58" s="24" t="s">
        <v>134</v>
      </c>
      <c r="B58" s="2"/>
      <c r="C58" s="2"/>
      <c r="D58" s="2"/>
      <c r="E58" s="2"/>
      <c r="F58" s="2"/>
      <c r="G58" s="2"/>
      <c r="H58" s="2"/>
      <c r="I58" s="2"/>
      <c r="J58" s="27"/>
      <c r="K58" s="2"/>
      <c r="L58" s="12"/>
    </row>
    <row r="59" spans="1:12">
      <c r="A59" s="24" t="s">
        <v>133</v>
      </c>
      <c r="B59" s="2"/>
      <c r="C59" s="2"/>
      <c r="D59" s="2"/>
      <c r="E59" s="2"/>
      <c r="F59" s="2"/>
      <c r="G59" s="2"/>
      <c r="H59" s="2"/>
      <c r="I59" s="2"/>
      <c r="J59" s="27"/>
      <c r="K59" s="2"/>
      <c r="L59" s="12"/>
    </row>
    <row r="60" spans="1:12">
      <c r="A60" s="24" t="s">
        <v>130</v>
      </c>
      <c r="B60" s="2"/>
      <c r="C60" s="2"/>
      <c r="D60" s="2"/>
      <c r="E60" s="2"/>
      <c r="F60" s="2"/>
      <c r="G60" s="2"/>
      <c r="H60" s="2"/>
      <c r="I60" s="2"/>
      <c r="J60" s="27"/>
      <c r="K60" s="2"/>
      <c r="L60" s="12"/>
    </row>
    <row r="61" spans="1:12">
      <c r="A61" s="24" t="s">
        <v>120</v>
      </c>
      <c r="B61" s="2"/>
      <c r="C61" s="2"/>
      <c r="D61" s="2"/>
      <c r="E61" s="2"/>
      <c r="F61" s="2"/>
      <c r="G61" s="2"/>
      <c r="H61" s="2"/>
      <c r="I61" s="2"/>
      <c r="J61" s="27"/>
      <c r="K61" s="2"/>
      <c r="L61" s="12"/>
    </row>
    <row r="62" spans="1:12">
      <c r="A62" s="24" t="s">
        <v>131</v>
      </c>
      <c r="B62" s="2"/>
      <c r="C62" s="2"/>
      <c r="D62" s="2"/>
      <c r="E62" s="2"/>
      <c r="F62" s="2"/>
      <c r="G62" s="2"/>
      <c r="H62" s="2"/>
      <c r="I62" s="2"/>
      <c r="J62" s="27"/>
      <c r="K62" s="2"/>
      <c r="L62" s="12"/>
    </row>
    <row r="63" spans="1:12">
      <c r="A63" s="24" t="s">
        <v>121</v>
      </c>
      <c r="B63" s="2"/>
      <c r="C63" s="2"/>
      <c r="D63" s="2"/>
      <c r="E63" s="2"/>
      <c r="F63" s="2"/>
      <c r="G63" s="2"/>
      <c r="H63" s="2"/>
      <c r="I63" s="2"/>
      <c r="J63" s="27"/>
      <c r="K63" s="2"/>
      <c r="L63" s="12"/>
    </row>
    <row r="64" spans="1:12">
      <c r="A64" s="24"/>
      <c r="B64" s="2"/>
      <c r="C64" s="2"/>
      <c r="D64" s="2"/>
      <c r="E64" s="2"/>
      <c r="F64" s="2"/>
      <c r="G64" s="2"/>
      <c r="H64" s="2"/>
      <c r="I64" s="2"/>
      <c r="J64" s="27"/>
      <c r="K64" s="2"/>
      <c r="L64" s="12"/>
    </row>
    <row r="65" spans="1:12">
      <c r="A65" s="13" t="s">
        <v>241</v>
      </c>
      <c r="B65" s="2"/>
      <c r="C65" s="2"/>
      <c r="D65" s="2"/>
      <c r="E65" s="2"/>
      <c r="F65" s="2"/>
      <c r="G65" s="2"/>
      <c r="H65" s="2"/>
      <c r="I65" s="2"/>
      <c r="J65" s="27"/>
      <c r="K65" s="2"/>
      <c r="L65" s="12"/>
    </row>
    <row r="66" spans="1:12">
      <c r="A66" s="13" t="s">
        <v>216</v>
      </c>
      <c r="B66" s="2"/>
      <c r="C66" s="2"/>
      <c r="D66" s="2"/>
      <c r="E66" s="2"/>
      <c r="F66" s="2"/>
      <c r="G66" s="2"/>
      <c r="H66" s="2"/>
      <c r="I66" s="2"/>
      <c r="J66" s="27"/>
      <c r="K66" s="2"/>
      <c r="L66" s="12"/>
    </row>
    <row r="67" spans="1:12">
      <c r="A67" s="40"/>
      <c r="B67" s="40" t="s">
        <v>221</v>
      </c>
      <c r="C67" s="40" t="s">
        <v>219</v>
      </c>
      <c r="D67" s="40" t="s">
        <v>220</v>
      </c>
      <c r="E67" s="40" t="s">
        <v>223</v>
      </c>
      <c r="F67" s="2"/>
      <c r="G67" s="2"/>
      <c r="H67" s="2"/>
      <c r="I67" s="2"/>
      <c r="J67" s="27"/>
      <c r="K67" s="2"/>
      <c r="L67" s="12"/>
    </row>
    <row r="68" spans="1:12">
      <c r="A68" s="40" t="s">
        <v>218</v>
      </c>
      <c r="B68" s="40" t="s">
        <v>222</v>
      </c>
      <c r="C68" s="40">
        <v>11700</v>
      </c>
      <c r="D68" s="40">
        <v>41</v>
      </c>
      <c r="E68" s="83">
        <f>+D68/C68</f>
        <v>3.5042735042735045E-3</v>
      </c>
      <c r="F68" s="2"/>
      <c r="G68" s="2"/>
      <c r="H68" s="2"/>
      <c r="I68" s="2"/>
      <c r="J68" s="27"/>
      <c r="K68" s="2"/>
      <c r="L68" s="12"/>
    </row>
    <row r="69" spans="1:12">
      <c r="A69" s="40" t="s">
        <v>217</v>
      </c>
      <c r="B69" s="40" t="s">
        <v>222</v>
      </c>
      <c r="C69" s="40">
        <v>45000</v>
      </c>
      <c r="D69" s="40">
        <v>23</v>
      </c>
      <c r="E69" s="83">
        <f>+D69/C69</f>
        <v>5.1111111111111116E-4</v>
      </c>
      <c r="F69" s="2"/>
      <c r="G69" s="2"/>
      <c r="H69" s="2"/>
      <c r="I69" s="2"/>
      <c r="J69" s="27"/>
      <c r="K69" s="2"/>
      <c r="L69" s="12"/>
    </row>
    <row r="70" spans="1:12">
      <c r="A70" s="13" t="s">
        <v>242</v>
      </c>
      <c r="B70" s="2"/>
      <c r="C70" s="2"/>
      <c r="D70" s="2"/>
      <c r="E70" s="27"/>
      <c r="F70" s="2"/>
      <c r="G70" s="2"/>
      <c r="H70" s="2"/>
      <c r="I70" s="2"/>
      <c r="J70" s="27"/>
      <c r="K70" s="2"/>
      <c r="L70" s="12"/>
    </row>
    <row r="71" spans="1:12">
      <c r="A71" s="13" t="s">
        <v>224</v>
      </c>
      <c r="B71" s="2"/>
      <c r="C71" s="2"/>
      <c r="D71" s="2"/>
      <c r="E71" s="27"/>
      <c r="F71" s="2"/>
      <c r="G71" s="2"/>
      <c r="H71" s="2"/>
      <c r="I71" s="2"/>
      <c r="J71" s="27"/>
      <c r="K71" s="2"/>
      <c r="L71" s="12"/>
    </row>
    <row r="72" spans="1:12">
      <c r="A72" s="24" t="s">
        <v>127</v>
      </c>
      <c r="B72" s="2"/>
      <c r="C72" s="2"/>
      <c r="D72" s="2"/>
      <c r="E72" s="2"/>
      <c r="F72" s="2"/>
      <c r="G72" s="2"/>
      <c r="H72" s="2"/>
      <c r="I72" s="2"/>
      <c r="J72" s="27"/>
      <c r="K72" s="2"/>
      <c r="L72" s="12"/>
    </row>
    <row r="73" spans="1:12">
      <c r="A73" s="24" t="s">
        <v>124</v>
      </c>
      <c r="B73" s="2"/>
      <c r="C73" s="2"/>
      <c r="D73" s="2"/>
      <c r="E73" s="2"/>
      <c r="F73" s="2"/>
      <c r="G73" s="2"/>
      <c r="H73" s="2"/>
      <c r="I73" s="2"/>
      <c r="J73" s="27"/>
      <c r="K73" s="2"/>
      <c r="L73" s="12"/>
    </row>
    <row r="74" spans="1:12">
      <c r="A74" s="24" t="s">
        <v>132</v>
      </c>
      <c r="B74" s="2"/>
      <c r="C74" s="2"/>
      <c r="D74" s="2"/>
      <c r="E74" s="2"/>
      <c r="F74" s="2"/>
      <c r="G74" s="2"/>
      <c r="H74" s="2"/>
      <c r="I74" s="2"/>
      <c r="J74" s="27"/>
      <c r="K74" s="2"/>
      <c r="L74" s="12"/>
    </row>
    <row r="75" spans="1:12">
      <c r="A75" s="24" t="s">
        <v>125</v>
      </c>
      <c r="B75" s="2"/>
      <c r="C75" s="2"/>
      <c r="D75" s="2"/>
      <c r="E75" s="2"/>
      <c r="F75" s="2"/>
      <c r="G75" s="2"/>
      <c r="H75" s="2"/>
      <c r="I75" s="2"/>
      <c r="J75" s="27"/>
      <c r="K75" s="2"/>
      <c r="L75" s="12"/>
    </row>
    <row r="76" spans="1:12">
      <c r="A76" s="24" t="s">
        <v>128</v>
      </c>
      <c r="B76" s="2"/>
      <c r="C76" s="2"/>
      <c r="D76" s="2"/>
      <c r="E76" s="2"/>
      <c r="F76" s="2"/>
      <c r="G76" s="2"/>
      <c r="H76" s="2"/>
      <c r="I76" s="2"/>
      <c r="J76" s="27"/>
      <c r="K76" s="2"/>
      <c r="L76" s="12"/>
    </row>
    <row r="77" spans="1:12">
      <c r="A77" s="24" t="s">
        <v>126</v>
      </c>
      <c r="B77" s="2"/>
      <c r="C77" s="2"/>
      <c r="D77" s="2"/>
      <c r="E77" s="2"/>
      <c r="F77" s="2"/>
      <c r="G77" s="2"/>
      <c r="H77" s="2"/>
      <c r="I77" s="2"/>
      <c r="J77" s="27"/>
      <c r="K77" s="2"/>
      <c r="L77" s="12"/>
    </row>
    <row r="78" spans="1:12">
      <c r="A78" s="13" t="s">
        <v>230</v>
      </c>
      <c r="B78" s="2"/>
      <c r="C78" s="2"/>
      <c r="D78" s="2"/>
      <c r="E78" s="2"/>
      <c r="F78" s="2"/>
      <c r="G78" s="2"/>
      <c r="H78" s="2"/>
      <c r="I78" s="2"/>
      <c r="J78" s="27"/>
      <c r="K78" s="2"/>
      <c r="L78" s="12"/>
    </row>
    <row r="79" spans="1:12">
      <c r="A79" s="13" t="s">
        <v>225</v>
      </c>
      <c r="B79" s="2"/>
      <c r="C79" s="2"/>
      <c r="D79" s="2"/>
      <c r="E79" s="2"/>
      <c r="F79" s="2"/>
      <c r="G79" s="2"/>
      <c r="H79" s="2"/>
      <c r="I79" s="2"/>
      <c r="J79" s="27"/>
      <c r="K79" s="2"/>
      <c r="L79" s="12"/>
    </row>
    <row r="80" spans="1:12">
      <c r="A80" s="24" t="s">
        <v>226</v>
      </c>
      <c r="B80" s="2"/>
      <c r="C80" s="2"/>
      <c r="D80" s="2"/>
      <c r="E80" s="2"/>
      <c r="F80" s="2"/>
      <c r="G80" s="2"/>
      <c r="H80" s="2"/>
      <c r="I80" s="2"/>
      <c r="J80" s="27"/>
      <c r="K80" s="2"/>
      <c r="L80" s="12"/>
    </row>
    <row r="81" spans="1:12">
      <c r="A81" s="24" t="s">
        <v>227</v>
      </c>
      <c r="B81" s="2"/>
      <c r="C81" s="2"/>
      <c r="D81" s="2"/>
      <c r="E81" s="2"/>
      <c r="F81" s="2"/>
      <c r="G81" s="2"/>
      <c r="H81" s="2"/>
      <c r="I81" s="2"/>
      <c r="J81" s="27"/>
      <c r="K81" s="2"/>
      <c r="L81" s="12"/>
    </row>
    <row r="82" spans="1:12">
      <c r="A82" s="24" t="s">
        <v>228</v>
      </c>
      <c r="B82" s="2"/>
      <c r="C82" s="2"/>
      <c r="D82" s="2"/>
      <c r="E82" s="2"/>
      <c r="F82" s="2"/>
      <c r="G82" s="2"/>
      <c r="H82" s="2"/>
      <c r="I82" s="2"/>
      <c r="J82" s="27"/>
      <c r="K82" s="2"/>
      <c r="L82" s="12"/>
    </row>
    <row r="83" spans="1:12">
      <c r="A83" s="24" t="s">
        <v>229</v>
      </c>
      <c r="B83" s="2"/>
      <c r="C83" s="2"/>
      <c r="D83" s="19"/>
      <c r="E83" s="26"/>
      <c r="F83" s="2"/>
      <c r="G83" s="2"/>
      <c r="H83" s="2"/>
      <c r="I83" s="2"/>
      <c r="J83" s="27"/>
      <c r="K83" s="2"/>
      <c r="L83" s="12"/>
    </row>
    <row r="84" spans="1:12">
      <c r="A84" s="31"/>
      <c r="B84" s="32"/>
      <c r="C84" s="33"/>
      <c r="D84" s="34"/>
      <c r="E84" s="34"/>
      <c r="F84" s="34"/>
      <c r="G84" s="34"/>
      <c r="H84" s="32"/>
      <c r="I84" s="8"/>
      <c r="J84" s="8"/>
      <c r="K84" s="8"/>
      <c r="L84" s="15"/>
    </row>
    <row r="85" spans="1:12">
      <c r="A85" s="119" t="s">
        <v>29</v>
      </c>
      <c r="B85" s="119"/>
      <c r="C85" s="2"/>
      <c r="D85" s="2"/>
      <c r="E85" s="2"/>
      <c r="F85" s="2"/>
      <c r="G85" s="2"/>
      <c r="H85" s="2"/>
      <c r="I85" s="2"/>
      <c r="J85" s="2"/>
      <c r="K85" s="2"/>
      <c r="L85" s="12"/>
    </row>
    <row r="86" spans="1:12">
      <c r="A86" s="120"/>
      <c r="B86" s="120"/>
      <c r="C86" s="2" t="s">
        <v>238</v>
      </c>
      <c r="D86" s="2"/>
      <c r="E86" s="2"/>
      <c r="F86" s="2"/>
      <c r="G86" s="2"/>
      <c r="H86" s="2"/>
      <c r="I86" s="2"/>
      <c r="J86" s="2"/>
      <c r="K86" s="2"/>
      <c r="L86" s="12"/>
    </row>
    <row r="87" spans="1:12">
      <c r="A87" s="120"/>
      <c r="B87" s="120"/>
      <c r="C87" s="2" t="s">
        <v>237</v>
      </c>
      <c r="D87" s="2"/>
      <c r="E87" s="2"/>
      <c r="F87" s="2"/>
      <c r="G87" s="2"/>
      <c r="H87" s="2"/>
      <c r="I87" s="2"/>
      <c r="J87" s="2"/>
      <c r="K87" s="2"/>
      <c r="L87" s="12"/>
    </row>
    <row r="88" spans="1:12">
      <c r="A88" s="13"/>
      <c r="B88" s="2"/>
      <c r="C88" s="2"/>
      <c r="D88" s="2"/>
      <c r="E88" s="2"/>
      <c r="F88" s="2"/>
      <c r="G88" s="2"/>
      <c r="H88" s="2"/>
      <c r="I88" s="2"/>
      <c r="J88" s="2"/>
      <c r="K88" s="2"/>
      <c r="L88" s="12"/>
    </row>
    <row r="89" spans="1:12">
      <c r="A89" s="14"/>
      <c r="B89" s="8"/>
      <c r="C89" s="8"/>
      <c r="D89" s="8"/>
      <c r="E89" s="8"/>
      <c r="F89" s="8"/>
      <c r="G89" s="8"/>
      <c r="H89" s="8"/>
      <c r="I89" s="8"/>
      <c r="J89" s="8"/>
      <c r="K89" s="8"/>
      <c r="L89" s="15"/>
    </row>
  </sheetData>
  <mergeCells count="20">
    <mergeCell ref="A85:B87"/>
    <mergeCell ref="D7:D8"/>
    <mergeCell ref="E7:G8"/>
    <mergeCell ref="I7:I8"/>
    <mergeCell ref="J7:J8"/>
    <mergeCell ref="K7:K8"/>
    <mergeCell ref="A10:A12"/>
    <mergeCell ref="B10:C12"/>
    <mergeCell ref="D10:D12"/>
    <mergeCell ref="E10:L12"/>
    <mergeCell ref="A1:A2"/>
    <mergeCell ref="B1:C2"/>
    <mergeCell ref="J1:L2"/>
    <mergeCell ref="D2:I3"/>
    <mergeCell ref="A5:A6"/>
    <mergeCell ref="B5:C6"/>
    <mergeCell ref="D5:D6"/>
    <mergeCell ref="E5:G6"/>
    <mergeCell ref="I5:I6"/>
    <mergeCell ref="J5:L6"/>
  </mergeCells>
  <phoneticPr fontId="1"/>
  <pageMargins left="0.70866141732283472" right="0.70866141732283472" top="0.74803149606299213" bottom="0.74803149606299213" header="0.31496062992125984" footer="0.31496062992125984"/>
  <pageSetup paperSize="9" scale="66"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
  <sheetViews>
    <sheetView topLeftCell="A25" zoomScaleNormal="100" workbookViewId="0">
      <selection activeCell="F2" sqref="F2:F50"/>
    </sheetView>
  </sheetViews>
  <sheetFormatPr defaultRowHeight="13.5"/>
  <cols>
    <col min="1" max="1" width="9.125" customWidth="1"/>
    <col min="4" max="5" width="9.5" bestFit="1" customWidth="1"/>
    <col min="11" max="11" width="9.25" customWidth="1"/>
    <col min="13" max="13" width="11.125" bestFit="1" customWidth="1"/>
    <col min="14" max="14" width="17.5" customWidth="1"/>
    <col min="15" max="15" width="14" bestFit="1" customWidth="1"/>
  </cols>
  <sheetData>
    <row r="1" spans="1:15">
      <c r="A1" s="39" t="s">
        <v>34</v>
      </c>
      <c r="B1" s="39" t="s">
        <v>5</v>
      </c>
      <c r="C1" s="39" t="s">
        <v>0</v>
      </c>
      <c r="D1" s="39" t="s">
        <v>1</v>
      </c>
      <c r="E1" s="39" t="s">
        <v>6</v>
      </c>
      <c r="F1" s="39" t="s">
        <v>4</v>
      </c>
      <c r="G1" s="39" t="s">
        <v>10</v>
      </c>
      <c r="H1" s="39" t="s">
        <v>9</v>
      </c>
      <c r="I1" s="39" t="s">
        <v>2</v>
      </c>
      <c r="J1" s="39" t="s">
        <v>3</v>
      </c>
      <c r="K1" s="39" t="s">
        <v>180</v>
      </c>
      <c r="M1" s="70" t="s">
        <v>181</v>
      </c>
      <c r="N1" t="s">
        <v>186</v>
      </c>
      <c r="O1" t="s">
        <v>187</v>
      </c>
    </row>
    <row r="2" spans="1:15">
      <c r="A2" s="39" t="s">
        <v>35</v>
      </c>
      <c r="B2" s="39" t="s">
        <v>8</v>
      </c>
      <c r="C2" s="39" t="s">
        <v>7</v>
      </c>
      <c r="D2" s="39">
        <v>19</v>
      </c>
      <c r="E2" s="39">
        <v>15071006</v>
      </c>
      <c r="F2" s="39">
        <v>1800</v>
      </c>
      <c r="G2" s="39">
        <v>15</v>
      </c>
      <c r="H2" s="39">
        <f t="shared" ref="H2:H23" si="0">+F2-G2</f>
        <v>1785</v>
      </c>
      <c r="I2" s="39">
        <v>0</v>
      </c>
      <c r="J2" s="39">
        <v>0</v>
      </c>
      <c r="K2" s="39"/>
      <c r="M2" s="71" t="s">
        <v>182</v>
      </c>
      <c r="N2" s="72">
        <v>5400</v>
      </c>
      <c r="O2" s="72">
        <v>0</v>
      </c>
    </row>
    <row r="3" spans="1:15">
      <c r="A3" s="39" t="s">
        <v>35</v>
      </c>
      <c r="B3" s="39" t="s">
        <v>8</v>
      </c>
      <c r="C3" s="39" t="s">
        <v>7</v>
      </c>
      <c r="D3" s="39">
        <v>123</v>
      </c>
      <c r="E3" s="39">
        <v>15071015</v>
      </c>
      <c r="F3" s="39">
        <v>1500</v>
      </c>
      <c r="G3" s="39">
        <v>1</v>
      </c>
      <c r="H3" s="39">
        <f t="shared" si="0"/>
        <v>1499</v>
      </c>
      <c r="I3" s="39">
        <v>0</v>
      </c>
      <c r="J3" s="39">
        <v>0</v>
      </c>
      <c r="K3" s="39"/>
      <c r="M3" s="71" t="s">
        <v>183</v>
      </c>
      <c r="N3" s="72">
        <v>29200</v>
      </c>
      <c r="O3" s="72">
        <v>17</v>
      </c>
    </row>
    <row r="4" spans="1:15">
      <c r="A4" s="39" t="s">
        <v>35</v>
      </c>
      <c r="B4" s="39" t="s">
        <v>8</v>
      </c>
      <c r="C4" s="39" t="s">
        <v>7</v>
      </c>
      <c r="D4" s="39">
        <v>18</v>
      </c>
      <c r="E4" s="39">
        <v>15072414</v>
      </c>
      <c r="F4" s="39">
        <v>300</v>
      </c>
      <c r="G4" s="39">
        <v>2</v>
      </c>
      <c r="H4" s="39">
        <f t="shared" si="0"/>
        <v>298</v>
      </c>
      <c r="I4" s="39">
        <v>0</v>
      </c>
      <c r="J4" s="39">
        <v>0</v>
      </c>
      <c r="K4" s="39"/>
      <c r="M4" s="71" t="s">
        <v>184</v>
      </c>
      <c r="N4" s="72">
        <v>45000</v>
      </c>
      <c r="O4" s="72">
        <v>23</v>
      </c>
    </row>
    <row r="5" spans="1:15">
      <c r="A5" s="39" t="s">
        <v>35</v>
      </c>
      <c r="B5" s="39" t="s">
        <v>8</v>
      </c>
      <c r="C5" s="39" t="s">
        <v>7</v>
      </c>
      <c r="D5" s="39">
        <v>24</v>
      </c>
      <c r="E5" s="39">
        <v>15072414</v>
      </c>
      <c r="F5" s="39">
        <v>800</v>
      </c>
      <c r="G5" s="39">
        <v>2</v>
      </c>
      <c r="H5" s="39">
        <f t="shared" si="0"/>
        <v>798</v>
      </c>
      <c r="I5" s="39">
        <v>0</v>
      </c>
      <c r="J5" s="39">
        <v>0</v>
      </c>
      <c r="K5" s="39"/>
      <c r="M5" s="71" t="s">
        <v>185</v>
      </c>
      <c r="N5" s="72">
        <v>79600</v>
      </c>
      <c r="O5" s="72">
        <v>40</v>
      </c>
    </row>
    <row r="6" spans="1:15">
      <c r="A6" s="39" t="s">
        <v>35</v>
      </c>
      <c r="B6" s="39" t="s">
        <v>8</v>
      </c>
      <c r="C6" s="39" t="s">
        <v>7</v>
      </c>
      <c r="D6" s="39">
        <v>13</v>
      </c>
      <c r="E6" s="39">
        <v>15072419</v>
      </c>
      <c r="F6" s="39">
        <v>1500</v>
      </c>
      <c r="G6" s="39">
        <v>1</v>
      </c>
      <c r="H6" s="39">
        <f t="shared" si="0"/>
        <v>1499</v>
      </c>
      <c r="I6" s="39">
        <v>4</v>
      </c>
      <c r="J6" s="39">
        <v>0</v>
      </c>
      <c r="K6" s="39"/>
    </row>
    <row r="7" spans="1:15">
      <c r="A7" s="39" t="s">
        <v>35</v>
      </c>
      <c r="B7" s="39" t="s">
        <v>8</v>
      </c>
      <c r="C7" s="39" t="s">
        <v>7</v>
      </c>
      <c r="D7" s="39">
        <v>106</v>
      </c>
      <c r="E7" s="39">
        <v>15072415</v>
      </c>
      <c r="F7" s="39">
        <v>1200</v>
      </c>
      <c r="G7" s="39">
        <v>1</v>
      </c>
      <c r="H7" s="39">
        <f t="shared" si="0"/>
        <v>1199</v>
      </c>
      <c r="I7" s="39">
        <v>1</v>
      </c>
      <c r="J7" s="39">
        <v>0</v>
      </c>
      <c r="K7" s="39"/>
    </row>
    <row r="8" spans="1:15">
      <c r="A8" s="39" t="s">
        <v>35</v>
      </c>
      <c r="B8" s="39" t="s">
        <v>11</v>
      </c>
      <c r="C8" s="39" t="s">
        <v>12</v>
      </c>
      <c r="D8" s="39">
        <v>113</v>
      </c>
      <c r="E8" s="39">
        <v>15072413</v>
      </c>
      <c r="F8" s="39">
        <v>300</v>
      </c>
      <c r="G8" s="39">
        <v>0</v>
      </c>
      <c r="H8" s="39">
        <f t="shared" si="0"/>
        <v>300</v>
      </c>
      <c r="I8" s="39">
        <v>0</v>
      </c>
      <c r="J8" s="39">
        <v>0</v>
      </c>
      <c r="K8" s="39"/>
    </row>
    <row r="9" spans="1:15">
      <c r="A9" s="39" t="s">
        <v>35</v>
      </c>
      <c r="B9" s="39" t="s">
        <v>11</v>
      </c>
      <c r="C9" s="39" t="s">
        <v>7</v>
      </c>
      <c r="D9" s="39">
        <v>124</v>
      </c>
      <c r="E9" s="39">
        <v>15072413</v>
      </c>
      <c r="F9" s="39">
        <v>600</v>
      </c>
      <c r="G9" s="39">
        <v>0</v>
      </c>
      <c r="H9" s="39">
        <f t="shared" si="0"/>
        <v>600</v>
      </c>
      <c r="I9" s="39">
        <v>0</v>
      </c>
      <c r="J9" s="39">
        <v>23</v>
      </c>
      <c r="K9" s="39" t="s">
        <v>39</v>
      </c>
    </row>
    <row r="10" spans="1:15">
      <c r="A10" s="39" t="s">
        <v>35</v>
      </c>
      <c r="B10" s="39" t="s">
        <v>11</v>
      </c>
      <c r="C10" s="39" t="s">
        <v>7</v>
      </c>
      <c r="D10" s="39">
        <v>23</v>
      </c>
      <c r="E10" s="39">
        <v>15072420</v>
      </c>
      <c r="F10" s="39">
        <v>1700</v>
      </c>
      <c r="G10" s="39">
        <v>5</v>
      </c>
      <c r="H10" s="39">
        <f t="shared" si="0"/>
        <v>1695</v>
      </c>
      <c r="I10" s="39">
        <v>2</v>
      </c>
      <c r="J10" s="39">
        <v>0</v>
      </c>
      <c r="K10" s="39"/>
    </row>
    <row r="11" spans="1:15">
      <c r="A11" s="39" t="s">
        <v>35</v>
      </c>
      <c r="B11" s="39" t="s">
        <v>11</v>
      </c>
      <c r="C11" s="39" t="s">
        <v>7</v>
      </c>
      <c r="D11" s="39">
        <v>24</v>
      </c>
      <c r="E11" s="39">
        <v>15072411</v>
      </c>
      <c r="F11" s="39">
        <v>1800</v>
      </c>
      <c r="G11" s="39">
        <v>1</v>
      </c>
      <c r="H11" s="39">
        <f t="shared" si="0"/>
        <v>1799</v>
      </c>
      <c r="I11" s="39">
        <v>2</v>
      </c>
      <c r="J11" s="39">
        <v>0</v>
      </c>
      <c r="K11" s="39"/>
    </row>
    <row r="12" spans="1:15">
      <c r="A12" s="39" t="s">
        <v>35</v>
      </c>
      <c r="B12" s="39" t="s">
        <v>11</v>
      </c>
      <c r="C12" s="39" t="s">
        <v>7</v>
      </c>
      <c r="D12" s="39">
        <v>113</v>
      </c>
      <c r="E12" s="39">
        <v>15072404</v>
      </c>
      <c r="F12" s="39">
        <v>1800</v>
      </c>
      <c r="G12" s="39">
        <v>2</v>
      </c>
      <c r="H12" s="39">
        <f t="shared" si="0"/>
        <v>1798</v>
      </c>
      <c r="I12" s="39">
        <v>3</v>
      </c>
      <c r="J12" s="39">
        <v>0</v>
      </c>
      <c r="K12" s="39"/>
    </row>
    <row r="13" spans="1:15">
      <c r="A13" s="42" t="s">
        <v>42</v>
      </c>
      <c r="B13" s="42" t="s">
        <v>8</v>
      </c>
      <c r="C13" s="42" t="s">
        <v>7</v>
      </c>
      <c r="D13" s="42">
        <v>118</v>
      </c>
      <c r="E13" s="42">
        <v>15072416</v>
      </c>
      <c r="F13" s="42">
        <v>1300</v>
      </c>
      <c r="G13" s="42">
        <v>1</v>
      </c>
      <c r="H13" s="39">
        <f t="shared" si="0"/>
        <v>1299</v>
      </c>
      <c r="I13" s="42">
        <v>3</v>
      </c>
      <c r="J13" s="42">
        <v>0</v>
      </c>
      <c r="K13" s="39"/>
    </row>
    <row r="14" spans="1:15">
      <c r="A14" s="42" t="s">
        <v>42</v>
      </c>
      <c r="B14" s="42" t="s">
        <v>8</v>
      </c>
      <c r="C14" s="42" t="s">
        <v>7</v>
      </c>
      <c r="D14" s="42">
        <v>12</v>
      </c>
      <c r="E14" s="42">
        <v>15072418</v>
      </c>
      <c r="F14" s="42">
        <v>1600</v>
      </c>
      <c r="G14" s="42">
        <v>2</v>
      </c>
      <c r="H14" s="39">
        <f t="shared" si="0"/>
        <v>1598</v>
      </c>
      <c r="I14" s="42">
        <v>0</v>
      </c>
      <c r="J14" s="42">
        <v>0</v>
      </c>
      <c r="K14" s="39"/>
    </row>
    <row r="15" spans="1:15">
      <c r="A15" s="42" t="s">
        <v>42</v>
      </c>
      <c r="B15" s="42" t="s">
        <v>8</v>
      </c>
      <c r="C15" s="42" t="s">
        <v>7</v>
      </c>
      <c r="D15" s="39">
        <v>124</v>
      </c>
      <c r="E15" s="39">
        <v>15072407</v>
      </c>
      <c r="F15" s="39">
        <v>1800</v>
      </c>
      <c r="G15" s="39">
        <v>2</v>
      </c>
      <c r="H15" s="39">
        <f t="shared" si="0"/>
        <v>1798</v>
      </c>
      <c r="I15" s="39">
        <v>1</v>
      </c>
      <c r="J15" s="39">
        <v>0</v>
      </c>
      <c r="K15" s="39"/>
    </row>
    <row r="16" spans="1:15">
      <c r="A16" s="42" t="s">
        <v>42</v>
      </c>
      <c r="B16" s="42" t="s">
        <v>8</v>
      </c>
      <c r="C16" s="42" t="s">
        <v>7</v>
      </c>
      <c r="D16" s="39">
        <v>13</v>
      </c>
      <c r="E16" s="39">
        <v>15072408</v>
      </c>
      <c r="F16" s="39">
        <v>1800</v>
      </c>
      <c r="G16" s="39">
        <v>3</v>
      </c>
      <c r="H16" s="39">
        <f t="shared" si="0"/>
        <v>1797</v>
      </c>
      <c r="I16" s="39">
        <v>1</v>
      </c>
      <c r="J16" s="39">
        <v>0</v>
      </c>
      <c r="K16" s="39"/>
    </row>
    <row r="17" spans="1:11">
      <c r="A17" s="42" t="s">
        <v>42</v>
      </c>
      <c r="B17" s="42" t="s">
        <v>8</v>
      </c>
      <c r="C17" s="42" t="s">
        <v>7</v>
      </c>
      <c r="D17" s="39">
        <v>118</v>
      </c>
      <c r="E17" s="39">
        <v>15072406</v>
      </c>
      <c r="F17" s="39">
        <v>1800</v>
      </c>
      <c r="G17" s="39">
        <v>1</v>
      </c>
      <c r="H17" s="39">
        <f t="shared" si="0"/>
        <v>1799</v>
      </c>
      <c r="I17" s="39">
        <v>0</v>
      </c>
      <c r="J17" s="39">
        <v>0</v>
      </c>
      <c r="K17" s="39"/>
    </row>
    <row r="18" spans="1:11">
      <c r="A18" s="42" t="s">
        <v>42</v>
      </c>
      <c r="B18" s="42" t="s">
        <v>8</v>
      </c>
      <c r="C18" s="42" t="s">
        <v>7</v>
      </c>
      <c r="D18" s="39">
        <v>15</v>
      </c>
      <c r="E18" s="39">
        <v>15071005</v>
      </c>
      <c r="F18" s="39">
        <v>1800</v>
      </c>
      <c r="G18" s="39">
        <v>1</v>
      </c>
      <c r="H18" s="39">
        <f t="shared" si="0"/>
        <v>1799</v>
      </c>
      <c r="I18" s="39">
        <v>0</v>
      </c>
      <c r="J18" s="39">
        <v>0</v>
      </c>
      <c r="K18" s="39"/>
    </row>
    <row r="19" spans="1:11">
      <c r="A19" s="42" t="s">
        <v>42</v>
      </c>
      <c r="B19" s="42" t="s">
        <v>8</v>
      </c>
      <c r="C19" s="42" t="s">
        <v>7</v>
      </c>
      <c r="D19" s="39">
        <v>3</v>
      </c>
      <c r="E19" s="39">
        <v>15071020</v>
      </c>
      <c r="F19" s="39">
        <v>1300</v>
      </c>
      <c r="G19" s="39">
        <v>1</v>
      </c>
      <c r="H19" s="39">
        <f t="shared" si="0"/>
        <v>1299</v>
      </c>
      <c r="I19" s="39">
        <v>0</v>
      </c>
      <c r="J19" s="39">
        <v>0</v>
      </c>
      <c r="K19" s="39"/>
    </row>
    <row r="20" spans="1:11">
      <c r="A20" s="42" t="s">
        <v>42</v>
      </c>
      <c r="B20" s="42" t="s">
        <v>8</v>
      </c>
      <c r="C20" s="42" t="s">
        <v>7</v>
      </c>
      <c r="D20" s="39">
        <v>107</v>
      </c>
      <c r="E20" s="39">
        <v>15072402</v>
      </c>
      <c r="F20" s="39">
        <v>1800</v>
      </c>
      <c r="G20" s="39">
        <v>16</v>
      </c>
      <c r="H20" s="39">
        <f t="shared" si="0"/>
        <v>1784</v>
      </c>
      <c r="I20" s="39">
        <v>0</v>
      </c>
      <c r="J20" s="39">
        <v>0</v>
      </c>
      <c r="K20" s="39"/>
    </row>
    <row r="21" spans="1:11">
      <c r="A21" s="42" t="s">
        <v>42</v>
      </c>
      <c r="B21" s="42" t="s">
        <v>8</v>
      </c>
      <c r="C21" s="42" t="s">
        <v>7</v>
      </c>
      <c r="D21" s="39">
        <v>12</v>
      </c>
      <c r="E21" s="39">
        <v>15071014</v>
      </c>
      <c r="F21" s="39">
        <v>1400</v>
      </c>
      <c r="G21" s="39">
        <v>4</v>
      </c>
      <c r="H21" s="39">
        <f t="shared" ref="H21" si="1">+F21-G21</f>
        <v>1396</v>
      </c>
      <c r="I21" s="39">
        <v>0</v>
      </c>
      <c r="J21" s="39">
        <v>1</v>
      </c>
      <c r="K21" s="39" t="s">
        <v>43</v>
      </c>
    </row>
    <row r="22" spans="1:11">
      <c r="A22" s="42" t="s">
        <v>42</v>
      </c>
      <c r="B22" s="42" t="s">
        <v>8</v>
      </c>
      <c r="C22" s="42" t="s">
        <v>7</v>
      </c>
      <c r="D22" s="39">
        <v>112</v>
      </c>
      <c r="E22" s="39">
        <v>15071011</v>
      </c>
      <c r="F22" s="39">
        <v>1300</v>
      </c>
      <c r="G22" s="39">
        <v>2</v>
      </c>
      <c r="H22" s="39">
        <f t="shared" ref="H22" si="2">+F22-G22</f>
        <v>1298</v>
      </c>
      <c r="I22" s="39">
        <v>0</v>
      </c>
      <c r="J22" s="39">
        <v>0</v>
      </c>
      <c r="K22" s="39"/>
    </row>
    <row r="23" spans="1:11">
      <c r="A23" s="42" t="s">
        <v>42</v>
      </c>
      <c r="B23" s="42" t="s">
        <v>37</v>
      </c>
      <c r="C23" s="39" t="s">
        <v>44</v>
      </c>
      <c r="D23" s="39">
        <v>17</v>
      </c>
      <c r="E23" s="39" t="s">
        <v>45</v>
      </c>
      <c r="F23" s="39">
        <v>1800</v>
      </c>
      <c r="G23" s="39">
        <v>1</v>
      </c>
      <c r="H23" s="39">
        <f t="shared" si="0"/>
        <v>1799</v>
      </c>
      <c r="I23" s="39">
        <v>0</v>
      </c>
      <c r="J23" s="39">
        <v>0</v>
      </c>
      <c r="K23" s="39"/>
    </row>
    <row r="24" spans="1:11">
      <c r="A24" s="42" t="s">
        <v>42</v>
      </c>
      <c r="B24" s="42" t="s">
        <v>37</v>
      </c>
      <c r="C24" s="39" t="s">
        <v>44</v>
      </c>
      <c r="D24" s="39">
        <v>17</v>
      </c>
      <c r="E24" s="39" t="s">
        <v>46</v>
      </c>
      <c r="F24" s="39">
        <v>1800</v>
      </c>
      <c r="G24" s="39">
        <v>1</v>
      </c>
      <c r="H24" s="39">
        <f t="shared" ref="H24:H30" si="3">+F24-G24</f>
        <v>1799</v>
      </c>
      <c r="I24" s="39">
        <v>0</v>
      </c>
      <c r="J24" s="39">
        <v>0</v>
      </c>
      <c r="K24" s="39"/>
    </row>
    <row r="25" spans="1:11">
      <c r="A25" s="42" t="s">
        <v>42</v>
      </c>
      <c r="B25" s="42" t="s">
        <v>37</v>
      </c>
      <c r="C25" s="39" t="s">
        <v>44</v>
      </c>
      <c r="D25" s="39">
        <v>12</v>
      </c>
      <c r="E25" s="39" t="s">
        <v>47</v>
      </c>
      <c r="F25" s="39">
        <v>1800</v>
      </c>
      <c r="G25" s="39">
        <v>16</v>
      </c>
      <c r="H25" s="39">
        <f t="shared" si="3"/>
        <v>1784</v>
      </c>
      <c r="I25" s="39">
        <v>0</v>
      </c>
      <c r="J25" s="39">
        <v>0</v>
      </c>
      <c r="K25" s="39"/>
    </row>
    <row r="26" spans="1:11">
      <c r="A26" s="42" t="s">
        <v>42</v>
      </c>
      <c r="B26" s="42" t="s">
        <v>50</v>
      </c>
      <c r="C26" s="39" t="s">
        <v>48</v>
      </c>
      <c r="D26" s="39">
        <v>13</v>
      </c>
      <c r="E26" s="39" t="s">
        <v>49</v>
      </c>
      <c r="F26" s="39">
        <v>1800</v>
      </c>
      <c r="G26" s="39">
        <v>15</v>
      </c>
      <c r="H26" s="39">
        <f t="shared" si="3"/>
        <v>1785</v>
      </c>
      <c r="I26" s="39">
        <v>0</v>
      </c>
      <c r="J26" s="39">
        <v>1</v>
      </c>
      <c r="K26" s="39" t="s">
        <v>43</v>
      </c>
    </row>
    <row r="27" spans="1:11">
      <c r="A27" s="42" t="s">
        <v>42</v>
      </c>
      <c r="B27" s="42" t="s">
        <v>50</v>
      </c>
      <c r="C27" s="39" t="s">
        <v>48</v>
      </c>
      <c r="D27" s="39">
        <v>15</v>
      </c>
      <c r="E27" s="39" t="s">
        <v>51</v>
      </c>
      <c r="F27" s="39">
        <v>1800</v>
      </c>
      <c r="G27" s="39">
        <v>1</v>
      </c>
      <c r="H27" s="39">
        <f t="shared" si="3"/>
        <v>1799</v>
      </c>
      <c r="I27" s="39">
        <v>0</v>
      </c>
      <c r="J27" s="39">
        <v>1</v>
      </c>
      <c r="K27" s="39" t="s">
        <v>38</v>
      </c>
    </row>
    <row r="28" spans="1:11">
      <c r="A28" s="42" t="s">
        <v>42</v>
      </c>
      <c r="B28" s="42" t="s">
        <v>50</v>
      </c>
      <c r="C28" s="39" t="s">
        <v>48</v>
      </c>
      <c r="D28" s="39">
        <v>13</v>
      </c>
      <c r="E28" s="39" t="s">
        <v>52</v>
      </c>
      <c r="F28" s="39">
        <v>1800</v>
      </c>
      <c r="G28" s="39">
        <v>1</v>
      </c>
      <c r="H28" s="39">
        <f t="shared" si="3"/>
        <v>1799</v>
      </c>
      <c r="I28" s="39">
        <v>0</v>
      </c>
      <c r="J28" s="39">
        <v>4</v>
      </c>
      <c r="K28" s="39" t="s">
        <v>38</v>
      </c>
    </row>
    <row r="29" spans="1:11">
      <c r="A29" s="42" t="s">
        <v>42</v>
      </c>
      <c r="B29" s="42" t="s">
        <v>50</v>
      </c>
      <c r="C29" s="39" t="s">
        <v>48</v>
      </c>
      <c r="D29" s="39">
        <v>12</v>
      </c>
      <c r="E29" s="39" t="s">
        <v>53</v>
      </c>
      <c r="F29" s="39">
        <v>1800</v>
      </c>
      <c r="G29" s="39">
        <v>2</v>
      </c>
      <c r="H29" s="39">
        <f t="shared" si="3"/>
        <v>1798</v>
      </c>
      <c r="I29" s="39">
        <v>0</v>
      </c>
      <c r="J29" s="39">
        <v>0</v>
      </c>
      <c r="K29" s="39"/>
    </row>
    <row r="30" spans="1:11">
      <c r="A30" s="42" t="s">
        <v>42</v>
      </c>
      <c r="B30" s="42" t="s">
        <v>50</v>
      </c>
      <c r="C30" s="39" t="s">
        <v>54</v>
      </c>
      <c r="D30" s="39">
        <v>14</v>
      </c>
      <c r="E30" s="39" t="s">
        <v>55</v>
      </c>
      <c r="F30" s="39">
        <v>1800</v>
      </c>
      <c r="G30" s="39">
        <v>18</v>
      </c>
      <c r="H30" s="39">
        <f t="shared" si="3"/>
        <v>1782</v>
      </c>
      <c r="I30" s="39">
        <v>2</v>
      </c>
      <c r="J30" s="39">
        <v>1</v>
      </c>
      <c r="K30" s="39" t="s">
        <v>43</v>
      </c>
    </row>
    <row r="31" spans="1:11">
      <c r="A31" s="42" t="s">
        <v>42</v>
      </c>
      <c r="B31" s="42" t="s">
        <v>50</v>
      </c>
      <c r="C31" s="39" t="s">
        <v>54</v>
      </c>
      <c r="D31" s="39">
        <v>14</v>
      </c>
      <c r="E31" s="39" t="s">
        <v>56</v>
      </c>
      <c r="F31" s="39">
        <v>1800</v>
      </c>
      <c r="G31" s="39">
        <v>2</v>
      </c>
      <c r="H31" s="39">
        <f t="shared" ref="H31:H43" si="4">+F31-G31</f>
        <v>1798</v>
      </c>
      <c r="I31" s="39">
        <v>2</v>
      </c>
      <c r="J31" s="39">
        <v>0</v>
      </c>
      <c r="K31" s="39"/>
    </row>
    <row r="32" spans="1:11">
      <c r="A32" s="42" t="s">
        <v>42</v>
      </c>
      <c r="B32" s="42" t="s">
        <v>50</v>
      </c>
      <c r="C32" s="39" t="s">
        <v>54</v>
      </c>
      <c r="D32" s="39">
        <v>19</v>
      </c>
      <c r="E32" s="39" t="s">
        <v>57</v>
      </c>
      <c r="F32" s="39">
        <v>1800</v>
      </c>
      <c r="G32" s="39">
        <v>3</v>
      </c>
      <c r="H32" s="39">
        <f t="shared" si="4"/>
        <v>1797</v>
      </c>
      <c r="I32" s="39">
        <v>0</v>
      </c>
      <c r="J32" s="39">
        <v>0</v>
      </c>
      <c r="K32" s="39"/>
    </row>
    <row r="33" spans="1:11">
      <c r="A33" s="42" t="s">
        <v>42</v>
      </c>
      <c r="B33" s="42" t="s">
        <v>50</v>
      </c>
      <c r="C33" s="39" t="s">
        <v>59</v>
      </c>
      <c r="D33" s="39">
        <v>15</v>
      </c>
      <c r="E33" s="39" t="s">
        <v>58</v>
      </c>
      <c r="F33" s="39">
        <v>1800</v>
      </c>
      <c r="G33" s="39">
        <v>14</v>
      </c>
      <c r="H33" s="39">
        <f t="shared" si="4"/>
        <v>1786</v>
      </c>
      <c r="I33" s="39">
        <v>0</v>
      </c>
      <c r="J33" s="39">
        <v>1</v>
      </c>
      <c r="K33" s="39" t="s">
        <v>60</v>
      </c>
    </row>
    <row r="34" spans="1:11">
      <c r="A34" s="42" t="s">
        <v>42</v>
      </c>
      <c r="B34" s="42" t="s">
        <v>50</v>
      </c>
      <c r="C34" s="43" t="s">
        <v>64</v>
      </c>
      <c r="D34" s="39">
        <v>12</v>
      </c>
      <c r="E34" s="39" t="s">
        <v>61</v>
      </c>
      <c r="F34" s="39">
        <v>1800</v>
      </c>
      <c r="G34" s="39">
        <v>5</v>
      </c>
      <c r="H34" s="39">
        <f t="shared" ref="H34" si="5">+F34-G34</f>
        <v>1795</v>
      </c>
      <c r="I34" s="39">
        <v>0</v>
      </c>
      <c r="J34" s="39">
        <v>0</v>
      </c>
      <c r="K34" s="39"/>
    </row>
    <row r="35" spans="1:11">
      <c r="A35" s="42" t="s">
        <v>42</v>
      </c>
      <c r="B35" s="42" t="s">
        <v>50</v>
      </c>
      <c r="C35" s="43" t="s">
        <v>64</v>
      </c>
      <c r="D35" s="39">
        <v>15</v>
      </c>
      <c r="E35" s="39" t="s">
        <v>62</v>
      </c>
      <c r="F35" s="39">
        <v>1800</v>
      </c>
      <c r="G35" s="39">
        <v>1</v>
      </c>
      <c r="H35" s="39">
        <f t="shared" ref="H35" si="6">+F35-G35</f>
        <v>1799</v>
      </c>
      <c r="I35" s="39">
        <v>0</v>
      </c>
      <c r="J35" s="39">
        <v>0</v>
      </c>
      <c r="K35" s="39"/>
    </row>
    <row r="36" spans="1:11">
      <c r="A36" s="42" t="s">
        <v>42</v>
      </c>
      <c r="B36" s="42" t="s">
        <v>63</v>
      </c>
      <c r="C36" s="43" t="s">
        <v>64</v>
      </c>
      <c r="D36" s="39">
        <v>19</v>
      </c>
      <c r="E36" s="39" t="s">
        <v>65</v>
      </c>
      <c r="F36" s="39">
        <v>1800</v>
      </c>
      <c r="G36" s="39">
        <v>2</v>
      </c>
      <c r="H36" s="39">
        <f t="shared" si="4"/>
        <v>1798</v>
      </c>
      <c r="I36" s="39">
        <v>0</v>
      </c>
      <c r="J36" s="39">
        <v>0</v>
      </c>
      <c r="K36" s="39"/>
    </row>
    <row r="37" spans="1:11">
      <c r="A37" s="42" t="s">
        <v>42</v>
      </c>
      <c r="B37" s="42" t="s">
        <v>63</v>
      </c>
      <c r="C37" s="43" t="s">
        <v>64</v>
      </c>
      <c r="D37" s="39">
        <v>23</v>
      </c>
      <c r="E37" s="39" t="s">
        <v>66</v>
      </c>
      <c r="F37" s="39">
        <v>1800</v>
      </c>
      <c r="G37" s="39">
        <v>1</v>
      </c>
      <c r="H37" s="39">
        <f t="shared" si="4"/>
        <v>1799</v>
      </c>
      <c r="I37" s="39">
        <v>0</v>
      </c>
      <c r="J37" s="39">
        <v>0</v>
      </c>
      <c r="K37" s="39"/>
    </row>
    <row r="38" spans="1:11">
      <c r="A38" s="42" t="s">
        <v>42</v>
      </c>
      <c r="B38" s="42" t="s">
        <v>63</v>
      </c>
      <c r="C38" s="43" t="s">
        <v>64</v>
      </c>
      <c r="D38" s="39">
        <v>14</v>
      </c>
      <c r="E38" s="39" t="s">
        <v>67</v>
      </c>
      <c r="F38" s="39">
        <v>1800</v>
      </c>
      <c r="G38" s="39">
        <v>15</v>
      </c>
      <c r="H38" s="39">
        <f t="shared" si="4"/>
        <v>1785</v>
      </c>
      <c r="I38" s="39">
        <v>0</v>
      </c>
      <c r="J38" s="39">
        <v>0</v>
      </c>
      <c r="K38" s="39"/>
    </row>
    <row r="39" spans="1:11">
      <c r="A39" s="42" t="s">
        <v>42</v>
      </c>
      <c r="B39" s="42" t="s">
        <v>63</v>
      </c>
      <c r="C39" s="43" t="s">
        <v>64</v>
      </c>
      <c r="D39" s="39">
        <v>14</v>
      </c>
      <c r="E39" s="39" t="s">
        <v>68</v>
      </c>
      <c r="F39" s="39">
        <v>1800</v>
      </c>
      <c r="G39" s="39">
        <v>1</v>
      </c>
      <c r="H39" s="39">
        <f t="shared" ref="H39" si="7">+F39-G39</f>
        <v>1799</v>
      </c>
      <c r="I39" s="39">
        <v>2</v>
      </c>
      <c r="J39" s="39">
        <v>1</v>
      </c>
      <c r="K39" s="39" t="s">
        <v>38</v>
      </c>
    </row>
    <row r="40" spans="1:11">
      <c r="A40" s="42" t="s">
        <v>42</v>
      </c>
      <c r="B40" s="42" t="s">
        <v>63</v>
      </c>
      <c r="C40" s="43" t="s">
        <v>64</v>
      </c>
      <c r="D40" s="39">
        <v>19</v>
      </c>
      <c r="E40" s="39" t="s">
        <v>69</v>
      </c>
      <c r="F40" s="39">
        <v>1800</v>
      </c>
      <c r="G40" s="39">
        <v>2</v>
      </c>
      <c r="H40" s="39">
        <f t="shared" si="4"/>
        <v>1798</v>
      </c>
      <c r="I40" s="39">
        <v>0</v>
      </c>
      <c r="J40" s="39">
        <v>0</v>
      </c>
      <c r="K40" s="39"/>
    </row>
    <row r="41" spans="1:11">
      <c r="A41" s="42" t="s">
        <v>42</v>
      </c>
      <c r="B41" s="42" t="s">
        <v>63</v>
      </c>
      <c r="C41" s="43" t="s">
        <v>64</v>
      </c>
      <c r="D41" s="39">
        <v>13</v>
      </c>
      <c r="E41" s="39" t="s">
        <v>70</v>
      </c>
      <c r="F41" s="39">
        <v>1800</v>
      </c>
      <c r="G41" s="39">
        <v>4</v>
      </c>
      <c r="H41" s="39">
        <f t="shared" si="4"/>
        <v>1796</v>
      </c>
      <c r="I41" s="39">
        <v>0</v>
      </c>
      <c r="J41" s="39">
        <v>2</v>
      </c>
      <c r="K41" s="39" t="s">
        <v>43</v>
      </c>
    </row>
    <row r="42" spans="1:11">
      <c r="A42" s="42" t="s">
        <v>135</v>
      </c>
      <c r="B42" s="42" t="s">
        <v>36</v>
      </c>
      <c r="C42" s="43" t="s">
        <v>64</v>
      </c>
      <c r="D42" s="39">
        <v>14</v>
      </c>
      <c r="E42" s="39" t="s">
        <v>136</v>
      </c>
      <c r="F42" s="39">
        <v>1800</v>
      </c>
      <c r="G42" s="39">
        <v>1</v>
      </c>
      <c r="H42" s="39">
        <f t="shared" si="4"/>
        <v>1799</v>
      </c>
      <c r="I42" s="39">
        <v>2</v>
      </c>
      <c r="J42" s="39">
        <v>0</v>
      </c>
      <c r="K42" s="39"/>
    </row>
    <row r="43" spans="1:11">
      <c r="A43" s="42" t="s">
        <v>135</v>
      </c>
      <c r="B43" s="42" t="s">
        <v>36</v>
      </c>
      <c r="C43" s="43" t="s">
        <v>64</v>
      </c>
      <c r="D43" s="39">
        <v>14</v>
      </c>
      <c r="E43" s="39" t="s">
        <v>137</v>
      </c>
      <c r="F43" s="39">
        <v>1800</v>
      </c>
      <c r="G43" s="39">
        <v>2</v>
      </c>
      <c r="H43" s="39">
        <f t="shared" si="4"/>
        <v>1798</v>
      </c>
      <c r="I43" s="39">
        <v>2</v>
      </c>
      <c r="J43" s="39">
        <v>0</v>
      </c>
      <c r="K43" s="39"/>
    </row>
    <row r="44" spans="1:11">
      <c r="A44" s="42" t="s">
        <v>135</v>
      </c>
      <c r="B44" s="42" t="s">
        <v>36</v>
      </c>
      <c r="C44" s="43" t="s">
        <v>64</v>
      </c>
      <c r="D44" s="39">
        <v>14</v>
      </c>
      <c r="E44" s="39" t="s">
        <v>138</v>
      </c>
      <c r="F44" s="39">
        <v>1800</v>
      </c>
      <c r="G44" s="39">
        <v>1</v>
      </c>
      <c r="H44" s="39">
        <f t="shared" ref="H44:H50" si="8">+F44-G44</f>
        <v>1799</v>
      </c>
      <c r="I44" s="39">
        <v>4</v>
      </c>
      <c r="J44" s="39">
        <v>1</v>
      </c>
      <c r="K44" s="39" t="s">
        <v>43</v>
      </c>
    </row>
    <row r="45" spans="1:11">
      <c r="A45" s="42" t="s">
        <v>135</v>
      </c>
      <c r="B45" s="42" t="s">
        <v>36</v>
      </c>
      <c r="C45" s="43" t="s">
        <v>64</v>
      </c>
      <c r="D45" s="39">
        <v>12</v>
      </c>
      <c r="E45" s="39" t="s">
        <v>172</v>
      </c>
      <c r="F45" s="39">
        <v>1800</v>
      </c>
      <c r="G45" s="39">
        <v>3</v>
      </c>
      <c r="H45" s="39">
        <f t="shared" si="8"/>
        <v>1797</v>
      </c>
      <c r="I45" s="39">
        <v>2</v>
      </c>
      <c r="J45" s="39">
        <v>0</v>
      </c>
      <c r="K45" s="39"/>
    </row>
    <row r="46" spans="1:11">
      <c r="A46" s="42" t="s">
        <v>135</v>
      </c>
      <c r="B46" s="42" t="s">
        <v>36</v>
      </c>
      <c r="C46" s="43" t="s">
        <v>64</v>
      </c>
      <c r="D46" s="39">
        <v>13</v>
      </c>
      <c r="E46" s="39" t="s">
        <v>173</v>
      </c>
      <c r="F46" s="39">
        <v>1800</v>
      </c>
      <c r="G46" s="39">
        <v>2</v>
      </c>
      <c r="H46" s="39">
        <f t="shared" si="8"/>
        <v>1798</v>
      </c>
      <c r="I46" s="39">
        <v>2</v>
      </c>
      <c r="J46" s="39">
        <v>2</v>
      </c>
      <c r="K46" s="39" t="s">
        <v>174</v>
      </c>
    </row>
    <row r="47" spans="1:11">
      <c r="A47" s="42" t="s">
        <v>135</v>
      </c>
      <c r="B47" s="42" t="s">
        <v>36</v>
      </c>
      <c r="C47" s="43" t="s">
        <v>64</v>
      </c>
      <c r="D47" s="39">
        <v>12</v>
      </c>
      <c r="E47" s="39" t="s">
        <v>175</v>
      </c>
      <c r="F47" s="39">
        <v>1800</v>
      </c>
      <c r="G47" s="39">
        <v>1</v>
      </c>
      <c r="H47" s="39">
        <f t="shared" si="8"/>
        <v>1799</v>
      </c>
      <c r="I47" s="39">
        <v>2</v>
      </c>
      <c r="J47" s="39">
        <v>1</v>
      </c>
      <c r="K47" s="39" t="s">
        <v>43</v>
      </c>
    </row>
    <row r="48" spans="1:11">
      <c r="A48" s="42" t="s">
        <v>135</v>
      </c>
      <c r="B48" s="42" t="s">
        <v>36</v>
      </c>
      <c r="C48" s="43" t="s">
        <v>64</v>
      </c>
      <c r="D48" s="39">
        <v>25</v>
      </c>
      <c r="E48" s="39" t="s">
        <v>176</v>
      </c>
      <c r="F48" s="39">
        <v>1800</v>
      </c>
      <c r="G48" s="39">
        <v>5</v>
      </c>
      <c r="H48" s="39">
        <f t="shared" si="8"/>
        <v>1795</v>
      </c>
      <c r="I48" s="39">
        <v>1</v>
      </c>
      <c r="J48" s="39">
        <v>2</v>
      </c>
      <c r="K48" s="39" t="s">
        <v>177</v>
      </c>
    </row>
    <row r="49" spans="1:11">
      <c r="A49" s="42" t="s">
        <v>135</v>
      </c>
      <c r="B49" s="42" t="s">
        <v>36</v>
      </c>
      <c r="C49" s="43" t="s">
        <v>64</v>
      </c>
      <c r="D49" s="39">
        <v>19</v>
      </c>
      <c r="E49" s="39" t="s">
        <v>178</v>
      </c>
      <c r="F49" s="39">
        <v>1800</v>
      </c>
      <c r="G49" s="39">
        <v>1</v>
      </c>
      <c r="H49" s="39">
        <f t="shared" si="8"/>
        <v>1799</v>
      </c>
      <c r="I49" s="39">
        <v>2</v>
      </c>
      <c r="J49" s="39">
        <v>1</v>
      </c>
      <c r="K49" s="39" t="s">
        <v>38</v>
      </c>
    </row>
    <row r="50" spans="1:11">
      <c r="A50" s="42" t="s">
        <v>135</v>
      </c>
      <c r="B50" s="42" t="s">
        <v>36</v>
      </c>
      <c r="C50" s="43" t="s">
        <v>64</v>
      </c>
      <c r="D50" s="39">
        <v>12</v>
      </c>
      <c r="E50" s="39" t="s">
        <v>179</v>
      </c>
      <c r="F50" s="39">
        <v>1800</v>
      </c>
      <c r="G50" s="39">
        <v>5</v>
      </c>
      <c r="H50" s="39">
        <f t="shared" si="8"/>
        <v>1795</v>
      </c>
      <c r="I50" s="39">
        <v>0</v>
      </c>
      <c r="J50" s="39">
        <v>2</v>
      </c>
      <c r="K50" s="39" t="s">
        <v>43</v>
      </c>
    </row>
  </sheetData>
  <phoneticPr fontId="1"/>
  <pageMargins left="0.7" right="0.7" top="0.75" bottom="0.75" header="0.3" footer="0.3"/>
  <pageSetup paperSize="9" orientation="portrait" verticalDpi="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9"/>
  <sheetViews>
    <sheetView workbookViewId="0"/>
  </sheetViews>
  <sheetFormatPr defaultRowHeight="13.5"/>
  <cols>
    <col min="1" max="1" width="2.125" style="1" customWidth="1"/>
    <col min="2" max="2" width="4.75" style="1" customWidth="1"/>
    <col min="3" max="3" width="16.375" style="1" customWidth="1"/>
    <col min="4" max="4" width="10.5" style="1" bestFit="1" customWidth="1"/>
    <col min="5" max="5" width="12.75" style="1" bestFit="1" customWidth="1"/>
    <col min="6" max="6" width="9.625" style="1" customWidth="1"/>
    <col min="7" max="9" width="9" style="1"/>
    <col min="10" max="10" width="38.25" style="1" bestFit="1" customWidth="1"/>
    <col min="11" max="11" width="9" style="1"/>
    <col min="12" max="12" width="11.125" style="1" bestFit="1" customWidth="1"/>
    <col min="13" max="13" width="15.125" style="1" bestFit="1" customWidth="1"/>
    <col min="14" max="14" width="12.625" style="1" bestFit="1" customWidth="1"/>
    <col min="15" max="16384" width="9" style="1"/>
  </cols>
  <sheetData>
    <row r="1" spans="2:14" ht="14.25" customHeight="1">
      <c r="B1" s="44" t="s">
        <v>71</v>
      </c>
      <c r="C1" s="45"/>
      <c r="D1" s="45"/>
      <c r="E1" s="45"/>
      <c r="F1" s="45"/>
      <c r="G1" s="45"/>
      <c r="H1" s="45"/>
      <c r="I1" s="46"/>
      <c r="J1" s="47"/>
    </row>
    <row r="2" spans="2:14">
      <c r="B2" s="124" t="s">
        <v>72</v>
      </c>
      <c r="C2" s="125"/>
      <c r="D2" s="125"/>
      <c r="E2" s="125"/>
      <c r="F2" s="125"/>
      <c r="G2" s="125"/>
      <c r="H2" s="125"/>
      <c r="I2" s="125"/>
      <c r="J2" s="126"/>
    </row>
    <row r="3" spans="2:14">
      <c r="B3" s="48"/>
      <c r="C3" s="40"/>
      <c r="D3" s="40"/>
      <c r="E3" s="40"/>
      <c r="F3" s="40"/>
      <c r="G3" s="40"/>
      <c r="H3" s="40"/>
      <c r="I3" s="40" t="s">
        <v>73</v>
      </c>
      <c r="J3" s="49"/>
    </row>
    <row r="4" spans="2:14">
      <c r="B4" s="48" t="s">
        <v>139</v>
      </c>
      <c r="C4" s="40" t="s">
        <v>140</v>
      </c>
      <c r="D4" s="40" t="s">
        <v>141</v>
      </c>
      <c r="E4" s="40" t="s">
        <v>142</v>
      </c>
      <c r="F4" s="40" t="s">
        <v>143</v>
      </c>
      <c r="G4" s="40" t="s">
        <v>144</v>
      </c>
      <c r="H4" s="40" t="s">
        <v>145</v>
      </c>
      <c r="I4" s="40" t="s">
        <v>146</v>
      </c>
      <c r="J4" s="49" t="s">
        <v>147</v>
      </c>
    </row>
    <row r="5" spans="2:14">
      <c r="B5" s="57">
        <v>1</v>
      </c>
      <c r="C5" s="58" t="s">
        <v>82</v>
      </c>
      <c r="D5" s="58" t="s">
        <v>83</v>
      </c>
      <c r="E5" s="58" t="s">
        <v>84</v>
      </c>
      <c r="F5" s="58">
        <v>13</v>
      </c>
      <c r="G5" s="58">
        <v>1800</v>
      </c>
      <c r="H5" s="58">
        <v>315</v>
      </c>
      <c r="I5" s="58">
        <v>2</v>
      </c>
      <c r="J5" s="59" t="s">
        <v>85</v>
      </c>
    </row>
    <row r="6" spans="2:14">
      <c r="B6" s="57">
        <v>2</v>
      </c>
      <c r="C6" s="58" t="s">
        <v>82</v>
      </c>
      <c r="D6" s="58" t="s">
        <v>86</v>
      </c>
      <c r="E6" s="58" t="s">
        <v>84</v>
      </c>
      <c r="F6" s="58">
        <v>13</v>
      </c>
      <c r="G6" s="58">
        <v>1800</v>
      </c>
      <c r="H6" s="58">
        <v>315</v>
      </c>
      <c r="I6" s="58">
        <v>0</v>
      </c>
      <c r="J6" s="59" t="s">
        <v>87</v>
      </c>
    </row>
    <row r="7" spans="2:14" ht="14.25" thickBot="1">
      <c r="B7" s="60">
        <v>3</v>
      </c>
      <c r="C7" s="61" t="s">
        <v>82</v>
      </c>
      <c r="D7" s="61" t="s">
        <v>88</v>
      </c>
      <c r="E7" s="61" t="s">
        <v>89</v>
      </c>
      <c r="F7" s="61">
        <v>14</v>
      </c>
      <c r="G7" s="61">
        <v>1800</v>
      </c>
      <c r="H7" s="61">
        <v>315</v>
      </c>
      <c r="I7" s="61">
        <v>2</v>
      </c>
      <c r="J7" s="62" t="s">
        <v>85</v>
      </c>
    </row>
    <row r="8" spans="2:14" ht="14.25" thickBot="1"/>
    <row r="9" spans="2:14">
      <c r="B9" s="127" t="s">
        <v>90</v>
      </c>
      <c r="C9" s="128"/>
      <c r="D9" s="128"/>
      <c r="E9" s="128"/>
      <c r="F9" s="128"/>
      <c r="G9" s="128"/>
      <c r="H9" s="128"/>
      <c r="I9" s="128"/>
      <c r="J9" s="129"/>
    </row>
    <row r="10" spans="2:14">
      <c r="B10" s="48"/>
      <c r="C10" s="40"/>
      <c r="D10" s="40"/>
      <c r="E10" s="40"/>
      <c r="F10" s="40"/>
      <c r="G10" s="40"/>
      <c r="H10" s="40" t="s">
        <v>73</v>
      </c>
      <c r="I10" s="40"/>
      <c r="J10" s="49"/>
    </row>
    <row r="11" spans="2:14">
      <c r="B11" s="48" t="s">
        <v>74</v>
      </c>
      <c r="C11" s="40" t="s">
        <v>75</v>
      </c>
      <c r="D11" s="40" t="s">
        <v>76</v>
      </c>
      <c r="E11" s="40" t="s">
        <v>77</v>
      </c>
      <c r="F11" s="40" t="s">
        <v>78</v>
      </c>
      <c r="G11" s="40" t="s">
        <v>79</v>
      </c>
      <c r="H11" s="40" t="s">
        <v>80</v>
      </c>
      <c r="I11" s="40" t="s">
        <v>91</v>
      </c>
      <c r="J11" s="49" t="s">
        <v>81</v>
      </c>
      <c r="L11" s="70" t="s">
        <v>181</v>
      </c>
      <c r="M11" t="s">
        <v>214</v>
      </c>
      <c r="N11"/>
    </row>
    <row r="12" spans="2:14">
      <c r="B12" s="57">
        <v>4</v>
      </c>
      <c r="C12" s="58" t="s">
        <v>82</v>
      </c>
      <c r="D12" s="58" t="s">
        <v>92</v>
      </c>
      <c r="E12" s="58" t="s">
        <v>84</v>
      </c>
      <c r="F12" s="58">
        <v>14</v>
      </c>
      <c r="G12" s="58">
        <v>1800</v>
      </c>
      <c r="H12" s="58">
        <v>0</v>
      </c>
      <c r="I12" s="58"/>
      <c r="J12" s="59"/>
      <c r="L12" s="71" t="s">
        <v>184</v>
      </c>
      <c r="M12" s="72">
        <v>41</v>
      </c>
      <c r="N12"/>
    </row>
    <row r="13" spans="2:14">
      <c r="B13" s="57">
        <v>5</v>
      </c>
      <c r="C13" s="58" t="s">
        <v>82</v>
      </c>
      <c r="D13" s="58" t="s">
        <v>93</v>
      </c>
      <c r="E13" s="58" t="s">
        <v>84</v>
      </c>
      <c r="F13" s="58">
        <v>18</v>
      </c>
      <c r="G13" s="58">
        <v>1800</v>
      </c>
      <c r="H13" s="58">
        <v>0</v>
      </c>
      <c r="I13" s="58"/>
      <c r="J13" s="59"/>
      <c r="L13" s="25">
        <v>1800</v>
      </c>
      <c r="M13" s="72">
        <v>41</v>
      </c>
      <c r="N13"/>
    </row>
    <row r="14" spans="2:14">
      <c r="B14" s="57">
        <v>6</v>
      </c>
      <c r="C14" s="58" t="s">
        <v>82</v>
      </c>
      <c r="D14" s="58" t="s">
        <v>94</v>
      </c>
      <c r="E14" s="58" t="s">
        <v>84</v>
      </c>
      <c r="F14" s="58">
        <v>13</v>
      </c>
      <c r="G14" s="58">
        <v>1800</v>
      </c>
      <c r="H14" s="58">
        <v>1</v>
      </c>
      <c r="I14" s="58"/>
      <c r="J14" s="59"/>
      <c r="L14" s="71" t="s">
        <v>185</v>
      </c>
      <c r="M14" s="72">
        <v>41</v>
      </c>
      <c r="N14"/>
    </row>
    <row r="15" spans="2:14">
      <c r="B15" s="57">
        <v>7</v>
      </c>
      <c r="C15" s="58" t="s">
        <v>82</v>
      </c>
      <c r="D15" s="58" t="s">
        <v>95</v>
      </c>
      <c r="E15" s="58" t="s">
        <v>84</v>
      </c>
      <c r="F15" s="58">
        <v>14</v>
      </c>
      <c r="G15" s="58">
        <v>1800</v>
      </c>
      <c r="H15" s="58">
        <v>0</v>
      </c>
      <c r="I15" s="58"/>
      <c r="J15" s="59"/>
      <c r="L15"/>
      <c r="M15"/>
      <c r="N15"/>
    </row>
    <row r="16" spans="2:14">
      <c r="B16" s="57">
        <v>8</v>
      </c>
      <c r="C16" s="58" t="s">
        <v>82</v>
      </c>
      <c r="D16" s="58" t="s">
        <v>96</v>
      </c>
      <c r="E16" s="58" t="s">
        <v>84</v>
      </c>
      <c r="F16" s="58">
        <v>13</v>
      </c>
      <c r="G16" s="58">
        <v>1800</v>
      </c>
      <c r="H16" s="58">
        <v>0</v>
      </c>
      <c r="I16" s="58"/>
      <c r="J16" s="59"/>
      <c r="L16"/>
      <c r="M16"/>
      <c r="N16"/>
    </row>
    <row r="17" spans="2:14">
      <c r="B17" s="57">
        <v>9</v>
      </c>
      <c r="C17" s="58" t="s">
        <v>82</v>
      </c>
      <c r="D17" s="58" t="s">
        <v>97</v>
      </c>
      <c r="E17" s="58" t="s">
        <v>84</v>
      </c>
      <c r="F17" s="58">
        <v>18</v>
      </c>
      <c r="G17" s="58">
        <v>1800</v>
      </c>
      <c r="H17" s="58">
        <v>0</v>
      </c>
      <c r="I17" s="58"/>
      <c r="J17" s="59"/>
      <c r="L17"/>
      <c r="M17"/>
      <c r="N17"/>
    </row>
    <row r="18" spans="2:14">
      <c r="B18" s="57">
        <v>10</v>
      </c>
      <c r="C18" s="58" t="s">
        <v>82</v>
      </c>
      <c r="D18" s="58" t="s">
        <v>98</v>
      </c>
      <c r="E18" s="58" t="s">
        <v>84</v>
      </c>
      <c r="F18" s="58">
        <v>18</v>
      </c>
      <c r="G18" s="58">
        <v>1800</v>
      </c>
      <c r="H18" s="58">
        <v>0</v>
      </c>
      <c r="I18" s="58"/>
      <c r="J18" s="59"/>
      <c r="L18"/>
      <c r="M18"/>
      <c r="N18"/>
    </row>
    <row r="19" spans="2:14">
      <c r="B19" s="57">
        <v>11</v>
      </c>
      <c r="C19" s="58" t="s">
        <v>82</v>
      </c>
      <c r="D19" s="58" t="s">
        <v>99</v>
      </c>
      <c r="E19" s="58" t="s">
        <v>84</v>
      </c>
      <c r="F19" s="58">
        <v>18</v>
      </c>
      <c r="G19" s="58">
        <v>1800</v>
      </c>
      <c r="H19" s="58">
        <v>0</v>
      </c>
      <c r="I19" s="58"/>
      <c r="J19" s="59"/>
      <c r="L19"/>
      <c r="M19"/>
      <c r="N19"/>
    </row>
    <row r="20" spans="2:14">
      <c r="B20" s="57">
        <v>12</v>
      </c>
      <c r="C20" s="58" t="s">
        <v>82</v>
      </c>
      <c r="D20" s="58" t="s">
        <v>100</v>
      </c>
      <c r="E20" s="58" t="s">
        <v>84</v>
      </c>
      <c r="F20" s="58">
        <v>19</v>
      </c>
      <c r="G20" s="58">
        <v>1800</v>
      </c>
      <c r="H20" s="58">
        <v>0</v>
      </c>
      <c r="I20" s="58"/>
      <c r="J20" s="59"/>
      <c r="L20"/>
      <c r="M20"/>
      <c r="N20"/>
    </row>
    <row r="21" spans="2:14">
      <c r="B21" s="57">
        <v>13</v>
      </c>
      <c r="C21" s="58" t="s">
        <v>82</v>
      </c>
      <c r="D21" s="58" t="s">
        <v>101</v>
      </c>
      <c r="E21" s="58" t="s">
        <v>84</v>
      </c>
      <c r="F21" s="58">
        <v>13</v>
      </c>
      <c r="G21" s="58">
        <v>1800</v>
      </c>
      <c r="H21" s="58">
        <v>0</v>
      </c>
      <c r="I21" s="58"/>
      <c r="J21" s="59"/>
      <c r="L21"/>
      <c r="M21"/>
      <c r="N21"/>
    </row>
    <row r="22" spans="2:14">
      <c r="B22" s="57">
        <v>14</v>
      </c>
      <c r="C22" s="58" t="s">
        <v>82</v>
      </c>
      <c r="D22" s="58" t="s">
        <v>102</v>
      </c>
      <c r="E22" s="58" t="s">
        <v>84</v>
      </c>
      <c r="F22" s="58">
        <v>13</v>
      </c>
      <c r="G22" s="58">
        <v>1800</v>
      </c>
      <c r="H22" s="58">
        <v>0</v>
      </c>
      <c r="I22" s="58"/>
      <c r="J22" s="59"/>
      <c r="L22"/>
      <c r="M22"/>
      <c r="N22"/>
    </row>
    <row r="23" spans="2:14">
      <c r="B23" s="63">
        <v>15</v>
      </c>
      <c r="C23" s="64" t="s">
        <v>82</v>
      </c>
      <c r="D23" s="65" t="s">
        <v>103</v>
      </c>
      <c r="E23" s="65" t="s">
        <v>104</v>
      </c>
      <c r="F23" s="65">
        <v>12</v>
      </c>
      <c r="G23" s="65">
        <v>1800</v>
      </c>
      <c r="H23" s="65">
        <v>0</v>
      </c>
      <c r="I23" s="65"/>
      <c r="J23" s="66" t="s">
        <v>148</v>
      </c>
      <c r="L23"/>
      <c r="M23"/>
      <c r="N23"/>
    </row>
    <row r="24" spans="2:14">
      <c r="B24" s="57">
        <v>16</v>
      </c>
      <c r="C24" s="58" t="s">
        <v>82</v>
      </c>
      <c r="D24" s="58" t="s">
        <v>105</v>
      </c>
      <c r="E24" s="58" t="s">
        <v>84</v>
      </c>
      <c r="F24" s="58">
        <v>15</v>
      </c>
      <c r="G24" s="58">
        <v>1800</v>
      </c>
      <c r="H24" s="58">
        <v>0</v>
      </c>
      <c r="I24" s="58"/>
      <c r="J24" s="59"/>
      <c r="L24"/>
      <c r="M24"/>
      <c r="N24"/>
    </row>
    <row r="25" spans="2:14">
      <c r="B25" s="57">
        <v>17</v>
      </c>
      <c r="C25" s="58" t="s">
        <v>82</v>
      </c>
      <c r="D25" s="58" t="s">
        <v>106</v>
      </c>
      <c r="E25" s="58" t="s">
        <v>84</v>
      </c>
      <c r="F25" s="58">
        <v>14</v>
      </c>
      <c r="G25" s="58">
        <v>1800</v>
      </c>
      <c r="H25" s="58">
        <v>0</v>
      </c>
      <c r="I25" s="58"/>
      <c r="J25" s="59"/>
      <c r="L25"/>
      <c r="M25"/>
      <c r="N25"/>
    </row>
    <row r="26" spans="2:14">
      <c r="B26" s="57">
        <v>18</v>
      </c>
      <c r="C26" s="58" t="s">
        <v>82</v>
      </c>
      <c r="D26" s="58" t="s">
        <v>107</v>
      </c>
      <c r="E26" s="58" t="s">
        <v>84</v>
      </c>
      <c r="F26" s="58">
        <v>14</v>
      </c>
      <c r="G26" s="58">
        <v>1800</v>
      </c>
      <c r="H26" s="58">
        <v>0</v>
      </c>
      <c r="I26" s="58"/>
      <c r="J26" s="59"/>
      <c r="L26"/>
      <c r="M26"/>
      <c r="N26"/>
    </row>
    <row r="27" spans="2:14">
      <c r="B27" s="57">
        <v>19</v>
      </c>
      <c r="C27" s="58" t="s">
        <v>82</v>
      </c>
      <c r="D27" s="58" t="s">
        <v>108</v>
      </c>
      <c r="E27" s="58" t="s">
        <v>84</v>
      </c>
      <c r="F27" s="58">
        <v>13</v>
      </c>
      <c r="G27" s="58">
        <v>1800</v>
      </c>
      <c r="H27" s="58">
        <v>0</v>
      </c>
      <c r="I27" s="58"/>
      <c r="J27" s="59"/>
      <c r="L27"/>
      <c r="M27"/>
      <c r="N27"/>
    </row>
    <row r="28" spans="2:14">
      <c r="B28" s="57">
        <v>20</v>
      </c>
      <c r="C28" s="58" t="s">
        <v>82</v>
      </c>
      <c r="D28" s="58" t="s">
        <v>109</v>
      </c>
      <c r="E28" s="58" t="s">
        <v>84</v>
      </c>
      <c r="F28" s="58">
        <v>12</v>
      </c>
      <c r="G28" s="58">
        <v>1800</v>
      </c>
      <c r="H28" s="58">
        <v>2</v>
      </c>
      <c r="I28" s="58"/>
      <c r="J28" s="59"/>
      <c r="L28"/>
      <c r="M28"/>
      <c r="N28"/>
    </row>
    <row r="29" spans="2:14">
      <c r="B29" s="57">
        <v>21</v>
      </c>
      <c r="C29" s="58" t="s">
        <v>82</v>
      </c>
      <c r="D29" s="58" t="s">
        <v>110</v>
      </c>
      <c r="E29" s="58" t="s">
        <v>84</v>
      </c>
      <c r="F29" s="58">
        <v>13</v>
      </c>
      <c r="G29" s="58">
        <v>1800</v>
      </c>
      <c r="H29" s="58">
        <v>0</v>
      </c>
      <c r="I29" s="58"/>
      <c r="J29" s="59"/>
    </row>
    <row r="30" spans="2:14">
      <c r="B30" s="57">
        <v>22</v>
      </c>
      <c r="C30" s="58" t="s">
        <v>82</v>
      </c>
      <c r="D30" s="58" t="s">
        <v>149</v>
      </c>
      <c r="E30" s="58" t="s">
        <v>150</v>
      </c>
      <c r="F30" s="58">
        <v>15</v>
      </c>
      <c r="G30" s="58">
        <v>1800</v>
      </c>
      <c r="H30" s="58">
        <v>1</v>
      </c>
      <c r="I30" s="58"/>
      <c r="J30" s="59"/>
    </row>
    <row r="31" spans="2:14">
      <c r="B31" s="67">
        <v>23</v>
      </c>
      <c r="C31" s="68" t="s">
        <v>151</v>
      </c>
      <c r="D31" s="68" t="s">
        <v>152</v>
      </c>
      <c r="E31" s="68" t="s">
        <v>153</v>
      </c>
      <c r="F31" s="68">
        <v>14</v>
      </c>
      <c r="G31" s="68">
        <v>1800</v>
      </c>
      <c r="H31" s="68">
        <v>1</v>
      </c>
      <c r="I31" s="68"/>
      <c r="J31" s="69"/>
    </row>
    <row r="32" spans="2:14">
      <c r="B32" s="67">
        <v>24</v>
      </c>
      <c r="C32" s="68" t="s">
        <v>151</v>
      </c>
      <c r="D32" s="68" t="s">
        <v>154</v>
      </c>
      <c r="E32" s="68" t="s">
        <v>153</v>
      </c>
      <c r="F32" s="68">
        <v>19</v>
      </c>
      <c r="G32" s="68">
        <v>1800</v>
      </c>
      <c r="H32" s="68">
        <v>3</v>
      </c>
      <c r="I32" s="68"/>
      <c r="J32" s="69"/>
    </row>
    <row r="33" spans="2:10">
      <c r="B33" s="67">
        <v>25</v>
      </c>
      <c r="C33" s="68" t="s">
        <v>151</v>
      </c>
      <c r="D33" s="68" t="s">
        <v>155</v>
      </c>
      <c r="E33" s="68" t="s">
        <v>153</v>
      </c>
      <c r="F33" s="68">
        <v>23</v>
      </c>
      <c r="G33" s="68">
        <v>1800</v>
      </c>
      <c r="H33" s="68">
        <v>1</v>
      </c>
      <c r="I33" s="68"/>
      <c r="J33" s="69"/>
    </row>
    <row r="34" spans="2:10">
      <c r="B34" s="67">
        <v>26</v>
      </c>
      <c r="C34" s="68" t="s">
        <v>151</v>
      </c>
      <c r="D34" s="68" t="s">
        <v>156</v>
      </c>
      <c r="E34" s="68" t="s">
        <v>153</v>
      </c>
      <c r="F34" s="68">
        <v>25</v>
      </c>
      <c r="G34" s="68">
        <v>1800</v>
      </c>
      <c r="H34" s="68">
        <v>4</v>
      </c>
      <c r="I34" s="68">
        <v>1</v>
      </c>
      <c r="J34" s="69"/>
    </row>
    <row r="35" spans="2:10">
      <c r="B35" s="67">
        <v>27</v>
      </c>
      <c r="C35" s="68" t="s">
        <v>151</v>
      </c>
      <c r="D35" s="68" t="s">
        <v>157</v>
      </c>
      <c r="E35" s="68" t="s">
        <v>153</v>
      </c>
      <c r="F35" s="68">
        <v>15</v>
      </c>
      <c r="G35" s="68">
        <v>1800</v>
      </c>
      <c r="H35" s="68">
        <v>1</v>
      </c>
      <c r="I35" s="68"/>
      <c r="J35" s="69"/>
    </row>
    <row r="36" spans="2:10">
      <c r="B36" s="67">
        <v>28</v>
      </c>
      <c r="C36" s="68" t="s">
        <v>151</v>
      </c>
      <c r="D36" s="68" t="s">
        <v>158</v>
      </c>
      <c r="E36" s="68" t="s">
        <v>153</v>
      </c>
      <c r="F36" s="68">
        <v>12</v>
      </c>
      <c r="G36" s="68">
        <v>1800</v>
      </c>
      <c r="H36" s="68">
        <v>5</v>
      </c>
      <c r="I36" s="68"/>
      <c r="J36" s="69"/>
    </row>
    <row r="37" spans="2:10">
      <c r="B37" s="67">
        <v>29</v>
      </c>
      <c r="C37" s="68" t="s">
        <v>151</v>
      </c>
      <c r="D37" s="68" t="s">
        <v>159</v>
      </c>
      <c r="E37" s="68" t="s">
        <v>153</v>
      </c>
      <c r="F37" s="68">
        <v>24</v>
      </c>
      <c r="G37" s="68">
        <v>1800</v>
      </c>
      <c r="H37" s="68">
        <v>0</v>
      </c>
      <c r="I37" s="68"/>
      <c r="J37" s="69"/>
    </row>
    <row r="38" spans="2:10">
      <c r="B38" s="67">
        <v>30</v>
      </c>
      <c r="C38" s="68" t="s">
        <v>151</v>
      </c>
      <c r="D38" s="68" t="s">
        <v>160</v>
      </c>
      <c r="E38" s="68" t="s">
        <v>153</v>
      </c>
      <c r="F38" s="68">
        <v>13</v>
      </c>
      <c r="G38" s="68">
        <v>1800</v>
      </c>
      <c r="H38" s="68">
        <v>4</v>
      </c>
      <c r="I38" s="68"/>
      <c r="J38" s="69"/>
    </row>
    <row r="39" spans="2:10">
      <c r="B39" s="67">
        <v>31</v>
      </c>
      <c r="C39" s="68" t="s">
        <v>151</v>
      </c>
      <c r="D39" s="68" t="s">
        <v>161</v>
      </c>
      <c r="E39" s="68" t="s">
        <v>153</v>
      </c>
      <c r="F39" s="68">
        <v>12</v>
      </c>
      <c r="G39" s="68">
        <v>1800</v>
      </c>
      <c r="H39" s="68">
        <v>5</v>
      </c>
      <c r="I39" s="68"/>
      <c r="J39" s="69"/>
    </row>
    <row r="40" spans="2:10">
      <c r="B40" s="67">
        <v>32</v>
      </c>
      <c r="C40" s="68" t="s">
        <v>151</v>
      </c>
      <c r="D40" s="68" t="s">
        <v>162</v>
      </c>
      <c r="E40" s="68" t="s">
        <v>153</v>
      </c>
      <c r="F40" s="68">
        <v>19</v>
      </c>
      <c r="G40" s="68">
        <v>1800</v>
      </c>
      <c r="H40" s="68">
        <v>2</v>
      </c>
      <c r="I40" s="68"/>
      <c r="J40" s="69"/>
    </row>
    <row r="41" spans="2:10">
      <c r="B41" s="67">
        <v>33</v>
      </c>
      <c r="C41" s="68" t="s">
        <v>151</v>
      </c>
      <c r="D41" s="68" t="s">
        <v>163</v>
      </c>
      <c r="E41" s="68" t="s">
        <v>153</v>
      </c>
      <c r="F41" s="68">
        <v>12</v>
      </c>
      <c r="G41" s="68">
        <v>1800</v>
      </c>
      <c r="H41" s="68">
        <v>3</v>
      </c>
      <c r="I41" s="68"/>
      <c r="J41" s="69"/>
    </row>
    <row r="42" spans="2:10">
      <c r="B42" s="67">
        <v>34</v>
      </c>
      <c r="C42" s="68" t="s">
        <v>151</v>
      </c>
      <c r="D42" s="68" t="s">
        <v>164</v>
      </c>
      <c r="E42" s="68" t="s">
        <v>153</v>
      </c>
      <c r="F42" s="68">
        <v>12</v>
      </c>
      <c r="G42" s="68">
        <v>1800</v>
      </c>
      <c r="H42" s="68">
        <v>1</v>
      </c>
      <c r="I42" s="68"/>
      <c r="J42" s="69"/>
    </row>
    <row r="43" spans="2:10">
      <c r="B43" s="67">
        <v>35</v>
      </c>
      <c r="C43" s="68" t="s">
        <v>151</v>
      </c>
      <c r="D43" s="68" t="s">
        <v>165</v>
      </c>
      <c r="E43" s="68" t="s">
        <v>153</v>
      </c>
      <c r="F43" s="68">
        <v>13</v>
      </c>
      <c r="G43" s="68">
        <v>1800</v>
      </c>
      <c r="H43" s="68">
        <v>2</v>
      </c>
      <c r="I43" s="68"/>
      <c r="J43" s="69"/>
    </row>
    <row r="44" spans="2:10">
      <c r="B44" s="67">
        <v>36</v>
      </c>
      <c r="C44" s="68" t="s">
        <v>151</v>
      </c>
      <c r="D44" s="68" t="s">
        <v>166</v>
      </c>
      <c r="E44" s="68" t="s">
        <v>153</v>
      </c>
      <c r="F44" s="68">
        <v>14</v>
      </c>
      <c r="G44" s="68">
        <v>1800</v>
      </c>
      <c r="H44" s="68">
        <v>2</v>
      </c>
      <c r="I44" s="68"/>
      <c r="J44" s="69"/>
    </row>
    <row r="45" spans="2:10">
      <c r="B45" s="67">
        <v>37</v>
      </c>
      <c r="C45" s="68" t="s">
        <v>151</v>
      </c>
      <c r="D45" s="68" t="s">
        <v>167</v>
      </c>
      <c r="E45" s="68" t="s">
        <v>153</v>
      </c>
      <c r="F45" s="68">
        <v>14</v>
      </c>
      <c r="G45" s="68">
        <v>1800</v>
      </c>
      <c r="H45" s="68">
        <v>0</v>
      </c>
      <c r="I45" s="68"/>
      <c r="J45" s="69"/>
    </row>
    <row r="46" spans="2:10">
      <c r="B46" s="67">
        <v>38</v>
      </c>
      <c r="C46" s="68" t="s">
        <v>151</v>
      </c>
      <c r="D46" s="68" t="s">
        <v>168</v>
      </c>
      <c r="E46" s="68" t="s">
        <v>153</v>
      </c>
      <c r="F46" s="68">
        <v>14</v>
      </c>
      <c r="G46" s="68">
        <v>1800</v>
      </c>
      <c r="H46" s="68">
        <v>1</v>
      </c>
      <c r="I46" s="68"/>
      <c r="J46" s="69"/>
    </row>
    <row r="47" spans="2:10">
      <c r="B47" s="67">
        <v>39</v>
      </c>
      <c r="C47" s="68" t="s">
        <v>151</v>
      </c>
      <c r="D47" s="68" t="s">
        <v>169</v>
      </c>
      <c r="E47" s="68" t="s">
        <v>153</v>
      </c>
      <c r="F47" s="68">
        <v>15</v>
      </c>
      <c r="G47" s="68">
        <v>1800</v>
      </c>
      <c r="H47" s="68">
        <v>0</v>
      </c>
      <c r="I47" s="68"/>
      <c r="J47" s="69"/>
    </row>
    <row r="48" spans="2:10">
      <c r="B48" s="67">
        <v>40</v>
      </c>
      <c r="C48" s="68" t="s">
        <v>151</v>
      </c>
      <c r="D48" s="68" t="s">
        <v>170</v>
      </c>
      <c r="E48" s="68" t="s">
        <v>153</v>
      </c>
      <c r="F48" s="68">
        <v>19</v>
      </c>
      <c r="G48" s="68">
        <v>1800</v>
      </c>
      <c r="H48" s="68">
        <v>1</v>
      </c>
      <c r="I48" s="68"/>
      <c r="J48" s="69"/>
    </row>
    <row r="49" spans="2:10" ht="14.25" thickBot="1">
      <c r="B49" s="60">
        <v>41</v>
      </c>
      <c r="C49" s="61" t="s">
        <v>151</v>
      </c>
      <c r="D49" s="61" t="s">
        <v>171</v>
      </c>
      <c r="E49" s="61" t="s">
        <v>153</v>
      </c>
      <c r="F49" s="61">
        <v>14</v>
      </c>
      <c r="G49" s="61">
        <v>1800</v>
      </c>
      <c r="H49" s="61">
        <v>1</v>
      </c>
      <c r="I49" s="61"/>
      <c r="J49" s="62"/>
    </row>
  </sheetData>
  <mergeCells count="2">
    <mergeCell ref="B2:J2"/>
    <mergeCell ref="B9:J9"/>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report</vt:lpstr>
      <vt:lpstr>MARUWA result</vt:lpstr>
      <vt:lpstr>pana result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2015-08-12T08:29:52Z</cp:lastPrinted>
  <dcterms:created xsi:type="dcterms:W3CDTF">2015-08-10T06:10:12Z</dcterms:created>
  <dcterms:modified xsi:type="dcterms:W3CDTF">2015-08-12T11:28:38Z</dcterms:modified>
</cp:coreProperties>
</file>