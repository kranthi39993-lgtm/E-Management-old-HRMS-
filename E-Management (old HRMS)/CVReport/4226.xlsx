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hare\vision 2015\QAID\SUBS\2016 B.Trip Report\Customer\KAMAYA\REWORK\"/>
    </mc:Choice>
  </mc:AlternateContent>
  <bookViews>
    <workbookView xWindow="0" yWindow="0" windowWidth="13470" windowHeight="5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" i="1" l="1"/>
  <c r="G41" i="1"/>
  <c r="F37" i="1"/>
  <c r="G37" i="1" s="1"/>
  <c r="E31" i="1"/>
  <c r="E32" i="1"/>
  <c r="E30" i="1"/>
  <c r="F33" i="1"/>
  <c r="D33" i="1"/>
  <c r="G32" i="1"/>
  <c r="G31" i="1"/>
  <c r="G30" i="1"/>
  <c r="E26" i="1"/>
  <c r="D26" i="1"/>
  <c r="F19" i="1"/>
  <c r="G19" i="1" s="1"/>
  <c r="F20" i="1"/>
  <c r="F21" i="1"/>
  <c r="G21" i="1" s="1"/>
  <c r="F22" i="1"/>
  <c r="G22" i="1" s="1"/>
  <c r="F23" i="1"/>
  <c r="F24" i="1"/>
  <c r="G24" i="1" s="1"/>
  <c r="G25" i="1"/>
  <c r="F18" i="1"/>
  <c r="G18" i="1" s="1"/>
  <c r="G23" i="1"/>
  <c r="G20" i="1"/>
  <c r="G8" i="1"/>
  <c r="G9" i="1"/>
  <c r="G10" i="1"/>
  <c r="G11" i="1"/>
  <c r="G12" i="1"/>
  <c r="G13" i="1"/>
  <c r="G7" i="1"/>
  <c r="D14" i="1"/>
  <c r="F14" i="1"/>
  <c r="E10" i="1"/>
  <c r="E11" i="1"/>
  <c r="E12" i="1"/>
  <c r="E13" i="1"/>
  <c r="E9" i="1"/>
  <c r="G14" i="1" l="1"/>
  <c r="E33" i="1"/>
  <c r="G33" i="1"/>
  <c r="E14" i="1"/>
  <c r="F26" i="1"/>
  <c r="G26" i="1" l="1"/>
  <c r="F45" i="1"/>
  <c r="G45" i="1" s="1"/>
</calcChain>
</file>

<file path=xl/sharedStrings.xml><?xml version="1.0" encoding="utf-8"?>
<sst xmlns="http://schemas.openxmlformats.org/spreadsheetml/2006/main" count="73" uniqueCount="38">
  <si>
    <t>Carton No.</t>
  </si>
  <si>
    <t>Rank</t>
  </si>
  <si>
    <t>Input Qty</t>
  </si>
  <si>
    <t>NG</t>
  </si>
  <si>
    <t>OK</t>
  </si>
  <si>
    <t>16-G01424</t>
  </si>
  <si>
    <t>16-G07703</t>
  </si>
  <si>
    <t>16-G07684</t>
  </si>
  <si>
    <t>16-G01348</t>
  </si>
  <si>
    <t>16-G07307</t>
  </si>
  <si>
    <t>16-G07527</t>
  </si>
  <si>
    <t>16-G07600</t>
  </si>
  <si>
    <t>NG %</t>
  </si>
  <si>
    <t>LOT NO:</t>
  </si>
  <si>
    <t>RT12</t>
  </si>
  <si>
    <t>PRODUCT:</t>
  </si>
  <si>
    <t>594BS</t>
  </si>
  <si>
    <t>16-G01112</t>
  </si>
  <si>
    <t>16-G01048</t>
  </si>
  <si>
    <t>16-G00935</t>
  </si>
  <si>
    <t>16-G01556</t>
  </si>
  <si>
    <t>16-G01114</t>
  </si>
  <si>
    <t>16-G06093</t>
  </si>
  <si>
    <t>16-G01914</t>
  </si>
  <si>
    <t>16-G01428</t>
  </si>
  <si>
    <t>DATE: 25 &amp; 26 Aug 2016</t>
  </si>
  <si>
    <t>No.</t>
  </si>
  <si>
    <t>REWORK RESULT</t>
  </si>
  <si>
    <t>PROBLEM:</t>
  </si>
  <si>
    <t>CRACK</t>
  </si>
  <si>
    <t>16-G01835</t>
  </si>
  <si>
    <t>16-G06129</t>
  </si>
  <si>
    <t>16-G01371</t>
  </si>
  <si>
    <t>16-G06047</t>
  </si>
  <si>
    <t>16-G02054</t>
  </si>
  <si>
    <t>SUMMARY (20 CARTONS)</t>
  </si>
  <si>
    <t>ALL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</si>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</sst>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0" fillId="0" borderId="2" xfId="0" applyBorder="1"/>
    <xf numFmtId="0" fontId="0" fillId="0" borderId="1" xfId="0" applyFill="1" applyBorder="1"/>
    <xf numFmtId="0" fontId="3" fillId="0" borderId="0" xfId="0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selection activeCell="C10" sqref="C10"/>
    </sheetView>
  </sheetViews>
  <sheetFormatPr defaultRowHeight="15" x14ac:dyDescent="0.25"/>
  <cols>
    <col min="1" max="1" width="5.42578125" customWidth="1"/>
    <col min="2" max="2" width="16.140625" customWidth="1"/>
    <col min="7" max="7" width="11.7109375" customWidth="1"/>
  </cols>
  <sheetData>
    <row r="1" spans="1:7" ht="23.25" x14ac:dyDescent="0.35">
      <c r="A1" s="6" t="s">
        <v>27</v>
      </c>
      <c r="B1" s="6"/>
      <c r="C1" s="6"/>
      <c r="D1" s="6"/>
      <c r="E1" s="6"/>
      <c r="F1" s="6"/>
      <c r="G1" s="6"/>
    </row>
    <row r="2" spans="1:7" x14ac:dyDescent="0.25">
      <c r="B2" t="s">
        <v>15</v>
      </c>
      <c r="C2" t="s">
        <v>16</v>
      </c>
      <c r="F2" t="s">
        <v>25</v>
      </c>
    </row>
    <row r="3" spans="1:7" x14ac:dyDescent="0.25">
      <c r="B3" t="s">
        <v>13</v>
      </c>
      <c r="C3" t="s">
        <v>14</v>
      </c>
    </row>
    <row r="4" spans="1:7" x14ac:dyDescent="0.25">
      <c r="B4" t="s">
        <v>28</v>
      </c>
      <c r="C4" t="s">
        <v>29</v>
      </c>
    </row>
    <row r="6" spans="1:7" x14ac:dyDescent="0.25">
      <c r="A6" s="1" t="s">
        <v>26</v>
      </c>
      <c r="B6" s="1" t="s">
        <v>0</v>
      </c>
      <c r="C6" s="1" t="s">
        <v>1</v>
      </c>
      <c r="D6" s="1" t="s">
        <v>2</v>
      </c>
      <c r="E6" s="1" t="s">
        <v>4</v>
      </c>
      <c r="F6" s="1" t="s">
        <v>3</v>
      </c>
      <c r="G6" s="1" t="s">
        <v>12</v>
      </c>
    </row>
    <row r="7" spans="1:7" x14ac:dyDescent="0.25">
      <c r="A7" s="1">
        <v>1</v>
      </c>
      <c r="B7" s="1" t="s">
        <v>5</v>
      </c>
      <c r="C7" s="1">
        <v>53</v>
      </c>
      <c r="D7" s="1">
        <v>2000</v>
      </c>
      <c r="E7" s="1">
        <v>1975</v>
      </c>
      <c r="F7" s="1">
        <v>25</v>
      </c>
      <c r="G7" s="2">
        <f>F7/D7</f>
        <v>1.2500000000000001E-2</v>
      </c>
    </row>
    <row r="8" spans="1:7" x14ac:dyDescent="0.25">
      <c r="A8" s="1">
        <v>2</v>
      </c>
      <c r="B8" s="1" t="s">
        <v>6</v>
      </c>
      <c r="C8" s="1">
        <v>53</v>
      </c>
      <c r="D8" s="1">
        <v>2000</v>
      </c>
      <c r="E8" s="1">
        <v>1968</v>
      </c>
      <c r="F8" s="1">
        <v>32</v>
      </c>
      <c r="G8" s="2">
        <f t="shared" ref="G8:G14" si="0">F8/D8</f>
        <v>1.6E-2</v>
      </c>
    </row>
    <row r="9" spans="1:7" x14ac:dyDescent="0.25">
      <c r="A9" s="1">
        <v>3</v>
      </c>
      <c r="B9" s="1" t="s">
        <v>7</v>
      </c>
      <c r="C9" s="1">
        <v>53</v>
      </c>
      <c r="D9" s="1">
        <v>2000</v>
      </c>
      <c r="E9" s="1">
        <f>D9-F9</f>
        <v>1969</v>
      </c>
      <c r="F9" s="1">
        <v>31</v>
      </c>
      <c r="G9" s="2">
        <f t="shared" si="0"/>
        <v>1.55E-2</v>
      </c>
    </row>
    <row r="10" spans="1:7" x14ac:dyDescent="0.25">
      <c r="A10" s="1">
        <v>4</v>
      </c>
      <c r="B10" s="1" t="s">
        <v>8</v>
      </c>
      <c r="C10" s="1">
        <v>53</v>
      </c>
      <c r="D10" s="1">
        <v>2000</v>
      </c>
      <c r="E10" s="1">
        <f>D10-F10</f>
        <v>1985</v>
      </c>
      <c r="F10" s="1">
        <v>15</v>
      </c>
      <c r="G10" s="2">
        <f t="shared" si="0"/>
        <v>7.4999999999999997E-3</v>
      </c>
    </row>
    <row r="11" spans="1:7" x14ac:dyDescent="0.25">
      <c r="A11" s="1">
        <v>5</v>
      </c>
      <c r="B11" s="1" t="s">
        <v>9</v>
      </c>
      <c r="C11" s="1">
        <v>53</v>
      </c>
      <c r="D11" s="1">
        <v>2000</v>
      </c>
      <c r="E11" s="1">
        <f>D11-F11</f>
        <v>1972</v>
      </c>
      <c r="F11" s="1">
        <v>28</v>
      </c>
      <c r="G11" s="2">
        <f t="shared" si="0"/>
        <v>1.4E-2</v>
      </c>
    </row>
    <row r="12" spans="1:7" x14ac:dyDescent="0.25">
      <c r="A12" s="1">
        <v>6</v>
      </c>
      <c r="B12" s="1" t="s">
        <v>10</v>
      </c>
      <c r="C12" s="1">
        <v>53</v>
      </c>
      <c r="D12" s="1">
        <v>2000</v>
      </c>
      <c r="E12" s="1">
        <f>D12-F12</f>
        <v>1958</v>
      </c>
      <c r="F12" s="1">
        <v>42</v>
      </c>
      <c r="G12" s="2">
        <f t="shared" si="0"/>
        <v>2.1000000000000001E-2</v>
      </c>
    </row>
    <row r="13" spans="1:7" x14ac:dyDescent="0.25">
      <c r="A13" s="1">
        <v>7</v>
      </c>
      <c r="B13" s="1" t="s">
        <v>11</v>
      </c>
      <c r="C13" s="1">
        <v>53</v>
      </c>
      <c r="D13" s="1">
        <v>2000</v>
      </c>
      <c r="E13" s="1">
        <f>D13-F13</f>
        <v>1962</v>
      </c>
      <c r="F13" s="1">
        <v>38</v>
      </c>
      <c r="G13" s="2">
        <f t="shared" si="0"/>
        <v>1.9E-2</v>
      </c>
    </row>
    <row r="14" spans="1:7" x14ac:dyDescent="0.25">
      <c r="D14" s="1">
        <f t="shared" ref="D14:F14" si="1">SUM(D7:D13)</f>
        <v>14000</v>
      </c>
      <c r="E14" s="1">
        <f>SUM(E7:E13)</f>
        <v>13789</v>
      </c>
      <c r="F14" s="1">
        <f t="shared" si="1"/>
        <v>211</v>
      </c>
      <c r="G14" s="2">
        <f t="shared" si="0"/>
        <v>1.5071428571428571E-2</v>
      </c>
    </row>
    <row r="17" spans="1:7" x14ac:dyDescent="0.25">
      <c r="A17" s="1" t="s">
        <v>26</v>
      </c>
      <c r="B17" s="1" t="s">
        <v>0</v>
      </c>
      <c r="C17" s="1" t="s">
        <v>1</v>
      </c>
      <c r="D17" s="1" t="s">
        <v>2</v>
      </c>
      <c r="E17" s="1" t="s">
        <v>4</v>
      </c>
      <c r="F17" s="1" t="s">
        <v>3</v>
      </c>
      <c r="G17" s="1" t="s">
        <v>12</v>
      </c>
    </row>
    <row r="18" spans="1:7" x14ac:dyDescent="0.25">
      <c r="A18" s="1">
        <v>1</v>
      </c>
      <c r="B18" s="1" t="s">
        <v>17</v>
      </c>
      <c r="C18" s="1">
        <v>43</v>
      </c>
      <c r="D18" s="1">
        <v>2000</v>
      </c>
      <c r="E18" s="1">
        <v>1964</v>
      </c>
      <c r="F18" s="1">
        <f>D18-E18</f>
        <v>36</v>
      </c>
      <c r="G18" s="2">
        <f>F18/D18</f>
        <v>1.7999999999999999E-2</v>
      </c>
    </row>
    <row r="19" spans="1:7" x14ac:dyDescent="0.25">
      <c r="A19" s="1">
        <v>2</v>
      </c>
      <c r="B19" s="1" t="s">
        <v>18</v>
      </c>
      <c r="C19" s="1">
        <v>43</v>
      </c>
      <c r="D19" s="1">
        <v>2000</v>
      </c>
      <c r="E19" s="1">
        <v>1984</v>
      </c>
      <c r="F19" s="1">
        <f t="shared" ref="F19:F24" si="2">D19-E19</f>
        <v>16</v>
      </c>
      <c r="G19" s="2">
        <f t="shared" ref="G19:G26" si="3">F19/D19</f>
        <v>8.0000000000000002E-3</v>
      </c>
    </row>
    <row r="20" spans="1:7" x14ac:dyDescent="0.25">
      <c r="A20" s="1">
        <v>3</v>
      </c>
      <c r="B20" s="1" t="s">
        <v>19</v>
      </c>
      <c r="C20" s="1">
        <v>43</v>
      </c>
      <c r="D20" s="1">
        <v>2000</v>
      </c>
      <c r="E20" s="1">
        <v>1974</v>
      </c>
      <c r="F20" s="1">
        <f t="shared" si="2"/>
        <v>26</v>
      </c>
      <c r="G20" s="2">
        <f t="shared" si="3"/>
        <v>1.2999999999999999E-2</v>
      </c>
    </row>
    <row r="21" spans="1:7" x14ac:dyDescent="0.25">
      <c r="A21" s="1">
        <v>4</v>
      </c>
      <c r="B21" s="1" t="s">
        <v>20</v>
      </c>
      <c r="C21" s="1">
        <v>43</v>
      </c>
      <c r="D21" s="1">
        <v>2000</v>
      </c>
      <c r="E21" s="1">
        <v>1946</v>
      </c>
      <c r="F21" s="1">
        <f t="shared" si="2"/>
        <v>54</v>
      </c>
      <c r="G21" s="2">
        <f t="shared" si="3"/>
        <v>2.7E-2</v>
      </c>
    </row>
    <row r="22" spans="1:7" x14ac:dyDescent="0.25">
      <c r="A22" s="1">
        <v>5</v>
      </c>
      <c r="B22" s="1" t="s">
        <v>21</v>
      </c>
      <c r="C22" s="1">
        <v>43</v>
      </c>
      <c r="D22" s="1">
        <v>2000</v>
      </c>
      <c r="E22" s="1">
        <v>1939</v>
      </c>
      <c r="F22" s="1">
        <f t="shared" si="2"/>
        <v>61</v>
      </c>
      <c r="G22" s="2">
        <f t="shared" si="3"/>
        <v>3.0499999999999999E-2</v>
      </c>
    </row>
    <row r="23" spans="1:7" x14ac:dyDescent="0.25">
      <c r="A23" s="1">
        <v>6</v>
      </c>
      <c r="B23" s="1" t="s">
        <v>22</v>
      </c>
      <c r="C23" s="1">
        <v>43</v>
      </c>
      <c r="D23" s="1">
        <v>2000</v>
      </c>
      <c r="E23" s="1">
        <v>1985</v>
      </c>
      <c r="F23" s="1">
        <f t="shared" si="2"/>
        <v>15</v>
      </c>
      <c r="G23" s="2">
        <f t="shared" si="3"/>
        <v>7.4999999999999997E-3</v>
      </c>
    </row>
    <row r="24" spans="1:7" x14ac:dyDescent="0.25">
      <c r="A24" s="1">
        <v>7</v>
      </c>
      <c r="B24" s="1" t="s">
        <v>23</v>
      </c>
      <c r="C24" s="3">
        <v>43</v>
      </c>
      <c r="D24" s="1">
        <v>2000</v>
      </c>
      <c r="E24" s="4">
        <v>1966</v>
      </c>
      <c r="F24" s="1">
        <f t="shared" si="2"/>
        <v>34</v>
      </c>
      <c r="G24" s="2">
        <f t="shared" si="3"/>
        <v>1.7000000000000001E-2</v>
      </c>
    </row>
    <row r="25" spans="1:7" x14ac:dyDescent="0.25">
      <c r="A25" s="1">
        <v>8</v>
      </c>
      <c r="B25" s="1" t="s">
        <v>24</v>
      </c>
      <c r="C25" s="3">
        <v>43</v>
      </c>
      <c r="D25" s="1">
        <v>2000</v>
      </c>
      <c r="E25" s="4">
        <v>1972</v>
      </c>
      <c r="F25" s="1">
        <v>28</v>
      </c>
      <c r="G25" s="2">
        <f t="shared" si="3"/>
        <v>1.4E-2</v>
      </c>
    </row>
    <row r="26" spans="1:7" x14ac:dyDescent="0.25">
      <c r="D26" s="1">
        <f>SUM(D18:D25)</f>
        <v>16000</v>
      </c>
      <c r="E26" s="1">
        <f t="shared" ref="E26:F26" si="4">SUM(E18:E25)</f>
        <v>15730</v>
      </c>
      <c r="F26" s="1">
        <f t="shared" si="4"/>
        <v>270</v>
      </c>
      <c r="G26" s="2">
        <f t="shared" si="3"/>
        <v>1.6875000000000001E-2</v>
      </c>
    </row>
    <row r="29" spans="1:7" x14ac:dyDescent="0.25">
      <c r="A29" s="1" t="s">
        <v>26</v>
      </c>
      <c r="B29" s="1" t="s">
        <v>0</v>
      </c>
      <c r="C29" s="1" t="s">
        <v>1</v>
      </c>
      <c r="D29" s="1" t="s">
        <v>2</v>
      </c>
      <c r="E29" s="1" t="s">
        <v>4</v>
      </c>
      <c r="F29" s="1" t="s">
        <v>3</v>
      </c>
      <c r="G29" s="1" t="s">
        <v>12</v>
      </c>
    </row>
    <row r="30" spans="1:7" x14ac:dyDescent="0.25">
      <c r="A30" s="1">
        <v>1</v>
      </c>
      <c r="B30" s="1" t="s">
        <v>30</v>
      </c>
      <c r="C30" s="1">
        <v>42</v>
      </c>
      <c r="D30" s="1">
        <v>2000</v>
      </c>
      <c r="E30" s="1">
        <f>D30-F30</f>
        <v>1975</v>
      </c>
      <c r="F30" s="1">
        <v>25</v>
      </c>
      <c r="G30" s="2">
        <f>F30/D30</f>
        <v>1.2500000000000001E-2</v>
      </c>
    </row>
    <row r="31" spans="1:7" x14ac:dyDescent="0.25">
      <c r="A31" s="1">
        <v>2</v>
      </c>
      <c r="B31" s="1" t="s">
        <v>31</v>
      </c>
      <c r="C31" s="1">
        <v>42</v>
      </c>
      <c r="D31" s="1">
        <v>2000</v>
      </c>
      <c r="E31" s="1">
        <f t="shared" ref="E31:E32" si="5">D31-F31</f>
        <v>1982</v>
      </c>
      <c r="F31" s="1">
        <v>18</v>
      </c>
      <c r="G31" s="2">
        <f t="shared" ref="G31:G33" si="6">F31/D31</f>
        <v>8.9999999999999993E-3</v>
      </c>
    </row>
    <row r="32" spans="1:7" x14ac:dyDescent="0.25">
      <c r="A32" s="1">
        <v>3</v>
      </c>
      <c r="B32" s="1" t="s">
        <v>32</v>
      </c>
      <c r="C32" s="1">
        <v>42</v>
      </c>
      <c r="D32" s="1">
        <v>2000</v>
      </c>
      <c r="E32" s="1">
        <f t="shared" si="5"/>
        <v>1979</v>
      </c>
      <c r="F32" s="1">
        <v>21</v>
      </c>
      <c r="G32" s="2">
        <f t="shared" si="6"/>
        <v>1.0500000000000001E-2</v>
      </c>
    </row>
    <row r="33" spans="1:7" x14ac:dyDescent="0.25">
      <c r="D33" s="1">
        <f>SUM(D30:D32)</f>
        <v>6000</v>
      </c>
      <c r="E33" s="1">
        <f t="shared" ref="E33:F33" si="7">SUM(E30:E32)</f>
        <v>5936</v>
      </c>
      <c r="F33" s="1">
        <f t="shared" si="7"/>
        <v>64</v>
      </c>
      <c r="G33" s="2">
        <f t="shared" si="6"/>
        <v>1.0666666666666666E-2</v>
      </c>
    </row>
    <row r="36" spans="1:7" x14ac:dyDescent="0.25">
      <c r="A36" s="1" t="s">
        <v>26</v>
      </c>
      <c r="B36" s="1" t="s">
        <v>0</v>
      </c>
      <c r="C36" s="1" t="s">
        <v>1</v>
      </c>
      <c r="D36" s="1" t="s">
        <v>2</v>
      </c>
      <c r="E36" s="1" t="s">
        <v>4</v>
      </c>
      <c r="F36" s="1" t="s">
        <v>3</v>
      </c>
      <c r="G36" s="1" t="s">
        <v>12</v>
      </c>
    </row>
    <row r="37" spans="1:7" x14ac:dyDescent="0.25">
      <c r="A37" s="1">
        <v>1</v>
      </c>
      <c r="B37" s="1" t="s">
        <v>33</v>
      </c>
      <c r="C37" s="1">
        <v>33</v>
      </c>
      <c r="D37" s="1">
        <v>2000</v>
      </c>
      <c r="E37" s="1">
        <v>1972</v>
      </c>
      <c r="F37" s="1">
        <f>D37-E37</f>
        <v>28</v>
      </c>
      <c r="G37" s="2">
        <f>F37/D37</f>
        <v>1.4E-2</v>
      </c>
    </row>
    <row r="40" spans="1:7" x14ac:dyDescent="0.25">
      <c r="A40" s="1" t="s">
        <v>26</v>
      </c>
      <c r="B40" s="1" t="s">
        <v>0</v>
      </c>
      <c r="C40" s="1" t="s">
        <v>1</v>
      </c>
      <c r="D40" s="1" t="s">
        <v>2</v>
      </c>
      <c r="E40" s="1" t="s">
        <v>4</v>
      </c>
      <c r="F40" s="1" t="s">
        <v>3</v>
      </c>
      <c r="G40" s="1" t="s">
        <v>12</v>
      </c>
    </row>
    <row r="41" spans="1:7" x14ac:dyDescent="0.25">
      <c r="A41" s="1">
        <v>1</v>
      </c>
      <c r="B41" s="1" t="s">
        <v>34</v>
      </c>
      <c r="C41" s="1">
        <v>44</v>
      </c>
      <c r="D41" s="1">
        <v>2000</v>
      </c>
      <c r="E41" s="1">
        <v>1992</v>
      </c>
      <c r="F41" s="1">
        <v>8</v>
      </c>
      <c r="G41" s="2">
        <f>F41/D41</f>
        <v>4.0000000000000001E-3</v>
      </c>
    </row>
    <row r="43" spans="1:7" ht="18.75" x14ac:dyDescent="0.3">
      <c r="A43" s="5" t="s">
        <v>35</v>
      </c>
    </row>
    <row r="44" spans="1:7" x14ac:dyDescent="0.25">
      <c r="A44" s="1" t="s">
        <v>26</v>
      </c>
      <c r="B44" s="1" t="s">
        <v>0</v>
      </c>
      <c r="C44" s="1" t="s">
        <v>1</v>
      </c>
      <c r="D44" s="1" t="s">
        <v>2</v>
      </c>
      <c r="E44" s="1" t="s">
        <v>4</v>
      </c>
      <c r="F44" s="1" t="s">
        <v>3</v>
      </c>
      <c r="G44" s="1" t="s">
        <v>12</v>
      </c>
    </row>
    <row r="45" spans="1:7" x14ac:dyDescent="0.25">
      <c r="A45" s="1"/>
      <c r="B45" s="1" t="s">
        <v>36</v>
      </c>
      <c r="C45" s="1" t="s">
        <v>37</v>
      </c>
      <c r="D45" s="1">
        <v>40000</v>
      </c>
      <c r="E45" s="1">
        <f>E41+E37+E33+E26+E14</f>
        <v>39419</v>
      </c>
      <c r="F45" s="1">
        <f>F41+F37+F33+F26+F14</f>
        <v>581</v>
      </c>
      <c r="G45" s="2">
        <f>F45/D45</f>
        <v>1.4525E-2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harrish</cp:lastModifiedBy>
  <dcterms:created xsi:type="dcterms:W3CDTF">2016-08-26T01:38:23Z</dcterms:created>
  <dcterms:modified xsi:type="dcterms:W3CDTF">2016-08-27T01:42:45Z</dcterms:modified>
</cp:coreProperties>
</file>