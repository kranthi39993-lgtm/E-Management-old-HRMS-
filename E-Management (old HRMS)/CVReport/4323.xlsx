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2" l="1"/>
  <c r="P51" i="2"/>
  <c r="U51" i="2"/>
  <c r="F51" i="2"/>
  <c r="K46" i="2"/>
  <c r="P46" i="2"/>
  <c r="U46" i="2"/>
  <c r="F46" i="2"/>
  <c r="Z52" i="2"/>
  <c r="Z43" i="2"/>
  <c r="Z44" i="2"/>
  <c r="Z45" i="2"/>
  <c r="Z47" i="2"/>
  <c r="Z48" i="2"/>
  <c r="Z49" i="2"/>
  <c r="Z50" i="2"/>
  <c r="U41" i="2"/>
  <c r="P41" i="2"/>
  <c r="K41" i="2"/>
  <c r="F41" i="2"/>
  <c r="K36" i="2"/>
  <c r="P36" i="2"/>
  <c r="U36" i="2"/>
  <c r="F36" i="2"/>
  <c r="Z33" i="2"/>
  <c r="Z34" i="2"/>
  <c r="Z35" i="2"/>
  <c r="Z37" i="2"/>
  <c r="Z38" i="2"/>
  <c r="Z39" i="2"/>
  <c r="Z40" i="2"/>
  <c r="Z42" i="2"/>
  <c r="Z32" i="2"/>
  <c r="Z26" i="2"/>
  <c r="Z27" i="2"/>
  <c r="Z28" i="2"/>
  <c r="Z25" i="2"/>
  <c r="Z36" i="2" l="1"/>
  <c r="Z51" i="2"/>
  <c r="Z46" i="2"/>
  <c r="Z41" i="2"/>
</calcChain>
</file>

<file path=xl/sharedStrings.xml><?xml version="1.0" encoding="utf-8"?>
<sst xmlns="http://schemas.openxmlformats.org/spreadsheetml/2006/main" count="94" uniqueCount="76">
  <si>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</si>
  <si>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</si>
  <si>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</si>
  <si>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</si>
  <si>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</si>
  <si>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</si>
  <si>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</si>
  <si>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</si>
  <si>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</si>
  <si>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</si>
  <si>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</si>
  <si>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</si>
  <si>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</si>
  <si>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</si>
  <si>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</si>
  <si>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</si>
  <si>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</si>
  <si>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</si>
  <si>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</si>
  <si>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</si>
  <si>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</si>
  <si>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</si>
  <si>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</si>
  <si>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</si>
  <si>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</si>
  <si>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-</t>
  </si>
  <si>
    <t>ASJ Components (M) Sdn.Bhd</t>
  </si>
  <si>
    <t>Mar</t>
  </si>
  <si>
    <t>Apr</t>
  </si>
  <si>
    <t>May</t>
  </si>
  <si>
    <t>Jun</t>
  </si>
  <si>
    <t>Month</t>
  </si>
  <si>
    <t>0402</t>
  </si>
  <si>
    <t>Total</t>
  </si>
  <si>
    <t>0603</t>
  </si>
  <si>
    <t>0805</t>
  </si>
  <si>
    <t>1206</t>
  </si>
  <si>
    <t>FORECAST</t>
  </si>
  <si>
    <t>DELIVERY SCHEDULE</t>
  </si>
  <si>
    <t>Date</t>
  </si>
  <si>
    <t>MAR</t>
  </si>
  <si>
    <t>APR</t>
  </si>
  <si>
    <t>MAY</t>
  </si>
  <si>
    <t>JUN</t>
  </si>
  <si>
    <t>7910M SHALLOW SLIT</t>
  </si>
  <si>
    <t>7910M NEW ANGLE L/R SPEC</t>
  </si>
  <si>
    <t>■</t>
  </si>
  <si>
    <t>LEATEC China crack 1st printing, order stop production don't use anymore. CCTC declare not support ASJ, less supply.</t>
  </si>
  <si>
    <t>NEW PACKAGING</t>
  </si>
  <si>
    <t>Pallet plastic and pink box slippery. ASJ change to wood pallet in warehouse.Request Mr. Nazli improvement next shiipment.</t>
  </si>
  <si>
    <t>2nd shipment 28-Feb 78.6K rank 66 &amp; 67. Request 100K in Mar rank77 87 88 with photo label indication e-mail to Mr. Azlan.</t>
  </si>
  <si>
    <t>Mr. Azlan agreed with 100K/mth (B/L 500K) with new angle spec 4.8K/rank. Min/rank can mix with normal lot.</t>
  </si>
  <si>
    <t>1st shipment 26-Jan 16K rank87L 9.6K &amp; A8R 6.4K. Mr. Azlan agreed MARUWA to change to new angle spec with 4.8K/rank.</t>
  </si>
  <si>
    <t>7910M 23/03 150.4K ==&gt; 0K</t>
  </si>
  <si>
    <t>3080M 23/03 100K ==&gt; 0K</t>
  </si>
  <si>
    <t>1598M 16/03 100K ==&gt; 50K</t>
  </si>
  <si>
    <t>-100K</t>
  </si>
  <si>
    <t>-50K</t>
  </si>
  <si>
    <t>-300K</t>
  </si>
  <si>
    <t>-150K</t>
  </si>
  <si>
    <t>Apr request qty will re-confirm (3000K)</t>
  </si>
  <si>
    <t>APR FORECAST</t>
  </si>
  <si>
    <t>MAR REVISED SCHEDULE</t>
  </si>
  <si>
    <t>Old angle spec min qty remain 3.2Kpcs.</t>
  </si>
  <si>
    <t>Ms. Sun</t>
  </si>
  <si>
    <t>Mr. Azlan</t>
  </si>
  <si>
    <t>Mr. Penny</t>
  </si>
  <si>
    <t>Mr. Seah</t>
  </si>
  <si>
    <t>Ms. Sun will request payment terms change from 90 Days (21th cut off) to 120 Days (End month cut off).</t>
  </si>
  <si>
    <t>PAYMENT TERMS 90 DAYS to 120 DAYS</t>
  </si>
  <si>
    <t>874M rework 200K due to crack (Mr Puven + 3 female operators) Tue-Thu 3 days</t>
  </si>
  <si>
    <t>Mar revised schedule and Apr forecast</t>
  </si>
  <si>
    <t>7910M shallow slit B/L 500K. 1st shipment rank66 67 78.6K 28-Feb.</t>
  </si>
  <si>
    <t>7910M new angle 2nd shipment 16K 26-Jan</t>
  </si>
  <si>
    <t>New packaging status</t>
  </si>
  <si>
    <t>Feb extra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</si>
</sst>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[$-409]d\-mmm;@"/>
  </numFmts>
  <fonts count="17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color theme="1"/>
      <name val="MS UI Gothic"/>
      <family val="2"/>
    </font>
    <font>
      <sz val="11"/>
      <color rgb="FFFF0000"/>
      <name val="Tahoma"/>
      <family val="2"/>
    </font>
    <font>
      <sz val="11"/>
      <name val="MS UI Gothic"/>
      <family val="2"/>
    </font>
    <font>
      <i/>
      <sz val="1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2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12" fillId="0" borderId="5" xfId="1" applyFont="1" applyBorder="1" applyAlignment="1">
      <alignment vertical="center"/>
    </xf>
    <xf numFmtId="0" fontId="12" fillId="0" borderId="5" xfId="1" applyFont="1" applyBorder="1">
      <alignment vertical="center"/>
    </xf>
    <xf numFmtId="0" fontId="13" fillId="0" borderId="5" xfId="1" applyFont="1" applyBorder="1">
      <alignment vertical="center"/>
    </xf>
    <xf numFmtId="0" fontId="15" fillId="0" borderId="0" xfId="1" applyFont="1" applyBorder="1">
      <alignment vertical="center"/>
    </xf>
    <xf numFmtId="0" fontId="4" fillId="0" borderId="0" xfId="1" quotePrefix="1" applyFont="1" applyBorder="1" applyAlignment="1">
      <alignment horizontal="right" vertical="center"/>
    </xf>
    <xf numFmtId="0" fontId="16" fillId="0" borderId="0" xfId="1" applyFont="1" applyBorder="1">
      <alignment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3" fontId="4" fillId="0" borderId="0" xfId="1" applyNumberFormat="1" applyFont="1" applyBorder="1" applyAlignment="1">
      <alignment horizontal="right" vertical="center"/>
    </xf>
    <xf numFmtId="3" fontId="14" fillId="0" borderId="0" xfId="1" applyNumberFormat="1" applyFont="1" applyBorder="1" applyAlignment="1">
      <alignment horizontal="right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6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3" fontId="4" fillId="2" borderId="0" xfId="1" applyNumberFormat="1" applyFont="1" applyFill="1" applyBorder="1" applyAlignment="1">
      <alignment horizontal="right" vertical="center"/>
    </xf>
    <xf numFmtId="3" fontId="4" fillId="6" borderId="0" xfId="1" applyNumberFormat="1" applyFont="1" applyFill="1" applyBorder="1" applyAlignment="1">
      <alignment horizontal="right" vertical="center"/>
    </xf>
    <xf numFmtId="165" fontId="4" fillId="7" borderId="0" xfId="1" applyNumberFormat="1" applyFont="1" applyFill="1" applyBorder="1" applyAlignment="1">
      <alignment horizontal="center" vertical="center"/>
    </xf>
    <xf numFmtId="3" fontId="4" fillId="7" borderId="0" xfId="1" applyNumberFormat="1" applyFont="1" applyFill="1" applyBorder="1" applyAlignment="1">
      <alignment horizontal="right" vertical="center"/>
    </xf>
    <xf numFmtId="165" fontId="4" fillId="5" borderId="0" xfId="1" applyNumberFormat="1" applyFont="1" applyFill="1" applyBorder="1" applyAlignment="1">
      <alignment horizontal="center" vertical="center"/>
    </xf>
    <xf numFmtId="3" fontId="4" fillId="5" borderId="0" xfId="1" applyNumberFormat="1" applyFont="1" applyFill="1" applyBorder="1" applyAlignment="1">
      <alignment horizontal="right" vertical="center"/>
    </xf>
    <xf numFmtId="0" fontId="12" fillId="0" borderId="5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topLeftCell="A61" zoomScale="125" zoomScaleNormal="125" workbookViewId="0">
      <selection activeCell="B68" sqref="B68:AU68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7" t="s">
        <v>9</v>
      </c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3"/>
      <c r="AK1" s="24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3"/>
      <c r="AK2" s="3" t="s">
        <v>8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3"/>
      <c r="AK3" s="3" t="s">
        <v>7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3"/>
      <c r="AK4" s="3" t="s">
        <v>6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58" t="s">
        <v>12</v>
      </c>
      <c r="C5" s="58"/>
      <c r="D5" s="58"/>
      <c r="E5" s="58"/>
      <c r="F5" s="58"/>
      <c r="G5" s="63">
        <v>42801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3"/>
      <c r="S5" s="50" t="s">
        <v>10</v>
      </c>
      <c r="T5" s="50"/>
      <c r="U5" s="50"/>
      <c r="V5" s="50"/>
      <c r="W5" s="50"/>
      <c r="X5" s="60" t="s">
        <v>23</v>
      </c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58"/>
      <c r="C6" s="58"/>
      <c r="D6" s="58"/>
      <c r="E6" s="58"/>
      <c r="F6" s="58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"/>
      <c r="S6" s="53"/>
      <c r="T6" s="53"/>
      <c r="U6" s="53"/>
      <c r="V6" s="53"/>
      <c r="W6" s="53"/>
      <c r="X6" s="59" t="s">
        <v>22</v>
      </c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55" t="s">
        <v>3</v>
      </c>
      <c r="C7" s="55"/>
      <c r="D7" s="55"/>
      <c r="E7" s="55"/>
      <c r="F7" s="55"/>
      <c r="G7" s="10"/>
      <c r="H7" s="61" t="s">
        <v>19</v>
      </c>
      <c r="I7" s="61"/>
      <c r="J7" s="61"/>
      <c r="K7" s="3"/>
      <c r="L7" s="62" t="s">
        <v>20</v>
      </c>
      <c r="M7" s="62"/>
      <c r="N7" s="62"/>
      <c r="O7" s="3"/>
      <c r="P7" s="3"/>
      <c r="Q7" s="3"/>
      <c r="R7" s="3"/>
      <c r="S7" s="47" t="s">
        <v>11</v>
      </c>
      <c r="T7" s="47"/>
      <c r="U7" s="47"/>
      <c r="V7" s="47"/>
      <c r="W7" s="47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55"/>
      <c r="C8" s="55"/>
      <c r="D8" s="55"/>
      <c r="E8" s="55"/>
      <c r="F8" s="55"/>
      <c r="G8" s="10"/>
      <c r="H8" s="61"/>
      <c r="I8" s="61"/>
      <c r="J8" s="61"/>
      <c r="K8" s="17"/>
      <c r="L8" s="62"/>
      <c r="M8" s="62"/>
      <c r="N8" s="62"/>
      <c r="O8" s="3"/>
      <c r="P8" s="3"/>
      <c r="Q8" s="3"/>
      <c r="R8" s="3"/>
      <c r="S8" s="50"/>
      <c r="T8" s="50"/>
      <c r="U8" s="50"/>
      <c r="V8" s="50"/>
      <c r="W8" s="50"/>
      <c r="X8" s="74" t="s">
        <v>25</v>
      </c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3"/>
      <c r="AK8" s="5" t="s">
        <v>21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55"/>
      <c r="C9" s="55"/>
      <c r="D9" s="55"/>
      <c r="E9" s="55"/>
      <c r="F9" s="55"/>
      <c r="G9" s="10"/>
      <c r="H9" s="61"/>
      <c r="I9" s="61"/>
      <c r="J9" s="61"/>
      <c r="K9" s="3"/>
      <c r="L9" s="62"/>
      <c r="M9" s="62"/>
      <c r="N9" s="62"/>
      <c r="O9" s="3"/>
      <c r="P9" s="3"/>
      <c r="Q9" s="3"/>
      <c r="R9" s="3"/>
      <c r="S9" s="53"/>
      <c r="T9" s="53"/>
      <c r="U9" s="53"/>
      <c r="V9" s="53"/>
      <c r="W9" s="53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7" t="s">
        <v>15</v>
      </c>
      <c r="AV10" s="3"/>
      <c r="AW10" s="3"/>
    </row>
    <row r="11" spans="2:63" ht="13.5" customHeight="1">
      <c r="B11" s="46" t="s">
        <v>0</v>
      </c>
      <c r="C11" s="47"/>
      <c r="D11" s="47"/>
      <c r="E11" s="47"/>
      <c r="F11" s="47"/>
      <c r="G11" s="64" t="s">
        <v>26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6"/>
      <c r="Y11" s="56" t="s">
        <v>1</v>
      </c>
      <c r="Z11" s="47"/>
      <c r="AA11" s="47"/>
      <c r="AB11" s="47"/>
      <c r="AC11" s="48"/>
      <c r="AD11" s="28" t="s">
        <v>64</v>
      </c>
      <c r="AE11" s="28"/>
      <c r="AF11" s="29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6"/>
      <c r="AU11" s="30"/>
    </row>
    <row r="12" spans="2:63" ht="15" customHeight="1">
      <c r="B12" s="49"/>
      <c r="C12" s="50"/>
      <c r="D12" s="50"/>
      <c r="E12" s="50"/>
      <c r="F12" s="50"/>
      <c r="G12" s="67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9"/>
      <c r="Y12" s="49"/>
      <c r="Z12" s="50"/>
      <c r="AA12" s="50"/>
      <c r="AB12" s="50"/>
      <c r="AC12" s="51"/>
      <c r="AD12" s="31" t="s">
        <v>65</v>
      </c>
      <c r="AE12" s="31"/>
      <c r="AF12" s="32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7"/>
      <c r="AU12" s="33"/>
    </row>
    <row r="13" spans="2:63" ht="15" customHeight="1">
      <c r="B13" s="49"/>
      <c r="C13" s="50"/>
      <c r="D13" s="50"/>
      <c r="E13" s="50"/>
      <c r="F13" s="50"/>
      <c r="G13" s="67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49"/>
      <c r="Z13" s="50"/>
      <c r="AA13" s="50"/>
      <c r="AB13" s="50"/>
      <c r="AC13" s="51"/>
      <c r="AD13" s="31" t="s">
        <v>66</v>
      </c>
      <c r="AE13" s="31"/>
      <c r="AF13" s="32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7"/>
      <c r="AU13" s="33"/>
    </row>
    <row r="14" spans="2:63" ht="15.75" customHeight="1" thickBot="1">
      <c r="B14" s="52"/>
      <c r="C14" s="53"/>
      <c r="D14" s="53"/>
      <c r="E14" s="53"/>
      <c r="F14" s="53"/>
      <c r="G14" s="70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2"/>
      <c r="Y14" s="52"/>
      <c r="Z14" s="53"/>
      <c r="AA14" s="53"/>
      <c r="AB14" s="53"/>
      <c r="AC14" s="54"/>
      <c r="AD14" s="31" t="s">
        <v>67</v>
      </c>
      <c r="AE14" s="31"/>
      <c r="AF14" s="32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8"/>
      <c r="AU14" s="35"/>
      <c r="BB14" s="45"/>
      <c r="BC14" s="45"/>
    </row>
    <row r="15" spans="2:63">
      <c r="B15" s="46" t="s">
        <v>24</v>
      </c>
      <c r="C15" s="47"/>
      <c r="D15" s="47"/>
      <c r="E15" s="47"/>
      <c r="F15" s="48"/>
      <c r="G15" s="41" t="s">
        <v>46</v>
      </c>
      <c r="H15" s="12" t="s">
        <v>70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45"/>
      <c r="BC15" s="45"/>
    </row>
    <row r="16" spans="2:63">
      <c r="B16" s="49"/>
      <c r="C16" s="50"/>
      <c r="D16" s="50"/>
      <c r="E16" s="50"/>
      <c r="F16" s="51"/>
      <c r="G16" s="41" t="s">
        <v>46</v>
      </c>
      <c r="H16" s="3" t="s">
        <v>71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49"/>
      <c r="C17" s="50"/>
      <c r="D17" s="50"/>
      <c r="E17" s="50"/>
      <c r="F17" s="51"/>
      <c r="G17" s="41" t="s">
        <v>46</v>
      </c>
      <c r="H17" s="18" t="s">
        <v>72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49"/>
      <c r="C18" s="50"/>
      <c r="D18" s="50"/>
      <c r="E18" s="50"/>
      <c r="F18" s="51"/>
      <c r="G18" s="41" t="s">
        <v>46</v>
      </c>
      <c r="H18" s="18" t="s">
        <v>73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49"/>
      <c r="C19" s="50"/>
      <c r="D19" s="50"/>
      <c r="E19" s="50"/>
      <c r="F19" s="51"/>
      <c r="G19" s="41" t="s">
        <v>46</v>
      </c>
      <c r="H19" s="3" t="s">
        <v>74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49"/>
      <c r="C20" s="50"/>
      <c r="D20" s="50"/>
      <c r="E20" s="50"/>
      <c r="F20" s="51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52"/>
      <c r="C21" s="53"/>
      <c r="D21" s="53"/>
      <c r="E21" s="53"/>
      <c r="F21" s="5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86" t="s">
        <v>2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8"/>
    </row>
    <row r="23" spans="2:47">
      <c r="B23" s="39" t="s">
        <v>37</v>
      </c>
      <c r="C23" s="3"/>
      <c r="D23" s="3"/>
      <c r="E23" s="3"/>
      <c r="F23" s="3"/>
      <c r="G23" s="3"/>
      <c r="H23" s="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3"/>
      <c r="AP23" s="3"/>
      <c r="AQ23" s="3"/>
      <c r="AR23" s="3"/>
      <c r="AS23" s="3"/>
      <c r="AT23" s="3"/>
      <c r="AU23" s="14"/>
    </row>
    <row r="24" spans="2:47">
      <c r="B24" s="19"/>
      <c r="C24" s="60" t="s">
        <v>31</v>
      </c>
      <c r="D24" s="60"/>
      <c r="E24" s="60"/>
      <c r="F24" s="74" t="s">
        <v>32</v>
      </c>
      <c r="G24" s="74"/>
      <c r="H24" s="74"/>
      <c r="I24" s="74"/>
      <c r="J24" s="74"/>
      <c r="K24" s="74" t="s">
        <v>34</v>
      </c>
      <c r="L24" s="74"/>
      <c r="M24" s="74"/>
      <c r="N24" s="74"/>
      <c r="O24" s="74"/>
      <c r="P24" s="74" t="s">
        <v>35</v>
      </c>
      <c r="Q24" s="74"/>
      <c r="R24" s="74"/>
      <c r="S24" s="74"/>
      <c r="T24" s="74"/>
      <c r="U24" s="74" t="s">
        <v>36</v>
      </c>
      <c r="V24" s="74"/>
      <c r="W24" s="74"/>
      <c r="X24" s="74"/>
      <c r="Y24" s="74"/>
      <c r="Z24" s="74" t="s">
        <v>33</v>
      </c>
      <c r="AA24" s="74"/>
      <c r="AB24" s="74"/>
      <c r="AC24" s="74"/>
      <c r="AD24" s="74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>
      <c r="B25" s="19"/>
      <c r="C25" s="60" t="s">
        <v>27</v>
      </c>
      <c r="D25" s="60"/>
      <c r="E25" s="60"/>
      <c r="F25" s="75">
        <v>500000</v>
      </c>
      <c r="G25" s="75"/>
      <c r="H25" s="75"/>
      <c r="I25" s="75"/>
      <c r="J25" s="75"/>
      <c r="K25" s="75">
        <v>300000</v>
      </c>
      <c r="L25" s="75"/>
      <c r="M25" s="75"/>
      <c r="N25" s="75"/>
      <c r="O25" s="75"/>
      <c r="P25" s="75">
        <v>200000</v>
      </c>
      <c r="Q25" s="75"/>
      <c r="R25" s="75"/>
      <c r="S25" s="75"/>
      <c r="T25" s="75"/>
      <c r="U25" s="75">
        <v>2000000</v>
      </c>
      <c r="V25" s="75"/>
      <c r="W25" s="75"/>
      <c r="X25" s="75"/>
      <c r="Y25" s="75"/>
      <c r="Z25" s="75">
        <f>SUM(F25:Y25)</f>
        <v>3000000</v>
      </c>
      <c r="AA25" s="75"/>
      <c r="AB25" s="75"/>
      <c r="AC25" s="75"/>
      <c r="AD25" s="75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9"/>
      <c r="C26" s="60" t="s">
        <v>28</v>
      </c>
      <c r="D26" s="60"/>
      <c r="E26" s="60"/>
      <c r="F26" s="76">
        <v>200000</v>
      </c>
      <c r="G26" s="76"/>
      <c r="H26" s="76"/>
      <c r="I26" s="76"/>
      <c r="J26" s="76"/>
      <c r="K26" s="76">
        <v>100000</v>
      </c>
      <c r="L26" s="76"/>
      <c r="M26" s="76"/>
      <c r="N26" s="76"/>
      <c r="O26" s="76"/>
      <c r="P26" s="76">
        <v>300000</v>
      </c>
      <c r="Q26" s="76"/>
      <c r="R26" s="76"/>
      <c r="S26" s="76"/>
      <c r="T26" s="76"/>
      <c r="U26" s="76">
        <v>1000000</v>
      </c>
      <c r="V26" s="76"/>
      <c r="W26" s="76"/>
      <c r="X26" s="76"/>
      <c r="Y26" s="76"/>
      <c r="Z26" s="76">
        <f t="shared" ref="Z26:Z28" si="0">SUM(F26:Y26)</f>
        <v>1600000</v>
      </c>
      <c r="AA26" s="76"/>
      <c r="AB26" s="76"/>
      <c r="AC26" s="76"/>
      <c r="AD26" s="76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9"/>
      <c r="C27" s="60" t="s">
        <v>29</v>
      </c>
      <c r="D27" s="60"/>
      <c r="E27" s="60"/>
      <c r="F27" s="76">
        <v>200000</v>
      </c>
      <c r="G27" s="76"/>
      <c r="H27" s="76"/>
      <c r="I27" s="76"/>
      <c r="J27" s="76"/>
      <c r="K27" s="76">
        <v>300000</v>
      </c>
      <c r="L27" s="76"/>
      <c r="M27" s="76"/>
      <c r="N27" s="76"/>
      <c r="O27" s="76"/>
      <c r="P27" s="76">
        <v>300000</v>
      </c>
      <c r="Q27" s="76"/>
      <c r="R27" s="76"/>
      <c r="S27" s="76"/>
      <c r="T27" s="76"/>
      <c r="U27" s="76">
        <v>1400000</v>
      </c>
      <c r="V27" s="76"/>
      <c r="W27" s="76"/>
      <c r="X27" s="76"/>
      <c r="Y27" s="76"/>
      <c r="Z27" s="76">
        <f t="shared" si="0"/>
        <v>2200000</v>
      </c>
      <c r="AA27" s="76"/>
      <c r="AB27" s="76"/>
      <c r="AC27" s="76"/>
      <c r="AD27" s="76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9"/>
      <c r="C28" s="60" t="s">
        <v>30</v>
      </c>
      <c r="D28" s="60"/>
      <c r="E28" s="60"/>
      <c r="F28" s="76">
        <v>300000</v>
      </c>
      <c r="G28" s="76"/>
      <c r="H28" s="76"/>
      <c r="I28" s="76"/>
      <c r="J28" s="76"/>
      <c r="K28" s="76">
        <v>200000</v>
      </c>
      <c r="L28" s="76"/>
      <c r="M28" s="76"/>
      <c r="N28" s="76"/>
      <c r="O28" s="76"/>
      <c r="P28" s="76">
        <v>300000</v>
      </c>
      <c r="Q28" s="76"/>
      <c r="R28" s="76"/>
      <c r="S28" s="76"/>
      <c r="T28" s="76"/>
      <c r="U28" s="76">
        <v>1400000</v>
      </c>
      <c r="V28" s="76"/>
      <c r="W28" s="76"/>
      <c r="X28" s="76"/>
      <c r="Y28" s="76"/>
      <c r="Z28" s="76">
        <f t="shared" si="0"/>
        <v>2200000</v>
      </c>
      <c r="AA28" s="76"/>
      <c r="AB28" s="76"/>
      <c r="AC28" s="76"/>
      <c r="AD28" s="76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40" t="s">
        <v>38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19"/>
      <c r="C31" s="60" t="s">
        <v>39</v>
      </c>
      <c r="D31" s="60"/>
      <c r="E31" s="60"/>
      <c r="F31" s="74" t="s">
        <v>32</v>
      </c>
      <c r="G31" s="74"/>
      <c r="H31" s="74"/>
      <c r="I31" s="74"/>
      <c r="J31" s="74"/>
      <c r="K31" s="74" t="s">
        <v>34</v>
      </c>
      <c r="L31" s="74"/>
      <c r="M31" s="74"/>
      <c r="N31" s="74"/>
      <c r="O31" s="74"/>
      <c r="P31" s="74" t="s">
        <v>35</v>
      </c>
      <c r="Q31" s="74"/>
      <c r="R31" s="74"/>
      <c r="S31" s="74"/>
      <c r="T31" s="74"/>
      <c r="U31" s="74" t="s">
        <v>36</v>
      </c>
      <c r="V31" s="74"/>
      <c r="W31" s="74"/>
      <c r="X31" s="74"/>
      <c r="Y31" s="74"/>
      <c r="Z31" s="74" t="s">
        <v>33</v>
      </c>
      <c r="AA31" s="74"/>
      <c r="AB31" s="74"/>
      <c r="AC31" s="74"/>
      <c r="AD31" s="74"/>
      <c r="AE31" s="3"/>
      <c r="AF31" s="44" t="s">
        <v>62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3"/>
      <c r="AU31" s="14"/>
    </row>
    <row r="32" spans="2:47">
      <c r="B32" s="19"/>
      <c r="C32" s="77">
        <v>42794</v>
      </c>
      <c r="D32" s="77"/>
      <c r="E32" s="77"/>
      <c r="F32" s="75">
        <v>186200</v>
      </c>
      <c r="G32" s="75"/>
      <c r="H32" s="75"/>
      <c r="I32" s="75"/>
      <c r="J32" s="75"/>
      <c r="K32" s="75">
        <v>0</v>
      </c>
      <c r="L32" s="75"/>
      <c r="M32" s="75"/>
      <c r="N32" s="75"/>
      <c r="O32" s="75"/>
      <c r="P32" s="75">
        <v>50000</v>
      </c>
      <c r="Q32" s="75"/>
      <c r="R32" s="75"/>
      <c r="S32" s="75"/>
      <c r="T32" s="75"/>
      <c r="U32" s="75">
        <v>276000</v>
      </c>
      <c r="V32" s="75"/>
      <c r="W32" s="75"/>
      <c r="X32" s="75"/>
      <c r="Y32" s="75"/>
      <c r="Z32" s="75">
        <f>SUM(F32:Y32)</f>
        <v>512200</v>
      </c>
      <c r="AA32" s="75"/>
      <c r="AB32" s="75"/>
      <c r="AC32" s="75"/>
      <c r="AD32" s="75"/>
      <c r="AE32" s="3"/>
      <c r="AF32" s="42" t="s">
        <v>46</v>
      </c>
      <c r="AG32" s="3" t="s">
        <v>53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3" t="s">
        <v>59</v>
      </c>
      <c r="AU32" s="14"/>
    </row>
    <row r="33" spans="2:47">
      <c r="B33" s="19"/>
      <c r="C33" s="77">
        <v>42803</v>
      </c>
      <c r="D33" s="77"/>
      <c r="E33" s="77"/>
      <c r="F33" s="75">
        <v>150400</v>
      </c>
      <c r="G33" s="75"/>
      <c r="H33" s="75"/>
      <c r="I33" s="75"/>
      <c r="J33" s="75"/>
      <c r="K33" s="75">
        <v>100000</v>
      </c>
      <c r="L33" s="75"/>
      <c r="M33" s="75"/>
      <c r="N33" s="75"/>
      <c r="O33" s="75"/>
      <c r="P33" s="75">
        <v>100000</v>
      </c>
      <c r="Q33" s="75"/>
      <c r="R33" s="75"/>
      <c r="S33" s="75"/>
      <c r="T33" s="75"/>
      <c r="U33" s="75">
        <v>500000</v>
      </c>
      <c r="V33" s="75"/>
      <c r="W33" s="75"/>
      <c r="X33" s="75"/>
      <c r="Y33" s="75"/>
      <c r="Z33" s="75">
        <f t="shared" ref="Z33:Z42" si="1">SUM(F33:Y33)</f>
        <v>850400</v>
      </c>
      <c r="AA33" s="75"/>
      <c r="AB33" s="75"/>
      <c r="AC33" s="75"/>
      <c r="AD33" s="75"/>
      <c r="AE33" s="3"/>
      <c r="AF33" s="42" t="s">
        <v>46</v>
      </c>
      <c r="AG33" s="3" t="s">
        <v>54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3" t="s">
        <v>56</v>
      </c>
      <c r="AU33" s="14"/>
    </row>
    <row r="34" spans="2:47" ht="14.25" customHeight="1">
      <c r="B34" s="19"/>
      <c r="C34" s="77">
        <v>42810</v>
      </c>
      <c r="D34" s="77"/>
      <c r="E34" s="77"/>
      <c r="F34" s="75">
        <v>150400</v>
      </c>
      <c r="G34" s="75"/>
      <c r="H34" s="75"/>
      <c r="I34" s="75"/>
      <c r="J34" s="75"/>
      <c r="K34" s="75">
        <v>100000</v>
      </c>
      <c r="L34" s="75"/>
      <c r="M34" s="75"/>
      <c r="N34" s="75"/>
      <c r="O34" s="75"/>
      <c r="P34" s="75">
        <v>50000</v>
      </c>
      <c r="Q34" s="75"/>
      <c r="R34" s="75"/>
      <c r="S34" s="75"/>
      <c r="T34" s="75"/>
      <c r="U34" s="75">
        <v>600000</v>
      </c>
      <c r="V34" s="75"/>
      <c r="W34" s="75"/>
      <c r="X34" s="75"/>
      <c r="Y34" s="75"/>
      <c r="Z34" s="75">
        <f t="shared" si="1"/>
        <v>900400</v>
      </c>
      <c r="AA34" s="75"/>
      <c r="AB34" s="75"/>
      <c r="AC34" s="75"/>
      <c r="AD34" s="75"/>
      <c r="AE34" s="3"/>
      <c r="AF34" s="42" t="s">
        <v>46</v>
      </c>
      <c r="AG34" s="3" t="s">
        <v>55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3" t="s">
        <v>57</v>
      </c>
      <c r="AU34" s="14"/>
    </row>
    <row r="35" spans="2:47">
      <c r="B35" s="19"/>
      <c r="C35" s="77">
        <v>42817</v>
      </c>
      <c r="D35" s="77"/>
      <c r="E35" s="77"/>
      <c r="F35" s="75">
        <v>0</v>
      </c>
      <c r="G35" s="75"/>
      <c r="H35" s="75"/>
      <c r="I35" s="75"/>
      <c r="J35" s="75"/>
      <c r="K35" s="75">
        <v>100000</v>
      </c>
      <c r="L35" s="75"/>
      <c r="M35" s="75"/>
      <c r="N35" s="75"/>
      <c r="O35" s="75"/>
      <c r="P35" s="75">
        <v>0</v>
      </c>
      <c r="Q35" s="75"/>
      <c r="R35" s="75"/>
      <c r="S35" s="75"/>
      <c r="T35" s="75"/>
      <c r="U35" s="75">
        <v>624000</v>
      </c>
      <c r="V35" s="75"/>
      <c r="W35" s="75"/>
      <c r="X35" s="75"/>
      <c r="Y35" s="75"/>
      <c r="Z35" s="75">
        <f t="shared" si="1"/>
        <v>724000</v>
      </c>
      <c r="AA35" s="75"/>
      <c r="AB35" s="75"/>
      <c r="AC35" s="75"/>
      <c r="AD35" s="75"/>
      <c r="AE35" s="3"/>
      <c r="AF35" s="8"/>
      <c r="AG35" s="3" t="s">
        <v>75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3" t="s">
        <v>58</v>
      </c>
      <c r="AU35" s="14"/>
    </row>
    <row r="36" spans="2:47">
      <c r="B36" s="19"/>
      <c r="C36" s="79" t="s">
        <v>40</v>
      </c>
      <c r="D36" s="79"/>
      <c r="E36" s="79"/>
      <c r="F36" s="80">
        <f>SUM(F32:J35)</f>
        <v>487000</v>
      </c>
      <c r="G36" s="80"/>
      <c r="H36" s="80"/>
      <c r="I36" s="80"/>
      <c r="J36" s="80"/>
      <c r="K36" s="80">
        <f t="shared" ref="K36" si="2">SUM(K32:O35)</f>
        <v>300000</v>
      </c>
      <c r="L36" s="80"/>
      <c r="M36" s="80"/>
      <c r="N36" s="80"/>
      <c r="O36" s="80"/>
      <c r="P36" s="80">
        <f t="shared" ref="P36" si="3">SUM(P32:T35)</f>
        <v>200000</v>
      </c>
      <c r="Q36" s="80"/>
      <c r="R36" s="80"/>
      <c r="S36" s="80"/>
      <c r="T36" s="80"/>
      <c r="U36" s="80">
        <f t="shared" ref="U36" si="4">SUM(U32:Y35)</f>
        <v>2000000</v>
      </c>
      <c r="V36" s="80"/>
      <c r="W36" s="80"/>
      <c r="X36" s="80"/>
      <c r="Y36" s="80"/>
      <c r="Z36" s="80">
        <f t="shared" si="1"/>
        <v>2987000</v>
      </c>
      <c r="AA36" s="80"/>
      <c r="AB36" s="80"/>
      <c r="AC36" s="80"/>
      <c r="AD36" s="80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3"/>
      <c r="AU36" s="14"/>
    </row>
    <row r="37" spans="2:47">
      <c r="B37" s="19"/>
      <c r="C37" s="77">
        <v>42824</v>
      </c>
      <c r="D37" s="77"/>
      <c r="E37" s="77"/>
      <c r="F37" s="75">
        <v>100800</v>
      </c>
      <c r="G37" s="75"/>
      <c r="H37" s="75"/>
      <c r="I37" s="75"/>
      <c r="J37" s="75"/>
      <c r="K37" s="75">
        <v>100000</v>
      </c>
      <c r="L37" s="75"/>
      <c r="M37" s="75"/>
      <c r="N37" s="75"/>
      <c r="O37" s="75"/>
      <c r="P37" s="75">
        <v>100000</v>
      </c>
      <c r="Q37" s="75"/>
      <c r="R37" s="75"/>
      <c r="S37" s="75"/>
      <c r="T37" s="75"/>
      <c r="U37" s="75">
        <v>276000</v>
      </c>
      <c r="V37" s="75"/>
      <c r="W37" s="75"/>
      <c r="X37" s="75"/>
      <c r="Y37" s="75"/>
      <c r="Z37" s="75">
        <f t="shared" si="1"/>
        <v>576800</v>
      </c>
      <c r="AA37" s="75"/>
      <c r="AB37" s="75"/>
      <c r="AC37" s="75"/>
      <c r="AD37" s="75"/>
      <c r="AE37" s="3"/>
      <c r="AF37" s="44" t="s">
        <v>61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9"/>
      <c r="C38" s="77">
        <v>42831</v>
      </c>
      <c r="D38" s="77"/>
      <c r="E38" s="77"/>
      <c r="F38" s="75">
        <v>100800</v>
      </c>
      <c r="G38" s="75"/>
      <c r="H38" s="75"/>
      <c r="I38" s="75"/>
      <c r="J38" s="75"/>
      <c r="K38" s="75">
        <v>0</v>
      </c>
      <c r="L38" s="75"/>
      <c r="M38" s="75"/>
      <c r="N38" s="75"/>
      <c r="O38" s="75"/>
      <c r="P38" s="75">
        <v>100000</v>
      </c>
      <c r="Q38" s="75"/>
      <c r="R38" s="75"/>
      <c r="S38" s="75"/>
      <c r="T38" s="75"/>
      <c r="U38" s="75">
        <v>250000</v>
      </c>
      <c r="V38" s="75"/>
      <c r="W38" s="75"/>
      <c r="X38" s="75"/>
      <c r="Y38" s="75"/>
      <c r="Z38" s="75">
        <f t="shared" si="1"/>
        <v>450800</v>
      </c>
      <c r="AA38" s="75"/>
      <c r="AB38" s="75"/>
      <c r="AC38" s="75"/>
      <c r="AD38" s="75"/>
      <c r="AE38" s="3"/>
      <c r="AF38" s="42" t="s">
        <v>46</v>
      </c>
      <c r="AG38" s="3" t="s">
        <v>60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19"/>
      <c r="C39" s="77">
        <v>42838</v>
      </c>
      <c r="D39" s="77"/>
      <c r="E39" s="77"/>
      <c r="F39" s="75">
        <v>0</v>
      </c>
      <c r="G39" s="75"/>
      <c r="H39" s="75"/>
      <c r="I39" s="75"/>
      <c r="J39" s="75"/>
      <c r="K39" s="75">
        <v>0</v>
      </c>
      <c r="L39" s="75"/>
      <c r="M39" s="75"/>
      <c r="N39" s="75"/>
      <c r="O39" s="75"/>
      <c r="P39" s="75">
        <v>100000</v>
      </c>
      <c r="Q39" s="75"/>
      <c r="R39" s="75"/>
      <c r="S39" s="75"/>
      <c r="T39" s="75"/>
      <c r="U39" s="75">
        <v>250000</v>
      </c>
      <c r="V39" s="75"/>
      <c r="W39" s="75"/>
      <c r="X39" s="75"/>
      <c r="Y39" s="75"/>
      <c r="Z39" s="75">
        <f t="shared" si="1"/>
        <v>350000</v>
      </c>
      <c r="AA39" s="75"/>
      <c r="AB39" s="75"/>
      <c r="AC39" s="75"/>
      <c r="AD39" s="75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77">
        <v>42845</v>
      </c>
      <c r="D40" s="77"/>
      <c r="E40" s="77"/>
      <c r="F40" s="75">
        <v>0</v>
      </c>
      <c r="G40" s="75"/>
      <c r="H40" s="75"/>
      <c r="I40" s="75"/>
      <c r="J40" s="75"/>
      <c r="K40" s="75">
        <v>0</v>
      </c>
      <c r="L40" s="75"/>
      <c r="M40" s="75"/>
      <c r="N40" s="75"/>
      <c r="O40" s="75"/>
      <c r="P40" s="75">
        <v>0</v>
      </c>
      <c r="Q40" s="75"/>
      <c r="R40" s="75"/>
      <c r="S40" s="75"/>
      <c r="T40" s="75"/>
      <c r="U40" s="75">
        <v>250000</v>
      </c>
      <c r="V40" s="75"/>
      <c r="W40" s="75"/>
      <c r="X40" s="75"/>
      <c r="Y40" s="75"/>
      <c r="Z40" s="75">
        <f t="shared" si="1"/>
        <v>250000</v>
      </c>
      <c r="AA40" s="75"/>
      <c r="AB40" s="75"/>
      <c r="AC40" s="75"/>
      <c r="AD40" s="75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78" t="s">
        <v>41</v>
      </c>
      <c r="D41" s="78"/>
      <c r="E41" s="78"/>
      <c r="F41" s="81">
        <f>SUM(F37:J40)</f>
        <v>201600</v>
      </c>
      <c r="G41" s="81"/>
      <c r="H41" s="81"/>
      <c r="I41" s="81"/>
      <c r="J41" s="81"/>
      <c r="K41" s="81">
        <f t="shared" ref="K41" si="5">SUM(K37:O40)</f>
        <v>100000</v>
      </c>
      <c r="L41" s="81"/>
      <c r="M41" s="81"/>
      <c r="N41" s="81"/>
      <c r="O41" s="81"/>
      <c r="P41" s="81">
        <f t="shared" ref="P41" si="6">SUM(P37:T40)</f>
        <v>300000</v>
      </c>
      <c r="Q41" s="81"/>
      <c r="R41" s="81"/>
      <c r="S41" s="81"/>
      <c r="T41" s="81"/>
      <c r="U41" s="81">
        <f t="shared" ref="U41" si="7">SUM(U37:Y40)</f>
        <v>1026000</v>
      </c>
      <c r="V41" s="81"/>
      <c r="W41" s="81"/>
      <c r="X41" s="81"/>
      <c r="Y41" s="81"/>
      <c r="Z41" s="81">
        <f t="shared" si="1"/>
        <v>1627600</v>
      </c>
      <c r="AA41" s="81"/>
      <c r="AB41" s="81"/>
      <c r="AC41" s="81"/>
      <c r="AD41" s="81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9"/>
      <c r="C42" s="77">
        <v>42852</v>
      </c>
      <c r="D42" s="77"/>
      <c r="E42" s="77"/>
      <c r="F42" s="75">
        <v>100800</v>
      </c>
      <c r="G42" s="75"/>
      <c r="H42" s="75"/>
      <c r="I42" s="75"/>
      <c r="J42" s="75"/>
      <c r="K42" s="75">
        <v>100000</v>
      </c>
      <c r="L42" s="75"/>
      <c r="M42" s="75"/>
      <c r="N42" s="75"/>
      <c r="O42" s="75"/>
      <c r="P42" s="75">
        <v>100000</v>
      </c>
      <c r="Q42" s="75"/>
      <c r="R42" s="75"/>
      <c r="S42" s="75"/>
      <c r="T42" s="75"/>
      <c r="U42" s="75">
        <v>300000</v>
      </c>
      <c r="V42" s="75"/>
      <c r="W42" s="75"/>
      <c r="X42" s="75"/>
      <c r="Y42" s="75"/>
      <c r="Z42" s="75">
        <f t="shared" si="1"/>
        <v>600800</v>
      </c>
      <c r="AA42" s="75"/>
      <c r="AB42" s="75"/>
      <c r="AC42" s="75"/>
      <c r="AD42" s="75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9"/>
      <c r="C43" s="77">
        <v>42859</v>
      </c>
      <c r="D43" s="77"/>
      <c r="E43" s="77"/>
      <c r="F43" s="75">
        <v>100800</v>
      </c>
      <c r="G43" s="75"/>
      <c r="H43" s="75"/>
      <c r="I43" s="75"/>
      <c r="J43" s="75"/>
      <c r="K43" s="75">
        <v>100000</v>
      </c>
      <c r="L43" s="75"/>
      <c r="M43" s="75"/>
      <c r="N43" s="75"/>
      <c r="O43" s="75"/>
      <c r="P43" s="75">
        <v>100000</v>
      </c>
      <c r="Q43" s="75"/>
      <c r="R43" s="75"/>
      <c r="S43" s="75"/>
      <c r="T43" s="75"/>
      <c r="U43" s="75">
        <v>400000</v>
      </c>
      <c r="V43" s="75"/>
      <c r="W43" s="75"/>
      <c r="X43" s="75"/>
      <c r="Y43" s="75"/>
      <c r="Z43" s="75">
        <f t="shared" ref="Z43:Z51" si="8">SUM(F43:Y43)</f>
        <v>700800</v>
      </c>
      <c r="AA43" s="75"/>
      <c r="AB43" s="75"/>
      <c r="AC43" s="75"/>
      <c r="AD43" s="75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/>
      <c r="C44" s="77">
        <v>42866</v>
      </c>
      <c r="D44" s="77"/>
      <c r="E44" s="77"/>
      <c r="F44" s="75"/>
      <c r="G44" s="75"/>
      <c r="H44" s="75"/>
      <c r="I44" s="75"/>
      <c r="J44" s="75"/>
      <c r="K44" s="75">
        <v>100000</v>
      </c>
      <c r="L44" s="75"/>
      <c r="M44" s="75"/>
      <c r="N44" s="75"/>
      <c r="O44" s="75"/>
      <c r="P44" s="75">
        <v>100000</v>
      </c>
      <c r="Q44" s="75"/>
      <c r="R44" s="75"/>
      <c r="S44" s="75"/>
      <c r="T44" s="75"/>
      <c r="U44" s="75">
        <v>400000</v>
      </c>
      <c r="V44" s="75"/>
      <c r="W44" s="75"/>
      <c r="X44" s="75"/>
      <c r="Y44" s="75"/>
      <c r="Z44" s="75">
        <f t="shared" si="8"/>
        <v>600000</v>
      </c>
      <c r="AA44" s="75"/>
      <c r="AB44" s="75"/>
      <c r="AC44" s="75"/>
      <c r="AD44" s="75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19"/>
      <c r="C45" s="77">
        <v>42873</v>
      </c>
      <c r="D45" s="77"/>
      <c r="E45" s="77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>
        <v>300000</v>
      </c>
      <c r="V45" s="75"/>
      <c r="W45" s="75"/>
      <c r="X45" s="75"/>
      <c r="Y45" s="75"/>
      <c r="Z45" s="75">
        <f t="shared" si="8"/>
        <v>300000</v>
      </c>
      <c r="AA45" s="75"/>
      <c r="AB45" s="75"/>
      <c r="AC45" s="75"/>
      <c r="AD45" s="75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9"/>
      <c r="C46" s="84" t="s">
        <v>42</v>
      </c>
      <c r="D46" s="84"/>
      <c r="E46" s="84"/>
      <c r="F46" s="85">
        <f>SUM(F42:J45)</f>
        <v>201600</v>
      </c>
      <c r="G46" s="85"/>
      <c r="H46" s="85"/>
      <c r="I46" s="85"/>
      <c r="J46" s="85"/>
      <c r="K46" s="85">
        <f t="shared" ref="K46" si="9">SUM(K42:O45)</f>
        <v>300000</v>
      </c>
      <c r="L46" s="85"/>
      <c r="M46" s="85"/>
      <c r="N46" s="85"/>
      <c r="O46" s="85"/>
      <c r="P46" s="85">
        <f t="shared" ref="P46" si="10">SUM(P42:T45)</f>
        <v>300000</v>
      </c>
      <c r="Q46" s="85"/>
      <c r="R46" s="85"/>
      <c r="S46" s="85"/>
      <c r="T46" s="85"/>
      <c r="U46" s="85">
        <f t="shared" ref="U46" si="11">SUM(U42:Y45)</f>
        <v>1400000</v>
      </c>
      <c r="V46" s="85"/>
      <c r="W46" s="85"/>
      <c r="X46" s="85"/>
      <c r="Y46" s="85"/>
      <c r="Z46" s="85">
        <f t="shared" si="8"/>
        <v>2201600</v>
      </c>
      <c r="AA46" s="85"/>
      <c r="AB46" s="85"/>
      <c r="AC46" s="85"/>
      <c r="AD46" s="85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19"/>
      <c r="C47" s="77">
        <v>42880</v>
      </c>
      <c r="D47" s="77"/>
      <c r="E47" s="77"/>
      <c r="F47" s="75">
        <v>100800</v>
      </c>
      <c r="G47" s="75"/>
      <c r="H47" s="75"/>
      <c r="I47" s="75"/>
      <c r="J47" s="75"/>
      <c r="K47" s="75">
        <v>100000</v>
      </c>
      <c r="L47" s="75"/>
      <c r="M47" s="75"/>
      <c r="N47" s="75"/>
      <c r="O47" s="75"/>
      <c r="P47" s="75">
        <v>100000</v>
      </c>
      <c r="Q47" s="75"/>
      <c r="R47" s="75"/>
      <c r="S47" s="75"/>
      <c r="T47" s="75"/>
      <c r="U47" s="75">
        <v>300000</v>
      </c>
      <c r="V47" s="75"/>
      <c r="W47" s="75"/>
      <c r="X47" s="75"/>
      <c r="Y47" s="75"/>
      <c r="Z47" s="75">
        <f t="shared" si="8"/>
        <v>600800</v>
      </c>
      <c r="AA47" s="75"/>
      <c r="AB47" s="75"/>
      <c r="AC47" s="75"/>
      <c r="AD47" s="75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19"/>
      <c r="C48" s="77">
        <v>42894</v>
      </c>
      <c r="D48" s="77"/>
      <c r="E48" s="77"/>
      <c r="F48" s="75">
        <v>100800</v>
      </c>
      <c r="G48" s="75"/>
      <c r="H48" s="75"/>
      <c r="I48" s="75"/>
      <c r="J48" s="75"/>
      <c r="K48" s="75">
        <v>100000</v>
      </c>
      <c r="L48" s="75"/>
      <c r="M48" s="75"/>
      <c r="N48" s="75"/>
      <c r="O48" s="75"/>
      <c r="P48" s="75">
        <v>100000</v>
      </c>
      <c r="Q48" s="75"/>
      <c r="R48" s="75"/>
      <c r="S48" s="75"/>
      <c r="T48" s="75"/>
      <c r="U48" s="75">
        <v>400000</v>
      </c>
      <c r="V48" s="75"/>
      <c r="W48" s="75"/>
      <c r="X48" s="75"/>
      <c r="Y48" s="75"/>
      <c r="Z48" s="75">
        <f t="shared" si="8"/>
        <v>700800</v>
      </c>
      <c r="AA48" s="75"/>
      <c r="AB48" s="75"/>
      <c r="AC48" s="75"/>
      <c r="AD48" s="75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2:47">
      <c r="B49" s="19"/>
      <c r="C49" s="77">
        <v>42901</v>
      </c>
      <c r="D49" s="77"/>
      <c r="E49" s="77"/>
      <c r="F49" s="75">
        <v>100800</v>
      </c>
      <c r="G49" s="75"/>
      <c r="H49" s="75"/>
      <c r="I49" s="75"/>
      <c r="J49" s="75"/>
      <c r="K49" s="75"/>
      <c r="L49" s="75"/>
      <c r="M49" s="75"/>
      <c r="N49" s="75"/>
      <c r="O49" s="75"/>
      <c r="P49" s="75">
        <v>100000</v>
      </c>
      <c r="Q49" s="75"/>
      <c r="R49" s="75"/>
      <c r="S49" s="75"/>
      <c r="T49" s="75"/>
      <c r="U49" s="75">
        <v>400000</v>
      </c>
      <c r="V49" s="75"/>
      <c r="W49" s="75"/>
      <c r="X49" s="75"/>
      <c r="Y49" s="75"/>
      <c r="Z49" s="75">
        <f t="shared" si="8"/>
        <v>600800</v>
      </c>
      <c r="AA49" s="75"/>
      <c r="AB49" s="75"/>
      <c r="AC49" s="75"/>
      <c r="AD49" s="75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>
      <c r="B50" s="19"/>
      <c r="C50" s="77">
        <v>42908</v>
      </c>
      <c r="D50" s="77"/>
      <c r="E50" s="77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>
        <v>300000</v>
      </c>
      <c r="V50" s="75"/>
      <c r="W50" s="75"/>
      <c r="X50" s="75"/>
      <c r="Y50" s="75"/>
      <c r="Z50" s="75">
        <f t="shared" si="8"/>
        <v>300000</v>
      </c>
      <c r="AA50" s="75"/>
      <c r="AB50" s="75"/>
      <c r="AC50" s="75"/>
      <c r="AD50" s="75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19"/>
      <c r="C51" s="82" t="s">
        <v>43</v>
      </c>
      <c r="D51" s="82"/>
      <c r="E51" s="82"/>
      <c r="F51" s="83">
        <f>SUM(F47:J50)</f>
        <v>302400</v>
      </c>
      <c r="G51" s="83"/>
      <c r="H51" s="83"/>
      <c r="I51" s="83"/>
      <c r="J51" s="83"/>
      <c r="K51" s="83">
        <f t="shared" ref="K51" si="12">SUM(K47:O50)</f>
        <v>200000</v>
      </c>
      <c r="L51" s="83"/>
      <c r="M51" s="83"/>
      <c r="N51" s="83"/>
      <c r="O51" s="83"/>
      <c r="P51" s="83">
        <f t="shared" ref="P51" si="13">SUM(P47:T50)</f>
        <v>300000</v>
      </c>
      <c r="Q51" s="83"/>
      <c r="R51" s="83"/>
      <c r="S51" s="83"/>
      <c r="T51" s="83"/>
      <c r="U51" s="83">
        <f t="shared" ref="U51" si="14">SUM(U47:Y50)</f>
        <v>1400000</v>
      </c>
      <c r="V51" s="83"/>
      <c r="W51" s="83"/>
      <c r="X51" s="83"/>
      <c r="Y51" s="83"/>
      <c r="Z51" s="83">
        <f t="shared" si="8"/>
        <v>2202400</v>
      </c>
      <c r="AA51" s="83"/>
      <c r="AB51" s="83"/>
      <c r="AC51" s="83"/>
      <c r="AD51" s="8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9"/>
      <c r="C52" s="77">
        <v>42915</v>
      </c>
      <c r="D52" s="77"/>
      <c r="E52" s="77"/>
      <c r="F52" s="75">
        <v>100800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>
        <f t="shared" ref="Z52" si="15">SUM(F52:Y52)</f>
        <v>100800</v>
      </c>
      <c r="AA52" s="75"/>
      <c r="AB52" s="75"/>
      <c r="AC52" s="75"/>
      <c r="AD52" s="75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1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40" t="s">
        <v>44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41" t="s">
        <v>46</v>
      </c>
      <c r="C55" s="3" t="s">
        <v>50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9"/>
      <c r="C56" s="3" t="s">
        <v>51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40" t="s">
        <v>45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>
      <c r="B59" s="41" t="s">
        <v>46</v>
      </c>
      <c r="C59" s="3" t="s">
        <v>52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41"/>
      <c r="C60" s="3" t="s">
        <v>63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40" t="s">
        <v>48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41" t="s">
        <v>46</v>
      </c>
      <c r="C63" s="3" t="s">
        <v>49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4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>
      <c r="B65" s="40" t="s">
        <v>69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8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14"/>
    </row>
    <row r="66" spans="2:47">
      <c r="B66" s="41" t="s">
        <v>46</v>
      </c>
      <c r="C66" s="3" t="s">
        <v>68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8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14"/>
    </row>
    <row r="67" spans="2:47" ht="15" thickBot="1">
      <c r="B67" s="2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23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6"/>
    </row>
    <row r="68" spans="2:47">
      <c r="B68" s="89" t="s">
        <v>18</v>
      </c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1"/>
    </row>
    <row r="69" spans="2:47">
      <c r="B69" s="41" t="s">
        <v>46</v>
      </c>
      <c r="C69" s="3" t="s">
        <v>47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2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2"/>
      <c r="U71" s="22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3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182">
    <mergeCell ref="K51:O51"/>
    <mergeCell ref="P51:T51"/>
    <mergeCell ref="U51:Y51"/>
    <mergeCell ref="Z51:AD51"/>
    <mergeCell ref="C52:E52"/>
    <mergeCell ref="F52:J52"/>
    <mergeCell ref="K52:O52"/>
    <mergeCell ref="P52:T52"/>
    <mergeCell ref="U52:Y52"/>
    <mergeCell ref="Z52:AD52"/>
    <mergeCell ref="K49:O49"/>
    <mergeCell ref="P49:T49"/>
    <mergeCell ref="U49:Y49"/>
    <mergeCell ref="Z49:AD49"/>
    <mergeCell ref="F50:J50"/>
    <mergeCell ref="K50:O50"/>
    <mergeCell ref="P50:T50"/>
    <mergeCell ref="U50:Y50"/>
    <mergeCell ref="Z50:AD50"/>
    <mergeCell ref="K47:O47"/>
    <mergeCell ref="P47:T47"/>
    <mergeCell ref="U47:Y47"/>
    <mergeCell ref="Z47:AD47"/>
    <mergeCell ref="F48:J48"/>
    <mergeCell ref="K48:O48"/>
    <mergeCell ref="P48:T48"/>
    <mergeCell ref="U48:Y48"/>
    <mergeCell ref="Z48:AD48"/>
    <mergeCell ref="K45:O45"/>
    <mergeCell ref="P45:T45"/>
    <mergeCell ref="U45:Y45"/>
    <mergeCell ref="Z45:AD45"/>
    <mergeCell ref="F46:J46"/>
    <mergeCell ref="K46:O46"/>
    <mergeCell ref="P46:T46"/>
    <mergeCell ref="U46:Y46"/>
    <mergeCell ref="Z46:AD46"/>
    <mergeCell ref="K43:O43"/>
    <mergeCell ref="P43:T43"/>
    <mergeCell ref="U43:Y43"/>
    <mergeCell ref="Z43:AD43"/>
    <mergeCell ref="F44:J44"/>
    <mergeCell ref="K44:O44"/>
    <mergeCell ref="P44:T44"/>
    <mergeCell ref="U44:Y44"/>
    <mergeCell ref="Z44:AD44"/>
    <mergeCell ref="C48:E48"/>
    <mergeCell ref="C49:E49"/>
    <mergeCell ref="C50:E50"/>
    <mergeCell ref="C51:E51"/>
    <mergeCell ref="F43:J43"/>
    <mergeCell ref="F45:J45"/>
    <mergeCell ref="F47:J47"/>
    <mergeCell ref="F49:J49"/>
    <mergeCell ref="F51:J51"/>
    <mergeCell ref="C43:E43"/>
    <mergeCell ref="C44:E44"/>
    <mergeCell ref="C45:E45"/>
    <mergeCell ref="C46:E46"/>
    <mergeCell ref="C47:E47"/>
    <mergeCell ref="F42:J42"/>
    <mergeCell ref="K42:O42"/>
    <mergeCell ref="P42:T42"/>
    <mergeCell ref="U42:Y42"/>
    <mergeCell ref="Z42:AD42"/>
    <mergeCell ref="F41:J41"/>
    <mergeCell ref="K41:O41"/>
    <mergeCell ref="P41:T41"/>
    <mergeCell ref="U41:Y41"/>
    <mergeCell ref="Z41:AD41"/>
    <mergeCell ref="P39:T39"/>
    <mergeCell ref="U39:Y39"/>
    <mergeCell ref="Z39:AD39"/>
    <mergeCell ref="F40:J40"/>
    <mergeCell ref="K40:O40"/>
    <mergeCell ref="P40:T40"/>
    <mergeCell ref="U40:Y40"/>
    <mergeCell ref="Z40:AD40"/>
    <mergeCell ref="U37:Y37"/>
    <mergeCell ref="Z37:AD37"/>
    <mergeCell ref="F38:J38"/>
    <mergeCell ref="K38:O38"/>
    <mergeCell ref="P38:T38"/>
    <mergeCell ref="U38:Y38"/>
    <mergeCell ref="Z38:AD38"/>
    <mergeCell ref="U35:Y35"/>
    <mergeCell ref="Z35:AD35"/>
    <mergeCell ref="F36:J36"/>
    <mergeCell ref="K36:O36"/>
    <mergeCell ref="P36:T36"/>
    <mergeCell ref="U36:Y36"/>
    <mergeCell ref="Z36:AD36"/>
    <mergeCell ref="U33:Y33"/>
    <mergeCell ref="Z33:AD33"/>
    <mergeCell ref="F34:J34"/>
    <mergeCell ref="K34:O34"/>
    <mergeCell ref="P34:T34"/>
    <mergeCell ref="U34:Y34"/>
    <mergeCell ref="Z34:AD34"/>
    <mergeCell ref="U31:Y31"/>
    <mergeCell ref="Z31:AD31"/>
    <mergeCell ref="F32:J32"/>
    <mergeCell ref="K32:O32"/>
    <mergeCell ref="P32:T32"/>
    <mergeCell ref="U32:Y32"/>
    <mergeCell ref="Z32:AD32"/>
    <mergeCell ref="C41:E41"/>
    <mergeCell ref="C42:E42"/>
    <mergeCell ref="F31:J31"/>
    <mergeCell ref="K31:O31"/>
    <mergeCell ref="P31:T31"/>
    <mergeCell ref="F33:J33"/>
    <mergeCell ref="K33:O33"/>
    <mergeCell ref="P33:T33"/>
    <mergeCell ref="F35:J35"/>
    <mergeCell ref="K35:O35"/>
    <mergeCell ref="P35:T35"/>
    <mergeCell ref="F37:J37"/>
    <mergeCell ref="K37:O37"/>
    <mergeCell ref="P37:T37"/>
    <mergeCell ref="F39:J39"/>
    <mergeCell ref="K39:O39"/>
    <mergeCell ref="C36:E36"/>
    <mergeCell ref="C37:E37"/>
    <mergeCell ref="C38:E38"/>
    <mergeCell ref="C39:E39"/>
    <mergeCell ref="C40:E40"/>
    <mergeCell ref="C31:E31"/>
    <mergeCell ref="C32:E32"/>
    <mergeCell ref="C33:E33"/>
    <mergeCell ref="C34:E34"/>
    <mergeCell ref="C35:E35"/>
    <mergeCell ref="Z27:AD27"/>
    <mergeCell ref="Z28:AD28"/>
    <mergeCell ref="U24:Y24"/>
    <mergeCell ref="U25:Y25"/>
    <mergeCell ref="U26:Y26"/>
    <mergeCell ref="U27:Y27"/>
    <mergeCell ref="U28:Y28"/>
    <mergeCell ref="K26:O26"/>
    <mergeCell ref="K27:O27"/>
    <mergeCell ref="K28:O28"/>
    <mergeCell ref="P24:T24"/>
    <mergeCell ref="P25:T25"/>
    <mergeCell ref="P26:T26"/>
    <mergeCell ref="P27:T27"/>
    <mergeCell ref="P28:T28"/>
    <mergeCell ref="B68:AU68"/>
    <mergeCell ref="H7:J9"/>
    <mergeCell ref="L7:N9"/>
    <mergeCell ref="G5:Q6"/>
    <mergeCell ref="G11:X14"/>
    <mergeCell ref="B22:AU22"/>
    <mergeCell ref="X7:AI7"/>
    <mergeCell ref="X8:AI8"/>
    <mergeCell ref="X9:AI9"/>
    <mergeCell ref="F25:J25"/>
    <mergeCell ref="F26:J26"/>
    <mergeCell ref="F27:J27"/>
    <mergeCell ref="F28:J28"/>
    <mergeCell ref="F24:J24"/>
    <mergeCell ref="K24:O24"/>
    <mergeCell ref="K25:O25"/>
    <mergeCell ref="C25:E25"/>
    <mergeCell ref="C26:E26"/>
    <mergeCell ref="C27:E27"/>
    <mergeCell ref="C28:E28"/>
    <mergeCell ref="C24:E24"/>
    <mergeCell ref="Z24:AD24"/>
    <mergeCell ref="Z25:AD25"/>
    <mergeCell ref="Z26:AD26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2017-03-08T00:17:58Z</cp:lastPrinted>
  <dcterms:created xsi:type="dcterms:W3CDTF">2016-09-01T00:00:56Z</dcterms:created>
  <dcterms:modified xsi:type="dcterms:W3CDTF">2017-03-08T00:20:04Z</dcterms:modified>
</cp:coreProperties>
</file>