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/>
  </bookViews>
  <sheets>
    <sheet name="BTF" sheetId="2" r:id="rId1"/>
    <sheet name="KM" sheetId="4" r:id="rId2"/>
    <sheet name="KJ" sheetId="5" r:id="rId3"/>
    <sheet name="Sheet1" sheetId="3" r:id="rId4"/>
  </sheets>
  <definedNames>
    <definedName name="_xlnm.Print_Area" localSheetId="0">BTF!$B$1:$AU$71</definedName>
    <definedName name="_xlnm.Print_Area" localSheetId="1">KM!$B$1:$X$48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5" l="1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W48" i="4"/>
  <c r="D47" i="4"/>
  <c r="D46" i="4"/>
  <c r="D45" i="4"/>
  <c r="D44" i="4"/>
  <c r="D43" i="4"/>
  <c r="D42" i="4"/>
  <c r="D41" i="4"/>
  <c r="D40" i="4"/>
  <c r="D39" i="4"/>
  <c r="D38" i="4"/>
  <c r="V37" i="4"/>
  <c r="D37" i="4"/>
  <c r="V36" i="4"/>
  <c r="D36" i="4"/>
  <c r="D35" i="4"/>
  <c r="D34" i="4"/>
  <c r="V33" i="4"/>
  <c r="D33" i="4"/>
  <c r="V32" i="4"/>
  <c r="D32" i="4"/>
  <c r="D31" i="4"/>
  <c r="D30" i="4"/>
  <c r="V29" i="4"/>
  <c r="D29" i="4"/>
  <c r="V28" i="4"/>
  <c r="D28" i="4"/>
  <c r="D27" i="4"/>
  <c r="D26" i="4"/>
  <c r="V25" i="4"/>
  <c r="D25" i="4"/>
  <c r="V24" i="4"/>
  <c r="D24" i="4"/>
  <c r="D23" i="4"/>
  <c r="D22" i="4"/>
  <c r="X21" i="4"/>
  <c r="X48" i="4" s="1"/>
  <c r="D21" i="4"/>
  <c r="V20" i="4"/>
  <c r="D20" i="4"/>
  <c r="D19" i="4"/>
  <c r="D18" i="4"/>
  <c r="G17" i="4"/>
  <c r="D17" i="4"/>
  <c r="D16" i="4"/>
  <c r="I15" i="4"/>
  <c r="G15" i="4"/>
  <c r="D15" i="4"/>
  <c r="D14" i="4"/>
  <c r="D13" i="4"/>
  <c r="I12" i="4"/>
  <c r="D12" i="4"/>
  <c r="D11" i="4"/>
  <c r="G10" i="4"/>
  <c r="D10" i="4"/>
  <c r="D9" i="4"/>
  <c r="D8" i="4"/>
</calcChain>
</file>

<file path=xl/sharedStrings.xml><?xml version="1.0" encoding="utf-8"?>
<sst xmlns="http://schemas.openxmlformats.org/spreadsheetml/2006/main" count="163" uniqueCount="123">
  <si>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</si>
  <si>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</si>
  <si>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</si>
  <si>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</si>
  <si>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</si>
  <si>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</si>
  <si>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</si>
  <si>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</si>
  <si>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</si>
  <si>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</si>
  <si>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</si>
  <si>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</si>
  <si>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</si>
  <si>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</si>
  <si>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</si>
  <si>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</si>
  <si>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</si>
  <si>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</si>
  <si>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</si>
  <si>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</si>
  <si>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</si>
  <si>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</si>
  <si>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</si>
  <si>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</si>
  <si>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</si>
  <si>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Mr. Sivakumar</t>
  </si>
  <si>
    <t>Kamaya Electric (M) Sdn.Bhd</t>
  </si>
  <si>
    <t>Mr. Tony</t>
  </si>
  <si>
    <t>Ms. Emily</t>
  </si>
  <si>
    <t>■</t>
  </si>
  <si>
    <t>Delivery schedule Aug &amp; Sep</t>
  </si>
  <si>
    <t>Pink box return schedule &amp; procedure</t>
  </si>
  <si>
    <t>New plant progress</t>
  </si>
  <si>
    <t>KA0201 &amp; 7910M condition</t>
  </si>
  <si>
    <t>TS16949 Aug status</t>
  </si>
  <si>
    <t>DELIVERY SCHEDULE :  KAMAYA [MALAYSIA]　</t>
  </si>
  <si>
    <t>Mr. Tony Shum (Pur)</t>
  </si>
  <si>
    <t>tonyshum@kamaya.com.my</t>
  </si>
  <si>
    <t>Ms. Emily (Pur)</t>
  </si>
  <si>
    <t>emilychai@kamaua.com.my</t>
  </si>
  <si>
    <t>Mr. Ridzwan (Log)</t>
  </si>
  <si>
    <t>ridzwan@kamaya.com.my</t>
  </si>
  <si>
    <t>Inv. No</t>
  </si>
  <si>
    <t>ETD M[M]</t>
  </si>
  <si>
    <t>Total Qty</t>
  </si>
  <si>
    <r>
      <t xml:space="preserve">Kamaya Electric [M] Sdn.Bhd  </t>
    </r>
    <r>
      <rPr>
        <b/>
        <sz val="16"/>
        <color rgb="FFFF0066"/>
        <rFont val="Tahoma"/>
        <family val="2"/>
      </rPr>
      <t>Pink Box Packaging</t>
    </r>
  </si>
  <si>
    <t>Pink Box &amp; Plastics Pallet</t>
  </si>
  <si>
    <t>KA0201</t>
  </si>
  <si>
    <t>7910M</t>
  </si>
  <si>
    <t>3080M</t>
  </si>
  <si>
    <t>1598M</t>
  </si>
  <si>
    <t>874M</t>
  </si>
  <si>
    <t>YA1210</t>
  </si>
  <si>
    <t>YA2010</t>
  </si>
  <si>
    <t>YA2512</t>
  </si>
  <si>
    <t>2550AM</t>
  </si>
  <si>
    <t>60x70x0.10T</t>
  </si>
  <si>
    <t>60x70x0.28T</t>
  </si>
  <si>
    <t>T1608-4AML</t>
  </si>
  <si>
    <t>T1005-4AML</t>
  </si>
  <si>
    <t>ETD Maruwa</t>
  </si>
  <si>
    <t>ETD Kamaya</t>
  </si>
  <si>
    <t>IR27ARW</t>
  </si>
  <si>
    <t>SA-10A</t>
  </si>
  <si>
    <t>SA-28A</t>
  </si>
  <si>
    <t>R1532LRW</t>
  </si>
  <si>
    <t>R1020MRW</t>
  </si>
  <si>
    <t>rank44A</t>
  </si>
  <si>
    <t>rank55</t>
  </si>
  <si>
    <t>Pallet</t>
  </si>
  <si>
    <t>Pink Box</t>
  </si>
  <si>
    <t>Inv. No.</t>
  </si>
  <si>
    <t>CV100004</t>
  </si>
  <si>
    <t>CV100005</t>
  </si>
  <si>
    <t>CV100006</t>
  </si>
  <si>
    <t>CV100176</t>
  </si>
  <si>
    <t>CV100177</t>
  </si>
  <si>
    <t>CV100276</t>
  </si>
  <si>
    <t>CV100277</t>
  </si>
  <si>
    <t>CV100387</t>
  </si>
  <si>
    <t>CV100492</t>
  </si>
  <si>
    <t>CV100528</t>
  </si>
  <si>
    <t>Nil</t>
  </si>
  <si>
    <t>NIl</t>
  </si>
  <si>
    <t>Balance In Kamaya</t>
  </si>
  <si>
    <t>DELIVERY SCHEDULE : KAMAYA [JAPAN]</t>
  </si>
  <si>
    <t>emilychai@kamaya.com.my</t>
  </si>
  <si>
    <t>Mr. Oosawa Tadashi</t>
  </si>
  <si>
    <t>oosawat@kamaya.co.jp</t>
  </si>
  <si>
    <r>
      <t xml:space="preserve">Kamaya Electric Co.,Ltd   </t>
    </r>
    <r>
      <rPr>
        <b/>
        <sz val="16"/>
        <color rgb="FFC00000"/>
        <rFont val="Tahoma"/>
        <family val="2"/>
      </rPr>
      <t>Carton Packaging [FEDEX: 247500367 Ex-work]</t>
    </r>
  </si>
  <si>
    <t>65x74x0.20T</t>
  </si>
  <si>
    <t>24C 6K/mth</t>
  </si>
  <si>
    <t>CV100370F</t>
  </si>
  <si>
    <t>CV100500F</t>
  </si>
  <si>
    <t>CV100633F</t>
  </si>
  <si>
    <t xml:space="preserve">16-Aug delivery schedule 439.5Kpcs and 17-Aug will collect pink box 4 pallets. </t>
  </si>
  <si>
    <t>Sep delivery schedule on 13-Sep 424.5Kpcs and 20-Sep 228Kpcs.</t>
  </si>
  <si>
    <t>New order for Oct will be issue by end Aug.</t>
  </si>
  <si>
    <t>DELIVERY SCHEDULE</t>
  </si>
  <si>
    <t>New plant construction started with 20% completed. Expected to finish by Apr-18. New plant will mainly for KA0201 type</t>
  </si>
  <si>
    <t>of 5.5B = 250Kpcs substrate additional use. Currently KA0201 with single supplier ECT supply 250K/mth = 5.5B of current</t>
  </si>
  <si>
    <t>production. Future KA0201 total production will be 11B = 500K/month.</t>
  </si>
  <si>
    <t>Mr. Tony mentioned that they required MARUWA to improve KA0201 warp quality issue. KAMAYA really need MARUWA</t>
  </si>
  <si>
    <t>to support KA0201 especially MARUWA have advantage of being local manufacturer.</t>
  </si>
  <si>
    <t>KA0201 x RM0.7569 = RM189,225 of sales amount increase per month.</t>
  </si>
  <si>
    <t>Mr Tony had given ECT KA0201 sample product for MARUWA to study and improve warp quality. Later he will e-mail ECT</t>
  </si>
  <si>
    <t>KA0201 product drawing.</t>
  </si>
  <si>
    <t>Mr. Tony request MARUWA to re-submit warp improvement KA0201 1 pink box = 1,000pcs ASAP for re-qualification.</t>
  </si>
  <si>
    <t>KA0201 &amp; NEW PLANT [4 Stories]</t>
  </si>
  <si>
    <t xml:space="preserve">Currently KAMAYA produce 7.5B and KA0201 is 5.5B = 250K/month. Future with new plant production capacity will be </t>
  </si>
  <si>
    <t>13B and KA0201 expected to produce 11B = 500K/month</t>
  </si>
  <si>
    <t>MARUWA new order will re-start on early 2018 after KAMAYA finish ECT stock. No quality issue of 7910M.</t>
  </si>
  <si>
    <t>KAMAYA will be more on automotive industries customers especiall BOSCH [German]. That why KAMAYA main product</t>
  </si>
  <si>
    <t>KA0201 will be increase rapidly next year.</t>
  </si>
  <si>
    <t>TS16949 [AITF]</t>
  </si>
  <si>
    <t>Mr. Tony request MARUWA to submit TS16949 monthly progress. Also will be advantage for MARUWA to certify VDA 6.3</t>
  </si>
  <si>
    <t>as all automotive customer required to certify VDA 6.3.</t>
  </si>
  <si>
    <t>Mr. Tony inform that ECT is commited to certify TS16949 [IATF] by end 2018.</t>
  </si>
  <si>
    <t>KAMAYA Audit Q4 [Oct-Dec]</t>
  </si>
  <si>
    <t>KAMAYA had schedule to audit MARUWA on Q4 [Oct-Dec] with VDA 6.3 checklist.</t>
  </si>
  <si>
    <t xml:space="preserve">MARUWA need to get KA0201 order. Without KA0201 order MARUWA can't increase sales amount and share %. KAMAYA </t>
  </si>
  <si>
    <t>production have warp fobia with MARUWA KA0201. MARUWA manage to eliminate warp fobia of M-type and YA-series, so</t>
  </si>
  <si>
    <r>
      <t>it's not impossible to eliminate</t>
    </r>
    <r>
      <rPr>
        <b/>
        <u/>
        <sz val="12"/>
        <color rgb="FFFF0000"/>
        <rFont val="MS UI Gothic"/>
        <family val="2"/>
      </rPr>
      <t xml:space="preserve"> "KA0201 Warp Phobia".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</si>
</sst>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/m/d;@"/>
    <numFmt numFmtId="165" formatCode="[$-409]d\-mmm;@"/>
    <numFmt numFmtId="166" formatCode="[$-409]dd\-mmm\-yy;@"/>
  </numFmts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1"/>
      <name val="MS UI Gothic"/>
      <family val="2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  <font>
      <sz val="16"/>
      <color theme="1"/>
      <name val="Tahoma"/>
      <family val="2"/>
    </font>
    <font>
      <b/>
      <sz val="36"/>
      <color theme="1"/>
      <name val="Tahoma"/>
      <family val="2"/>
    </font>
    <font>
      <b/>
      <sz val="16"/>
      <color theme="1"/>
      <name val="Tahoma"/>
      <family val="2"/>
    </font>
    <font>
      <b/>
      <sz val="16"/>
      <color rgb="FFFF0066"/>
      <name val="Tahoma"/>
      <family val="2"/>
    </font>
    <font>
      <sz val="16"/>
      <color rgb="FFFF0000"/>
      <name val="Tahoma"/>
      <family val="2"/>
    </font>
    <font>
      <b/>
      <sz val="16"/>
      <color rgb="FFC00000"/>
      <name val="Tahoma"/>
      <family val="2"/>
    </font>
    <font>
      <b/>
      <u/>
      <sz val="12"/>
      <color rgb="FFFF0000"/>
      <name val="MS UI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206">
    <xf numFmtId="0" fontId="0" fillId="0" borderId="0" xfId="0"/>
    <xf numFmtId="0" fontId="3" fillId="3" borderId="0" xfId="1" applyFont="1" applyFill="1" applyBorder="1" applyAlignment="1"/>
    <xf numFmtId="0" fontId="4" fillId="3" borderId="0" xfId="1" applyFont="1" applyFill="1" applyBorder="1">
      <alignment vertical="center"/>
    </xf>
    <xf numFmtId="0" fontId="6" fillId="3" borderId="0" xfId="1" applyFont="1" applyFill="1" applyBorder="1" applyAlignment="1"/>
    <xf numFmtId="0" fontId="4" fillId="3" borderId="0" xfId="1" applyFont="1" applyFill="1">
      <alignment vertical="center"/>
    </xf>
    <xf numFmtId="0" fontId="3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right" vertical="center"/>
    </xf>
    <xf numFmtId="0" fontId="3" fillId="3" borderId="0" xfId="1" applyFont="1" applyFill="1" applyBorder="1">
      <alignment vertical="center"/>
    </xf>
    <xf numFmtId="0" fontId="8" fillId="3" borderId="0" xfId="1" applyFont="1" applyFill="1" applyBorder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4" fillId="3" borderId="3" xfId="1" applyNumberFormat="1" applyFont="1" applyFill="1" applyBorder="1" applyAlignment="1">
      <alignment horizontal="left" vertical="center"/>
    </xf>
    <xf numFmtId="0" fontId="3" fillId="3" borderId="3" xfId="1" quotePrefix="1" applyNumberFormat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right" vertical="center"/>
    </xf>
    <xf numFmtId="0" fontId="4" fillId="3" borderId="4" xfId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left" vertical="center"/>
    </xf>
    <xf numFmtId="0" fontId="3" fillId="3" borderId="0" xfId="1" quotePrefix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right" vertical="center"/>
    </xf>
    <xf numFmtId="0" fontId="4" fillId="3" borderId="6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right" vertical="center"/>
    </xf>
    <xf numFmtId="0" fontId="4" fillId="3" borderId="8" xfId="1" applyNumberFormat="1" applyFont="1" applyFill="1" applyBorder="1" applyAlignment="1">
      <alignment horizontal="left" vertical="center"/>
    </xf>
    <xf numFmtId="0" fontId="4" fillId="3" borderId="3" xfId="1" applyFont="1" applyFill="1" applyBorder="1">
      <alignment vertical="center"/>
    </xf>
    <xf numFmtId="0" fontId="4" fillId="3" borderId="4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8" xfId="1" applyFont="1" applyFill="1" applyBorder="1">
      <alignment vertical="center"/>
    </xf>
    <xf numFmtId="0" fontId="4" fillId="3" borderId="5" xfId="1" applyFont="1" applyFill="1" applyBorder="1">
      <alignment vertical="center"/>
    </xf>
    <xf numFmtId="0" fontId="4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1" xfId="1" quotePrefix="1" applyFont="1" applyFill="1" applyBorder="1">
      <alignment vertical="center"/>
    </xf>
    <xf numFmtId="165" fontId="11" fillId="3" borderId="0" xfId="0" applyNumberFormat="1" applyFont="1" applyFill="1" applyAlignment="1">
      <alignment horizontal="center" vertical="center"/>
    </xf>
    <xf numFmtId="166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166" fontId="11" fillId="3" borderId="0" xfId="0" applyNumberFormat="1" applyFont="1" applyFill="1" applyAlignment="1">
      <alignment horizontal="right" vertical="center"/>
    </xf>
    <xf numFmtId="3" fontId="11" fillId="4" borderId="16" xfId="0" applyNumberFormat="1" applyFont="1" applyFill="1" applyBorder="1" applyAlignment="1">
      <alignment horizontal="center" vertical="center"/>
    </xf>
    <xf numFmtId="3" fontId="11" fillId="4" borderId="17" xfId="0" applyNumberFormat="1" applyFont="1" applyFill="1" applyBorder="1" applyAlignment="1">
      <alignment horizontal="center" vertical="center"/>
    </xf>
    <xf numFmtId="3" fontId="11" fillId="6" borderId="17" xfId="0" applyNumberFormat="1" applyFont="1" applyFill="1" applyBorder="1" applyAlignment="1">
      <alignment horizontal="center" vertical="center"/>
    </xf>
    <xf numFmtId="3" fontId="11" fillId="6" borderId="18" xfId="0" applyNumberFormat="1" applyFont="1" applyFill="1" applyBorder="1" applyAlignment="1">
      <alignment horizontal="center" vertical="center"/>
    </xf>
    <xf numFmtId="3" fontId="11" fillId="4" borderId="25" xfId="0" applyNumberFormat="1" applyFont="1" applyFill="1" applyBorder="1" applyAlignment="1">
      <alignment horizontal="center" vertical="center"/>
    </xf>
    <xf numFmtId="3" fontId="11" fillId="4" borderId="26" xfId="0" applyNumberFormat="1" applyFont="1" applyFill="1" applyBorder="1" applyAlignment="1">
      <alignment horizontal="center" vertical="center"/>
    </xf>
    <xf numFmtId="3" fontId="15" fillId="6" borderId="26" xfId="0" applyNumberFormat="1" applyFont="1" applyFill="1" applyBorder="1" applyAlignment="1">
      <alignment horizontal="center" vertical="center"/>
    </xf>
    <xf numFmtId="3" fontId="15" fillId="6" borderId="27" xfId="0" applyNumberFormat="1" applyFont="1" applyFill="1" applyBorder="1" applyAlignment="1">
      <alignment horizontal="center" vertical="center"/>
    </xf>
    <xf numFmtId="3" fontId="11" fillId="5" borderId="28" xfId="0" applyNumberFormat="1" applyFont="1" applyFill="1" applyBorder="1" applyAlignment="1">
      <alignment horizontal="center" vertical="center"/>
    </xf>
    <xf numFmtId="3" fontId="11" fillId="5" borderId="24" xfId="0" applyNumberFormat="1" applyFont="1" applyFill="1" applyBorder="1" applyAlignment="1">
      <alignment horizontal="center" vertical="center"/>
    </xf>
    <xf numFmtId="166" fontId="11" fillId="5" borderId="24" xfId="0" applyNumberFormat="1" applyFont="1" applyFill="1" applyBorder="1" applyAlignment="1">
      <alignment horizontal="center" vertical="center"/>
    </xf>
    <xf numFmtId="3" fontId="11" fillId="5" borderId="29" xfId="0" applyNumberFormat="1" applyFont="1" applyFill="1" applyBorder="1" applyAlignment="1">
      <alignment horizontal="center" vertical="center"/>
    </xf>
    <xf numFmtId="0" fontId="11" fillId="4" borderId="30" xfId="0" applyNumberFormat="1" applyFont="1" applyFill="1" applyBorder="1" applyAlignment="1">
      <alignment horizontal="center" vertical="center"/>
    </xf>
    <xf numFmtId="166" fontId="11" fillId="4" borderId="31" xfId="0" applyNumberFormat="1" applyFont="1" applyFill="1" applyBorder="1" applyAlignment="1">
      <alignment horizontal="center" vertical="center"/>
    </xf>
    <xf numFmtId="3" fontId="11" fillId="4" borderId="31" xfId="0" applyNumberFormat="1" applyFont="1" applyFill="1" applyBorder="1" applyAlignment="1">
      <alignment horizontal="right" vertical="center"/>
    </xf>
    <xf numFmtId="3" fontId="11" fillId="4" borderId="32" xfId="0" applyNumberFormat="1" applyFont="1" applyFill="1" applyBorder="1" applyAlignment="1">
      <alignment horizontal="right" vertical="center"/>
    </xf>
    <xf numFmtId="3" fontId="11" fillId="4" borderId="33" xfId="0" applyNumberFormat="1" applyFont="1" applyFill="1" applyBorder="1" applyAlignment="1">
      <alignment horizontal="right" vertical="center"/>
    </xf>
    <xf numFmtId="3" fontId="11" fillId="6" borderId="33" xfId="0" applyNumberFormat="1" applyFont="1" applyFill="1" applyBorder="1" applyAlignment="1">
      <alignment horizontal="right" vertical="center"/>
    </xf>
    <xf numFmtId="3" fontId="11" fillId="6" borderId="34" xfId="0" applyNumberFormat="1" applyFont="1" applyFill="1" applyBorder="1" applyAlignment="1">
      <alignment horizontal="right" vertical="center"/>
    </xf>
    <xf numFmtId="3" fontId="11" fillId="5" borderId="30" xfId="0" applyNumberFormat="1" applyFont="1" applyFill="1" applyBorder="1" applyAlignment="1">
      <alignment horizontal="right" vertical="center"/>
    </xf>
    <xf numFmtId="3" fontId="11" fillId="5" borderId="32" xfId="0" applyNumberFormat="1" applyFont="1" applyFill="1" applyBorder="1" applyAlignment="1">
      <alignment horizontal="right" vertical="center"/>
    </xf>
    <xf numFmtId="166" fontId="11" fillId="5" borderId="32" xfId="0" applyNumberFormat="1" applyFont="1" applyFill="1" applyBorder="1" applyAlignment="1">
      <alignment horizontal="right" vertical="center"/>
    </xf>
    <xf numFmtId="3" fontId="11" fillId="5" borderId="34" xfId="0" applyNumberFormat="1" applyFont="1" applyFill="1" applyBorder="1" applyAlignment="1">
      <alignment horizontal="right" vertical="center"/>
    </xf>
    <xf numFmtId="0" fontId="11" fillId="4" borderId="35" xfId="0" applyNumberFormat="1" applyFont="1" applyFill="1" applyBorder="1" applyAlignment="1">
      <alignment horizontal="center" vertical="center"/>
    </xf>
    <xf numFmtId="166" fontId="11" fillId="4" borderId="36" xfId="0" applyNumberFormat="1" applyFont="1" applyFill="1" applyBorder="1" applyAlignment="1">
      <alignment horizontal="center" vertical="center"/>
    </xf>
    <xf numFmtId="3" fontId="11" fillId="4" borderId="36" xfId="0" applyNumberFormat="1" applyFont="1" applyFill="1" applyBorder="1" applyAlignment="1">
      <alignment horizontal="right" vertical="center"/>
    </xf>
    <xf numFmtId="3" fontId="11" fillId="4" borderId="37" xfId="0" applyNumberFormat="1" applyFont="1" applyFill="1" applyBorder="1" applyAlignment="1">
      <alignment horizontal="right" vertical="center"/>
    </xf>
    <xf numFmtId="3" fontId="11" fillId="4" borderId="38" xfId="0" applyNumberFormat="1" applyFont="1" applyFill="1" applyBorder="1" applyAlignment="1">
      <alignment horizontal="right" vertical="center"/>
    </xf>
    <xf numFmtId="3" fontId="11" fillId="6" borderId="38" xfId="0" applyNumberFormat="1" applyFont="1" applyFill="1" applyBorder="1" applyAlignment="1">
      <alignment horizontal="right" vertical="center"/>
    </xf>
    <xf numFmtId="3" fontId="11" fillId="6" borderId="39" xfId="0" applyNumberFormat="1" applyFont="1" applyFill="1" applyBorder="1" applyAlignment="1">
      <alignment horizontal="right" vertical="center"/>
    </xf>
    <xf numFmtId="3" fontId="11" fillId="5" borderId="35" xfId="0" applyNumberFormat="1" applyFont="1" applyFill="1" applyBorder="1" applyAlignment="1">
      <alignment horizontal="right" vertical="center"/>
    </xf>
    <xf numFmtId="3" fontId="11" fillId="5" borderId="37" xfId="0" applyNumberFormat="1" applyFont="1" applyFill="1" applyBorder="1" applyAlignment="1">
      <alignment horizontal="right" vertical="center"/>
    </xf>
    <xf numFmtId="166" fontId="11" fillId="5" borderId="37" xfId="0" applyNumberFormat="1" applyFont="1" applyFill="1" applyBorder="1" applyAlignment="1">
      <alignment horizontal="right" vertical="center"/>
    </xf>
    <xf numFmtId="3" fontId="11" fillId="5" borderId="39" xfId="0" applyNumberFormat="1" applyFont="1" applyFill="1" applyBorder="1" applyAlignment="1">
      <alignment horizontal="right" vertical="center"/>
    </xf>
    <xf numFmtId="0" fontId="11" fillId="4" borderId="13" xfId="0" applyNumberFormat="1" applyFont="1" applyFill="1" applyBorder="1" applyAlignment="1">
      <alignment horizontal="center" vertical="center"/>
    </xf>
    <xf numFmtId="166" fontId="11" fillId="4" borderId="40" xfId="0" applyNumberFormat="1" applyFont="1" applyFill="1" applyBorder="1" applyAlignment="1">
      <alignment horizontal="center" vertical="center"/>
    </xf>
    <xf numFmtId="3" fontId="11" fillId="4" borderId="40" xfId="0" applyNumberFormat="1" applyFont="1" applyFill="1" applyBorder="1" applyAlignment="1">
      <alignment horizontal="right" vertical="center"/>
    </xf>
    <xf numFmtId="3" fontId="11" fillId="4" borderId="10" xfId="0" applyNumberFormat="1" applyFont="1" applyFill="1" applyBorder="1" applyAlignment="1">
      <alignment horizontal="right" vertical="center"/>
    </xf>
    <xf numFmtId="3" fontId="11" fillId="4" borderId="11" xfId="0" applyNumberFormat="1" applyFont="1" applyFill="1" applyBorder="1" applyAlignment="1">
      <alignment horizontal="right" vertical="center"/>
    </xf>
    <xf numFmtId="3" fontId="11" fillId="6" borderId="11" xfId="0" applyNumberFormat="1" applyFont="1" applyFill="1" applyBorder="1" applyAlignment="1">
      <alignment horizontal="right" vertical="center"/>
    </xf>
    <xf numFmtId="3" fontId="11" fillId="6" borderId="12" xfId="0" applyNumberFormat="1" applyFont="1" applyFill="1" applyBorder="1" applyAlignment="1">
      <alignment horizontal="right" vertical="center"/>
    </xf>
    <xf numFmtId="3" fontId="11" fillId="5" borderId="13" xfId="0" applyNumberFormat="1" applyFont="1" applyFill="1" applyBorder="1" applyAlignment="1">
      <alignment horizontal="right" vertical="center"/>
    </xf>
    <xf numFmtId="3" fontId="11" fillId="5" borderId="10" xfId="0" applyNumberFormat="1" applyFont="1" applyFill="1" applyBorder="1" applyAlignment="1">
      <alignment horizontal="right" vertical="center"/>
    </xf>
    <xf numFmtId="166" fontId="11" fillId="5" borderId="10" xfId="0" applyNumberFormat="1" applyFont="1" applyFill="1" applyBorder="1" applyAlignment="1">
      <alignment horizontal="right" vertical="center"/>
    </xf>
    <xf numFmtId="3" fontId="11" fillId="5" borderId="12" xfId="0" applyNumberFormat="1" applyFont="1" applyFill="1" applyBorder="1" applyAlignment="1">
      <alignment horizontal="right" vertical="center"/>
    </xf>
    <xf numFmtId="0" fontId="11" fillId="4" borderId="19" xfId="0" applyNumberFormat="1" applyFont="1" applyFill="1" applyBorder="1" applyAlignment="1">
      <alignment horizontal="center" vertical="center"/>
    </xf>
    <xf numFmtId="166" fontId="11" fillId="4" borderId="41" xfId="0" applyNumberFormat="1" applyFont="1" applyFill="1" applyBorder="1" applyAlignment="1">
      <alignment horizontal="center" vertical="center"/>
    </xf>
    <xf numFmtId="3" fontId="11" fillId="4" borderId="41" xfId="0" applyNumberFormat="1" applyFont="1" applyFill="1" applyBorder="1" applyAlignment="1">
      <alignment horizontal="right" vertical="center"/>
    </xf>
    <xf numFmtId="3" fontId="11" fillId="4" borderId="15" xfId="0" applyNumberFormat="1" applyFont="1" applyFill="1" applyBorder="1" applyAlignment="1">
      <alignment horizontal="right" vertical="center"/>
    </xf>
    <xf numFmtId="3" fontId="11" fillId="4" borderId="20" xfId="0" applyNumberFormat="1" applyFont="1" applyFill="1" applyBorder="1" applyAlignment="1">
      <alignment horizontal="right" vertical="center"/>
    </xf>
    <xf numFmtId="3" fontId="11" fillId="6" borderId="20" xfId="0" applyNumberFormat="1" applyFont="1" applyFill="1" applyBorder="1" applyAlignment="1">
      <alignment horizontal="right" vertical="center"/>
    </xf>
    <xf numFmtId="3" fontId="11" fillId="6" borderId="42" xfId="0" applyNumberFormat="1" applyFont="1" applyFill="1" applyBorder="1" applyAlignment="1">
      <alignment horizontal="right" vertical="center"/>
    </xf>
    <xf numFmtId="3" fontId="11" fillId="5" borderId="19" xfId="0" applyNumberFormat="1" applyFont="1" applyFill="1" applyBorder="1" applyAlignment="1">
      <alignment horizontal="right" vertical="center"/>
    </xf>
    <xf numFmtId="3" fontId="11" fillId="5" borderId="15" xfId="0" applyNumberFormat="1" applyFont="1" applyFill="1" applyBorder="1" applyAlignment="1">
      <alignment horizontal="right" vertical="center"/>
    </xf>
    <xf numFmtId="166" fontId="11" fillId="5" borderId="15" xfId="0" applyNumberFormat="1" applyFont="1" applyFill="1" applyBorder="1" applyAlignment="1">
      <alignment horizontal="right" vertical="center"/>
    </xf>
    <xf numFmtId="3" fontId="11" fillId="5" borderId="42" xfId="0" applyNumberFormat="1" applyFont="1" applyFill="1" applyBorder="1" applyAlignment="1">
      <alignment horizontal="right" vertical="center"/>
    </xf>
    <xf numFmtId="0" fontId="11" fillId="4" borderId="28" xfId="0" applyNumberFormat="1" applyFont="1" applyFill="1" applyBorder="1" applyAlignment="1">
      <alignment horizontal="center" vertical="center"/>
    </xf>
    <xf numFmtId="166" fontId="11" fillId="4" borderId="43" xfId="0" applyNumberFormat="1" applyFont="1" applyFill="1" applyBorder="1" applyAlignment="1">
      <alignment horizontal="center" vertical="center"/>
    </xf>
    <xf numFmtId="3" fontId="11" fillId="4" borderId="43" xfId="0" applyNumberFormat="1" applyFont="1" applyFill="1" applyBorder="1" applyAlignment="1">
      <alignment horizontal="right" vertical="center"/>
    </xf>
    <xf numFmtId="3" fontId="11" fillId="4" borderId="24" xfId="0" applyNumberFormat="1" applyFont="1" applyFill="1" applyBorder="1" applyAlignment="1">
      <alignment horizontal="right" vertical="center"/>
    </xf>
    <xf numFmtId="3" fontId="11" fillId="4" borderId="44" xfId="0" applyNumberFormat="1" applyFont="1" applyFill="1" applyBorder="1" applyAlignment="1">
      <alignment horizontal="right" vertical="center"/>
    </xf>
    <xf numFmtId="3" fontId="11" fillId="6" borderId="44" xfId="0" applyNumberFormat="1" applyFont="1" applyFill="1" applyBorder="1" applyAlignment="1">
      <alignment horizontal="right" vertical="center"/>
    </xf>
    <xf numFmtId="3" fontId="11" fillId="6" borderId="29" xfId="0" applyNumberFormat="1" applyFont="1" applyFill="1" applyBorder="1" applyAlignment="1">
      <alignment horizontal="right" vertical="center"/>
    </xf>
    <xf numFmtId="3" fontId="11" fillId="5" borderId="28" xfId="0" applyNumberFormat="1" applyFont="1" applyFill="1" applyBorder="1" applyAlignment="1">
      <alignment horizontal="right" vertical="center"/>
    </xf>
    <xf numFmtId="3" fontId="11" fillId="5" borderId="24" xfId="0" applyNumberFormat="1" applyFont="1" applyFill="1" applyBorder="1" applyAlignment="1">
      <alignment horizontal="right" vertical="center"/>
    </xf>
    <xf numFmtId="166" fontId="11" fillId="5" borderId="24" xfId="0" applyNumberFormat="1" applyFont="1" applyFill="1" applyBorder="1" applyAlignment="1">
      <alignment horizontal="right" vertical="center"/>
    </xf>
    <xf numFmtId="3" fontId="11" fillId="5" borderId="29" xfId="0" applyNumberFormat="1" applyFont="1" applyFill="1" applyBorder="1" applyAlignment="1">
      <alignment horizontal="right" vertical="center"/>
    </xf>
    <xf numFmtId="0" fontId="11" fillId="4" borderId="45" xfId="0" applyNumberFormat="1" applyFont="1" applyFill="1" applyBorder="1" applyAlignment="1">
      <alignment horizontal="center" vertical="center"/>
    </xf>
    <xf numFmtId="166" fontId="11" fillId="4" borderId="46" xfId="0" applyNumberFormat="1" applyFont="1" applyFill="1" applyBorder="1" applyAlignment="1">
      <alignment horizontal="center" vertical="center"/>
    </xf>
    <xf numFmtId="3" fontId="11" fillId="4" borderId="46" xfId="0" applyNumberFormat="1" applyFont="1" applyFill="1" applyBorder="1" applyAlignment="1">
      <alignment horizontal="right" vertical="center"/>
    </xf>
    <xf numFmtId="3" fontId="11" fillId="4" borderId="16" xfId="0" applyNumberFormat="1" applyFont="1" applyFill="1" applyBorder="1" applyAlignment="1">
      <alignment horizontal="right" vertical="center"/>
    </xf>
    <xf numFmtId="3" fontId="11" fillId="4" borderId="17" xfId="0" applyNumberFormat="1" applyFont="1" applyFill="1" applyBorder="1" applyAlignment="1">
      <alignment horizontal="right" vertical="center"/>
    </xf>
    <xf numFmtId="3" fontId="11" fillId="6" borderId="17" xfId="0" applyNumberFormat="1" applyFont="1" applyFill="1" applyBorder="1" applyAlignment="1">
      <alignment horizontal="right" vertical="center"/>
    </xf>
    <xf numFmtId="3" fontId="11" fillId="6" borderId="18" xfId="0" applyNumberFormat="1" applyFont="1" applyFill="1" applyBorder="1" applyAlignment="1">
      <alignment horizontal="right" vertical="center"/>
    </xf>
    <xf numFmtId="3" fontId="11" fillId="5" borderId="45" xfId="0" applyNumberFormat="1" applyFont="1" applyFill="1" applyBorder="1" applyAlignment="1">
      <alignment horizontal="right" vertical="center"/>
    </xf>
    <xf numFmtId="3" fontId="11" fillId="5" borderId="16" xfId="0" applyNumberFormat="1" applyFont="1" applyFill="1" applyBorder="1" applyAlignment="1">
      <alignment horizontal="right" vertical="center"/>
    </xf>
    <xf numFmtId="166" fontId="11" fillId="5" borderId="16" xfId="0" applyNumberFormat="1" applyFont="1" applyFill="1" applyBorder="1" applyAlignment="1">
      <alignment horizontal="right" vertical="center"/>
    </xf>
    <xf numFmtId="3" fontId="11" fillId="5" borderId="18" xfId="0" applyNumberFormat="1" applyFont="1" applyFill="1" applyBorder="1" applyAlignment="1">
      <alignment horizontal="right" vertical="center"/>
    </xf>
    <xf numFmtId="0" fontId="11" fillId="4" borderId="47" xfId="0" applyNumberFormat="1" applyFont="1" applyFill="1" applyBorder="1" applyAlignment="1">
      <alignment horizontal="center" vertical="center"/>
    </xf>
    <xf numFmtId="166" fontId="11" fillId="4" borderId="48" xfId="0" applyNumberFormat="1" applyFont="1" applyFill="1" applyBorder="1" applyAlignment="1">
      <alignment horizontal="center" vertical="center"/>
    </xf>
    <xf numFmtId="3" fontId="11" fillId="4" borderId="25" xfId="0" applyNumberFormat="1" applyFont="1" applyFill="1" applyBorder="1" applyAlignment="1">
      <alignment horizontal="right" vertical="center"/>
    </xf>
    <xf numFmtId="3" fontId="11" fillId="4" borderId="26" xfId="0" applyNumberFormat="1" applyFont="1" applyFill="1" applyBorder="1" applyAlignment="1">
      <alignment horizontal="right" vertical="center"/>
    </xf>
    <xf numFmtId="3" fontId="11" fillId="6" borderId="26" xfId="0" applyNumberFormat="1" applyFont="1" applyFill="1" applyBorder="1" applyAlignment="1">
      <alignment horizontal="right" vertical="center"/>
    </xf>
    <xf numFmtId="3" fontId="11" fillId="6" borderId="27" xfId="0" applyNumberFormat="1" applyFont="1" applyFill="1" applyBorder="1" applyAlignment="1">
      <alignment horizontal="right" vertical="center"/>
    </xf>
    <xf numFmtId="3" fontId="11" fillId="5" borderId="47" xfId="0" applyNumberFormat="1" applyFont="1" applyFill="1" applyBorder="1" applyAlignment="1">
      <alignment horizontal="right" vertical="center"/>
    </xf>
    <xf numFmtId="3" fontId="11" fillId="5" borderId="25" xfId="0" applyNumberFormat="1" applyFont="1" applyFill="1" applyBorder="1" applyAlignment="1">
      <alignment horizontal="right" vertical="center"/>
    </xf>
    <xf numFmtId="166" fontId="11" fillId="5" borderId="25" xfId="0" applyNumberFormat="1" applyFont="1" applyFill="1" applyBorder="1" applyAlignment="1">
      <alignment horizontal="right" vertical="center"/>
    </xf>
    <xf numFmtId="3" fontId="11" fillId="5" borderId="27" xfId="0" applyNumberFormat="1" applyFont="1" applyFill="1" applyBorder="1" applyAlignment="1">
      <alignment horizontal="right" vertical="center"/>
    </xf>
    <xf numFmtId="3" fontId="11" fillId="7" borderId="50" xfId="0" applyNumberFormat="1" applyFont="1" applyFill="1" applyBorder="1" applyAlignment="1">
      <alignment horizontal="right" vertical="center"/>
    </xf>
    <xf numFmtId="3" fontId="11" fillId="7" borderId="51" xfId="0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vertical="center"/>
    </xf>
    <xf numFmtId="3" fontId="11" fillId="3" borderId="0" xfId="0" applyNumberFormat="1" applyFont="1" applyFill="1" applyAlignment="1">
      <alignment vertical="center"/>
    </xf>
    <xf numFmtId="3" fontId="11" fillId="4" borderId="18" xfId="0" applyNumberFormat="1" applyFont="1" applyFill="1" applyBorder="1" applyAlignment="1">
      <alignment horizontal="center" vertical="center"/>
    </xf>
    <xf numFmtId="3" fontId="15" fillId="4" borderId="25" xfId="0" applyNumberFormat="1" applyFont="1" applyFill="1" applyBorder="1" applyAlignment="1">
      <alignment horizontal="center" vertical="center"/>
    </xf>
    <xf numFmtId="3" fontId="15" fillId="4" borderId="26" xfId="0" applyNumberFormat="1" applyFont="1" applyFill="1" applyBorder="1" applyAlignment="1">
      <alignment horizontal="center" vertical="center"/>
    </xf>
    <xf numFmtId="3" fontId="15" fillId="4" borderId="27" xfId="0" applyNumberFormat="1" applyFont="1" applyFill="1" applyBorder="1" applyAlignment="1">
      <alignment horizontal="center" vertical="center"/>
    </xf>
    <xf numFmtId="3" fontId="11" fillId="4" borderId="34" xfId="0" applyNumberFormat="1" applyFont="1" applyFill="1" applyBorder="1" applyAlignment="1">
      <alignment horizontal="right" vertical="center"/>
    </xf>
    <xf numFmtId="3" fontId="11" fillId="4" borderId="48" xfId="0" applyNumberFormat="1" applyFont="1" applyFill="1" applyBorder="1" applyAlignment="1">
      <alignment horizontal="right" vertical="center"/>
    </xf>
    <xf numFmtId="3" fontId="11" fillId="4" borderId="27" xfId="0" applyNumberFormat="1" applyFont="1" applyFill="1" applyBorder="1" applyAlignment="1">
      <alignment horizontal="right" vertical="center"/>
    </xf>
    <xf numFmtId="3" fontId="11" fillId="4" borderId="42" xfId="0" applyNumberFormat="1" applyFont="1" applyFill="1" applyBorder="1" applyAlignment="1">
      <alignment horizontal="right" vertical="center"/>
    </xf>
    <xf numFmtId="3" fontId="11" fillId="4" borderId="29" xfId="0" applyNumberFormat="1" applyFont="1" applyFill="1" applyBorder="1" applyAlignment="1">
      <alignment horizontal="right" vertical="center"/>
    </xf>
    <xf numFmtId="3" fontId="11" fillId="4" borderId="12" xfId="0" applyNumberFormat="1" applyFont="1" applyFill="1" applyBorder="1" applyAlignment="1">
      <alignment horizontal="right" vertical="center"/>
    </xf>
    <xf numFmtId="3" fontId="11" fillId="4" borderId="18" xfId="0" applyNumberFormat="1" applyFont="1" applyFill="1" applyBorder="1" applyAlignment="1">
      <alignment horizontal="right" vertical="center"/>
    </xf>
    <xf numFmtId="3" fontId="11" fillId="4" borderId="39" xfId="0" applyNumberFormat="1" applyFont="1" applyFill="1" applyBorder="1" applyAlignment="1">
      <alignment horizontal="right" vertical="center"/>
    </xf>
    <xf numFmtId="0" fontId="4" fillId="3" borderId="3" xfId="1" quotePrefix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/>
    </xf>
    <xf numFmtId="0" fontId="2" fillId="3" borderId="5" xfId="1" applyFont="1" applyFill="1" applyBorder="1" applyAlignment="1">
      <alignment vertical="center"/>
    </xf>
    <xf numFmtId="0" fontId="2" fillId="3" borderId="5" xfId="1" applyFont="1" applyFill="1" applyBorder="1">
      <alignment vertical="center"/>
    </xf>
    <xf numFmtId="0" fontId="10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7" fillId="3" borderId="0" xfId="1" quotePrefix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 shrinkToFit="1"/>
    </xf>
    <xf numFmtId="0" fontId="4" fillId="3" borderId="2" xfId="1" quotePrefix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0" xfId="1" quotePrefix="1" applyFont="1" applyFill="1" applyBorder="1" applyAlignment="1">
      <alignment horizontal="center" vertical="center"/>
    </xf>
    <xf numFmtId="3" fontId="11" fillId="7" borderId="49" xfId="0" applyNumberFormat="1" applyFont="1" applyFill="1" applyBorder="1" applyAlignment="1">
      <alignment horizontal="center" vertical="center"/>
    </xf>
    <xf numFmtId="3" fontId="11" fillId="7" borderId="50" xfId="0" applyNumberFormat="1" applyFont="1" applyFill="1" applyBorder="1" applyAlignment="1">
      <alignment horizontal="center" vertical="center"/>
    </xf>
    <xf numFmtId="3" fontId="12" fillId="3" borderId="0" xfId="0" applyNumberFormat="1" applyFont="1" applyFill="1" applyAlignment="1">
      <alignment horizontal="center" vertical="center"/>
    </xf>
    <xf numFmtId="165" fontId="11" fillId="4" borderId="9" xfId="0" applyNumberFormat="1" applyFont="1" applyFill="1" applyBorder="1" applyAlignment="1">
      <alignment horizontal="center" vertical="center"/>
    </xf>
    <xf numFmtId="165" fontId="11" fillId="4" borderId="14" xfId="0" applyNumberFormat="1" applyFont="1" applyFill="1" applyBorder="1" applyAlignment="1">
      <alignment horizontal="center" vertical="center"/>
    </xf>
    <xf numFmtId="165" fontId="11" fillId="4" borderId="23" xfId="0" applyNumberFormat="1" applyFont="1" applyFill="1" applyBorder="1" applyAlignment="1">
      <alignment horizontal="center" vertical="center"/>
    </xf>
    <xf numFmtId="166" fontId="11" fillId="4" borderId="10" xfId="0" applyNumberFormat="1" applyFont="1" applyFill="1" applyBorder="1" applyAlignment="1">
      <alignment horizontal="center" vertical="center"/>
    </xf>
    <xf numFmtId="166" fontId="11" fillId="4" borderId="15" xfId="0" applyNumberFormat="1" applyFont="1" applyFill="1" applyBorder="1" applyAlignment="1">
      <alignment horizontal="center" vertical="center"/>
    </xf>
    <xf numFmtId="166" fontId="11" fillId="4" borderId="24" xfId="0" applyNumberFormat="1" applyFont="1" applyFill="1" applyBorder="1" applyAlignment="1">
      <alignment horizontal="center" vertical="center"/>
    </xf>
    <xf numFmtId="3" fontId="11" fillId="4" borderId="10" xfId="0" applyNumberFormat="1" applyFont="1" applyFill="1" applyBorder="1" applyAlignment="1">
      <alignment horizontal="center" vertical="center" wrapText="1"/>
    </xf>
    <xf numFmtId="3" fontId="11" fillId="4" borderId="15" xfId="0" applyNumberFormat="1" applyFont="1" applyFill="1" applyBorder="1" applyAlignment="1">
      <alignment horizontal="center" vertical="center" wrapText="1"/>
    </xf>
    <xf numFmtId="3" fontId="11" fillId="4" borderId="24" xfId="0" applyNumberFormat="1" applyFont="1" applyFill="1" applyBorder="1" applyAlignment="1">
      <alignment horizontal="center" vertical="center" wrapText="1"/>
    </xf>
    <xf numFmtId="3" fontId="13" fillId="4" borderId="10" xfId="0" applyNumberFormat="1" applyFont="1" applyFill="1" applyBorder="1" applyAlignment="1">
      <alignment horizontal="center" vertical="center"/>
    </xf>
    <xf numFmtId="3" fontId="13" fillId="4" borderId="11" xfId="0" applyNumberFormat="1" applyFont="1" applyFill="1" applyBorder="1" applyAlignment="1">
      <alignment horizontal="center" vertical="center"/>
    </xf>
    <xf numFmtId="3" fontId="13" fillId="4" borderId="12" xfId="0" applyNumberFormat="1" applyFont="1" applyFill="1" applyBorder="1" applyAlignment="1">
      <alignment horizontal="center" vertical="center"/>
    </xf>
    <xf numFmtId="3" fontId="11" fillId="5" borderId="13" xfId="0" applyNumberFormat="1" applyFont="1" applyFill="1" applyBorder="1" applyAlignment="1">
      <alignment horizontal="center" vertical="center"/>
    </xf>
    <xf numFmtId="3" fontId="11" fillId="5" borderId="10" xfId="0" applyNumberFormat="1" applyFont="1" applyFill="1" applyBorder="1" applyAlignment="1">
      <alignment horizontal="center" vertical="center"/>
    </xf>
    <xf numFmtId="3" fontId="11" fillId="5" borderId="12" xfId="0" applyNumberFormat="1" applyFont="1" applyFill="1" applyBorder="1" applyAlignment="1">
      <alignment horizontal="center" vertical="center"/>
    </xf>
    <xf numFmtId="3" fontId="11" fillId="5" borderId="19" xfId="0" applyNumberFormat="1" applyFont="1" applyFill="1" applyBorder="1" applyAlignment="1">
      <alignment horizontal="center" vertical="center"/>
    </xf>
    <xf numFmtId="3" fontId="11" fillId="5" borderId="15" xfId="0" applyNumberFormat="1" applyFont="1" applyFill="1" applyBorder="1" applyAlignment="1">
      <alignment horizontal="center" vertical="center"/>
    </xf>
    <xf numFmtId="3" fontId="11" fillId="5" borderId="20" xfId="0" applyNumberFormat="1" applyFont="1" applyFill="1" applyBorder="1" applyAlignment="1">
      <alignment horizontal="center" vertical="center"/>
    </xf>
    <xf numFmtId="3" fontId="11" fillId="5" borderId="21" xfId="0" applyNumberFormat="1" applyFont="1" applyFill="1" applyBorder="1" applyAlignment="1">
      <alignment horizontal="center" vertical="center"/>
    </xf>
    <xf numFmtId="3" fontId="11" fillId="5" borderId="22" xfId="0" applyNumberFormat="1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137000</xdr:rowOff>
    </xdr:from>
    <xdr:to>
      <xdr:col>3</xdr:col>
      <xdr:colOff>782411</xdr:colOff>
      <xdr:row>3</xdr:row>
      <xdr:rowOff>68654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137000"/>
          <a:ext cx="2820762" cy="674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204107</xdr:colOff>
      <xdr:row>3</xdr:row>
      <xdr:rowOff>85045</xdr:rowOff>
    </xdr:from>
    <xdr:to>
      <xdr:col>17</xdr:col>
      <xdr:colOff>791483</xdr:colOff>
      <xdr:row>4</xdr:row>
      <xdr:rowOff>172359</xdr:rowOff>
    </xdr:to>
    <xdr:sp macro="" textlink="">
      <xdr:nvSpPr>
        <xdr:cNvPr id="3" name="Cube 2"/>
        <xdr:cNvSpPr/>
      </xdr:nvSpPr>
      <xdr:spPr>
        <a:xfrm>
          <a:off x="19263632" y="827995"/>
          <a:ext cx="587376" cy="334964"/>
        </a:xfrm>
        <a:prstGeom prst="cube">
          <a:avLst/>
        </a:prstGeom>
        <a:ln>
          <a:solidFill>
            <a:schemeClr val="tx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>
            <a:lnSpc>
              <a:spcPts val="1100"/>
            </a:lnSpc>
          </a:pPr>
          <a:r>
            <a:rPr lang="en-US" sz="1400" b="0">
              <a:latin typeface="MS Mincho" panose="02020609040205080304" pitchFamily="49" charset="-128"/>
              <a:ea typeface="MS Mincho" panose="02020609040205080304" pitchFamily="49" charset="-128"/>
              <a:cs typeface="Arial" panose="020B0604020202020204" pitchFamily="34" charset="0"/>
            </a:rPr>
            <a:t>CTN</a:t>
          </a:r>
        </a:p>
      </xdr:txBody>
    </xdr:sp>
    <xdr:clientData/>
  </xdr:twoCellAnchor>
  <xdr:twoCellAnchor>
    <xdr:from>
      <xdr:col>18</xdr:col>
      <xdr:colOff>238125</xdr:colOff>
      <xdr:row>3</xdr:row>
      <xdr:rowOff>85045</xdr:rowOff>
    </xdr:from>
    <xdr:to>
      <xdr:col>18</xdr:col>
      <xdr:colOff>825501</xdr:colOff>
      <xdr:row>4</xdr:row>
      <xdr:rowOff>172359</xdr:rowOff>
    </xdr:to>
    <xdr:sp macro="" textlink="">
      <xdr:nvSpPr>
        <xdr:cNvPr id="4" name="Cube 3"/>
        <xdr:cNvSpPr/>
      </xdr:nvSpPr>
      <xdr:spPr>
        <a:xfrm>
          <a:off x="20497800" y="827995"/>
          <a:ext cx="587376" cy="334964"/>
        </a:xfrm>
        <a:prstGeom prst="cube">
          <a:avLst/>
        </a:prstGeom>
        <a:ln>
          <a:solidFill>
            <a:schemeClr val="tx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>
            <a:lnSpc>
              <a:spcPts val="1100"/>
            </a:lnSpc>
          </a:pPr>
          <a:r>
            <a:rPr lang="en-US" sz="1400" b="0">
              <a:latin typeface="MS Mincho" panose="02020609040205080304" pitchFamily="49" charset="-128"/>
              <a:ea typeface="MS Mincho" panose="02020609040205080304" pitchFamily="49" charset="-128"/>
              <a:cs typeface="Arial" panose="020B0604020202020204" pitchFamily="34" charset="0"/>
            </a:rPr>
            <a:t>CTN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51026</xdr:colOff>
      <xdr:row>0</xdr:row>
      <xdr:rowOff>137000</xdr:rowOff>
    </xdr:from>
    <xdr:to>
      <xdr:col>3</xdr:col>
      <xdr:colOff>714375</xdr:colOff>
      <xdr:row>3</xdr:row>
      <xdr:rowOff>68654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76" y="137000"/>
          <a:ext cx="3025549" cy="674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topLeftCell="A64" zoomScale="125" zoomScaleNormal="125" workbookViewId="0">
      <selection activeCell="B71" sqref="B71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52" t="s">
        <v>9</v>
      </c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2"/>
      <c r="AK1" s="3" t="s">
        <v>16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2:63" ht="14.25" customHeight="1">
      <c r="B2" s="2"/>
      <c r="C2" s="5"/>
      <c r="D2" s="5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2"/>
      <c r="AK2" s="2" t="s">
        <v>8</v>
      </c>
      <c r="AL2" s="2"/>
      <c r="AM2" s="2"/>
      <c r="AN2" s="2"/>
      <c r="AO2" s="2"/>
      <c r="AP2" s="2"/>
      <c r="AQ2" s="2"/>
      <c r="AR2" s="2"/>
      <c r="AS2" s="2"/>
      <c r="AT2" s="2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/>
      <c r="AT3" s="2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2"/>
      <c r="AK4" s="2" t="s">
        <v>6</v>
      </c>
      <c r="AL4" s="2"/>
      <c r="AM4" s="2"/>
      <c r="AN4" s="2"/>
      <c r="AO4" s="2"/>
      <c r="AP4" s="2"/>
      <c r="AQ4" s="2"/>
      <c r="AR4" s="2"/>
      <c r="AS4" s="2"/>
      <c r="AT4" s="2"/>
      <c r="AU4" s="7" t="s">
        <v>17</v>
      </c>
    </row>
    <row r="5" spans="2:63" ht="14.25" customHeight="1">
      <c r="B5" s="153" t="s">
        <v>12</v>
      </c>
      <c r="C5" s="153"/>
      <c r="D5" s="153"/>
      <c r="E5" s="153"/>
      <c r="F5" s="153"/>
      <c r="G5" s="171">
        <v>42962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2"/>
      <c r="S5" s="154" t="s">
        <v>10</v>
      </c>
      <c r="T5" s="154"/>
      <c r="U5" s="154"/>
      <c r="V5" s="154"/>
      <c r="W5" s="154"/>
      <c r="X5" s="158" t="s">
        <v>23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7"/>
      <c r="BK5" s="11"/>
    </row>
    <row r="6" spans="2:63" ht="14.25" customHeight="1" thickBot="1">
      <c r="B6" s="153"/>
      <c r="C6" s="153"/>
      <c r="D6" s="153"/>
      <c r="E6" s="153"/>
      <c r="F6" s="153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2"/>
      <c r="S6" s="155"/>
      <c r="T6" s="155"/>
      <c r="U6" s="155"/>
      <c r="V6" s="155"/>
      <c r="W6" s="155"/>
      <c r="X6" s="157" t="s">
        <v>22</v>
      </c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2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2:63" ht="14.25" customHeight="1">
      <c r="B7" s="166" t="s">
        <v>3</v>
      </c>
      <c r="C7" s="166"/>
      <c r="D7" s="166"/>
      <c r="E7" s="166"/>
      <c r="F7" s="166"/>
      <c r="G7" s="2"/>
      <c r="H7" s="153" t="s">
        <v>19</v>
      </c>
      <c r="I7" s="153"/>
      <c r="J7" s="153"/>
      <c r="K7" s="2"/>
      <c r="L7" s="170" t="s">
        <v>20</v>
      </c>
      <c r="M7" s="170"/>
      <c r="N7" s="170"/>
      <c r="O7" s="2"/>
      <c r="P7" s="2"/>
      <c r="Q7" s="2"/>
      <c r="R7" s="2"/>
      <c r="S7" s="156" t="s">
        <v>11</v>
      </c>
      <c r="T7" s="156"/>
      <c r="U7" s="156"/>
      <c r="V7" s="156"/>
      <c r="W7" s="156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2"/>
      <c r="AK7" s="8" t="s">
        <v>13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2:63" ht="14.25" customHeight="1">
      <c r="B8" s="166"/>
      <c r="C8" s="166"/>
      <c r="D8" s="166"/>
      <c r="E8" s="166"/>
      <c r="F8" s="166"/>
      <c r="G8" s="2"/>
      <c r="H8" s="153"/>
      <c r="I8" s="153"/>
      <c r="J8" s="153"/>
      <c r="K8" s="12"/>
      <c r="L8" s="170"/>
      <c r="M8" s="170"/>
      <c r="N8" s="170"/>
      <c r="O8" s="2"/>
      <c r="P8" s="2"/>
      <c r="Q8" s="2"/>
      <c r="R8" s="2"/>
      <c r="S8" s="154"/>
      <c r="T8" s="154"/>
      <c r="U8" s="154"/>
      <c r="V8" s="154"/>
      <c r="W8" s="154"/>
      <c r="X8" s="182" t="s">
        <v>25</v>
      </c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2"/>
      <c r="AK8" s="5" t="s">
        <v>21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2:63" ht="14.25" customHeight="1" thickBot="1">
      <c r="B9" s="166"/>
      <c r="C9" s="166"/>
      <c r="D9" s="166"/>
      <c r="E9" s="166"/>
      <c r="F9" s="166"/>
      <c r="G9" s="2"/>
      <c r="H9" s="153"/>
      <c r="I9" s="153"/>
      <c r="J9" s="153"/>
      <c r="K9" s="2"/>
      <c r="L9" s="170"/>
      <c r="M9" s="170"/>
      <c r="N9" s="170"/>
      <c r="O9" s="2"/>
      <c r="P9" s="2"/>
      <c r="Q9" s="2"/>
      <c r="R9" s="2"/>
      <c r="S9" s="155"/>
      <c r="T9" s="155"/>
      <c r="U9" s="155"/>
      <c r="V9" s="155"/>
      <c r="W9" s="155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2"/>
      <c r="AK9" s="13" t="s">
        <v>14</v>
      </c>
      <c r="AL9" s="2"/>
      <c r="AM9" s="2"/>
      <c r="AN9" s="2"/>
      <c r="AO9" s="2"/>
      <c r="AP9" s="2"/>
      <c r="AQ9" s="2"/>
      <c r="AR9" s="2"/>
      <c r="AS9" s="2"/>
      <c r="AT9" s="2"/>
      <c r="AU9" s="7"/>
      <c r="AV9" s="2"/>
    </row>
    <row r="10" spans="2:63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4" t="s">
        <v>15</v>
      </c>
      <c r="AV10" s="2"/>
      <c r="AW10" s="2"/>
    </row>
    <row r="11" spans="2:63" ht="13.5" customHeight="1">
      <c r="B11" s="160" t="s">
        <v>0</v>
      </c>
      <c r="C11" s="156"/>
      <c r="D11" s="156"/>
      <c r="E11" s="156"/>
      <c r="F11" s="156"/>
      <c r="G11" s="172" t="s">
        <v>26</v>
      </c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4"/>
      <c r="Y11" s="167" t="s">
        <v>1</v>
      </c>
      <c r="Z11" s="156"/>
      <c r="AA11" s="156"/>
      <c r="AB11" s="156"/>
      <c r="AC11" s="161"/>
      <c r="AD11" s="15" t="s">
        <v>29</v>
      </c>
      <c r="AE11" s="15" t="s">
        <v>27</v>
      </c>
      <c r="AF11" s="16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7"/>
      <c r="AU11" s="18"/>
    </row>
    <row r="12" spans="2:63" ht="15" customHeight="1">
      <c r="B12" s="162"/>
      <c r="C12" s="154"/>
      <c r="D12" s="154"/>
      <c r="E12" s="154"/>
      <c r="F12" s="154"/>
      <c r="G12" s="175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7"/>
      <c r="Y12" s="162"/>
      <c r="Z12" s="154"/>
      <c r="AA12" s="154"/>
      <c r="AB12" s="154"/>
      <c r="AC12" s="163"/>
      <c r="AD12" s="19" t="s">
        <v>29</v>
      </c>
      <c r="AE12" s="19" t="s">
        <v>28</v>
      </c>
      <c r="AF12" s="20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1"/>
      <c r="AU12" s="22"/>
    </row>
    <row r="13" spans="2:63" ht="15" customHeight="1">
      <c r="B13" s="162"/>
      <c r="C13" s="154"/>
      <c r="D13" s="154"/>
      <c r="E13" s="154"/>
      <c r="F13" s="154"/>
      <c r="G13" s="175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7"/>
      <c r="Y13" s="162"/>
      <c r="Z13" s="154"/>
      <c r="AA13" s="154"/>
      <c r="AB13" s="154"/>
      <c r="AC13" s="163"/>
      <c r="AD13" s="19" t="s">
        <v>29</v>
      </c>
      <c r="AE13" s="19"/>
      <c r="AF13" s="20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1"/>
      <c r="AU13" s="22"/>
    </row>
    <row r="14" spans="2:63" ht="15.75" customHeight="1" thickBot="1">
      <c r="B14" s="164"/>
      <c r="C14" s="155"/>
      <c r="D14" s="155"/>
      <c r="E14" s="155"/>
      <c r="F14" s="155"/>
      <c r="G14" s="178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80"/>
      <c r="Y14" s="164"/>
      <c r="Z14" s="155"/>
      <c r="AA14" s="155"/>
      <c r="AB14" s="155"/>
      <c r="AC14" s="165"/>
      <c r="AD14" s="19" t="s">
        <v>29</v>
      </c>
      <c r="AE14" s="19"/>
      <c r="AF14" s="20"/>
      <c r="AG14" s="19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4"/>
      <c r="AU14" s="25"/>
      <c r="BB14" s="159"/>
      <c r="BC14" s="159"/>
    </row>
    <row r="15" spans="2:63">
      <c r="B15" s="160" t="s">
        <v>24</v>
      </c>
      <c r="C15" s="156"/>
      <c r="D15" s="156"/>
      <c r="E15" s="156"/>
      <c r="F15" s="161"/>
      <c r="G15" s="147" t="s">
        <v>29</v>
      </c>
      <c r="H15" s="26" t="s">
        <v>30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7"/>
      <c r="BB15" s="159"/>
      <c r="BC15" s="159"/>
    </row>
    <row r="16" spans="2:63">
      <c r="B16" s="162"/>
      <c r="C16" s="154"/>
      <c r="D16" s="154"/>
      <c r="E16" s="154"/>
      <c r="F16" s="163"/>
      <c r="G16" s="29" t="s">
        <v>29</v>
      </c>
      <c r="H16" s="2" t="s">
        <v>31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8"/>
    </row>
    <row r="17" spans="2:47">
      <c r="B17" s="162"/>
      <c r="C17" s="154"/>
      <c r="D17" s="154"/>
      <c r="E17" s="154"/>
      <c r="F17" s="163"/>
      <c r="G17" s="29" t="s">
        <v>29</v>
      </c>
      <c r="H17" s="29" t="s">
        <v>32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8"/>
    </row>
    <row r="18" spans="2:47">
      <c r="B18" s="162"/>
      <c r="C18" s="154"/>
      <c r="D18" s="154"/>
      <c r="E18" s="154"/>
      <c r="F18" s="163"/>
      <c r="G18" s="29" t="s">
        <v>29</v>
      </c>
      <c r="H18" s="29" t="s">
        <v>33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8"/>
    </row>
    <row r="19" spans="2:47">
      <c r="B19" s="162"/>
      <c r="C19" s="154"/>
      <c r="D19" s="154"/>
      <c r="E19" s="154"/>
      <c r="F19" s="163"/>
      <c r="G19" s="29" t="s">
        <v>29</v>
      </c>
      <c r="H19" s="2" t="s">
        <v>34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8"/>
    </row>
    <row r="20" spans="2:47">
      <c r="B20" s="162"/>
      <c r="C20" s="154"/>
      <c r="D20" s="154"/>
      <c r="E20" s="154"/>
      <c r="F20" s="163"/>
      <c r="G20" s="29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8"/>
    </row>
    <row r="21" spans="2:47" ht="15" thickBot="1">
      <c r="B21" s="164"/>
      <c r="C21" s="155"/>
      <c r="D21" s="155"/>
      <c r="E21" s="155"/>
      <c r="F21" s="165"/>
      <c r="G21" s="148" t="s">
        <v>29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1"/>
    </row>
    <row r="22" spans="2:47" ht="13.5" customHeight="1">
      <c r="B22" s="162" t="s">
        <v>2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63"/>
    </row>
    <row r="23" spans="2:47">
      <c r="B23" s="150" t="s">
        <v>98</v>
      </c>
      <c r="C23" s="2"/>
      <c r="D23" s="2"/>
      <c r="E23" s="2"/>
      <c r="F23" s="2"/>
      <c r="G23" s="2"/>
      <c r="H23" s="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"/>
      <c r="AP23" s="2"/>
      <c r="AQ23" s="2"/>
      <c r="AR23" s="2"/>
      <c r="AS23" s="2"/>
      <c r="AT23" s="2"/>
      <c r="AU23" s="28"/>
    </row>
    <row r="24" spans="2:47">
      <c r="B24" s="149" t="s">
        <v>29</v>
      </c>
      <c r="C24" s="2" t="s">
        <v>95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8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8"/>
    </row>
    <row r="25" spans="2:47">
      <c r="B25" s="149" t="s">
        <v>29</v>
      </c>
      <c r="C25" s="2" t="s">
        <v>96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8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8"/>
    </row>
    <row r="26" spans="2:47">
      <c r="B26" s="149" t="s">
        <v>29</v>
      </c>
      <c r="C26" s="2" t="s">
        <v>97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8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8"/>
    </row>
    <row r="27" spans="2:47">
      <c r="B27" s="3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8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8"/>
    </row>
    <row r="28" spans="2:47">
      <c r="B28" s="151" t="s">
        <v>108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8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8"/>
    </row>
    <row r="29" spans="2:47">
      <c r="B29" s="32" t="s">
        <v>29</v>
      </c>
      <c r="C29" s="2" t="s">
        <v>99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8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8"/>
    </row>
    <row r="30" spans="2:47">
      <c r="B30" s="32"/>
      <c r="C30" s="2" t="s">
        <v>100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8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8"/>
    </row>
    <row r="31" spans="2:47">
      <c r="B31" s="32"/>
      <c r="C31" s="2" t="s">
        <v>101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8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8"/>
    </row>
    <row r="32" spans="2:47">
      <c r="B32" s="32" t="s">
        <v>29</v>
      </c>
      <c r="C32" s="2" t="s">
        <v>102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8"/>
    </row>
    <row r="33" spans="2:47">
      <c r="B33" s="32"/>
      <c r="C33" s="2" t="s">
        <v>103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8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8"/>
    </row>
    <row r="34" spans="2:47" ht="14.25" customHeight="1">
      <c r="B34" s="32"/>
      <c r="C34" s="2" t="s">
        <v>104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8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8"/>
    </row>
    <row r="35" spans="2:47">
      <c r="B35" s="32" t="s">
        <v>29</v>
      </c>
      <c r="C35" s="2" t="s">
        <v>105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8"/>
    </row>
    <row r="36" spans="2:47">
      <c r="B36" s="32"/>
      <c r="C36" s="2" t="s">
        <v>106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8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8"/>
    </row>
    <row r="37" spans="2:47">
      <c r="B37" s="32" t="s">
        <v>29</v>
      </c>
      <c r="C37" s="2" t="s">
        <v>107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8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8"/>
    </row>
    <row r="38" spans="2:47">
      <c r="B38" s="32" t="s">
        <v>29</v>
      </c>
      <c r="C38" s="2" t="s">
        <v>109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8"/>
    </row>
    <row r="39" spans="2:47">
      <c r="B39" s="32"/>
      <c r="C39" s="2" t="s">
        <v>110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8"/>
    </row>
    <row r="40" spans="2:47">
      <c r="B40" s="32" t="s">
        <v>29</v>
      </c>
      <c r="C40" s="2" t="s">
        <v>112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8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8"/>
    </row>
    <row r="41" spans="2:47">
      <c r="B41" s="32"/>
      <c r="C41" s="2" t="s">
        <v>113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8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8"/>
    </row>
    <row r="42" spans="2:47"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8"/>
    </row>
    <row r="43" spans="2:47">
      <c r="B43" s="151" t="s">
        <v>48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8"/>
    </row>
    <row r="44" spans="2:47">
      <c r="B44" s="32" t="s">
        <v>29</v>
      </c>
      <c r="C44" s="2" t="s">
        <v>111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8"/>
    </row>
    <row r="45" spans="2:47">
      <c r="B45" s="3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8"/>
    </row>
    <row r="46" spans="2:47">
      <c r="B46" s="151" t="s">
        <v>114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8"/>
    </row>
    <row r="47" spans="2:47">
      <c r="B47" s="32" t="s">
        <v>29</v>
      </c>
      <c r="C47" s="2" t="s">
        <v>115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8"/>
    </row>
    <row r="48" spans="2:47">
      <c r="B48" s="32"/>
      <c r="C48" s="2" t="s">
        <v>116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8"/>
    </row>
    <row r="49" spans="2:47">
      <c r="B49" s="32" t="s">
        <v>29</v>
      </c>
      <c r="C49" s="2" t="s">
        <v>117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8"/>
    </row>
    <row r="50" spans="2:47">
      <c r="B50" s="3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8"/>
    </row>
    <row r="51" spans="2:47">
      <c r="B51" s="151" t="s">
        <v>118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8"/>
    </row>
    <row r="52" spans="2:47">
      <c r="B52" s="32" t="s">
        <v>29</v>
      </c>
      <c r="C52" s="2" t="s">
        <v>119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8"/>
    </row>
    <row r="53" spans="2:47">
      <c r="B53" s="3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8"/>
    </row>
    <row r="54" spans="2:47">
      <c r="B54" s="3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8"/>
    </row>
    <row r="55" spans="2:47">
      <c r="B55" s="3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8"/>
    </row>
    <row r="56" spans="2:47">
      <c r="B56" s="3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8"/>
    </row>
    <row r="57" spans="2:47">
      <c r="B57" s="3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8"/>
    </row>
    <row r="58" spans="2:47">
      <c r="B58" s="3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8"/>
    </row>
    <row r="59" spans="2:47">
      <c r="B59" s="3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8"/>
    </row>
    <row r="60" spans="2:47">
      <c r="B60" s="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8"/>
    </row>
    <row r="61" spans="2:47">
      <c r="B61" s="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8"/>
    </row>
    <row r="62" spans="2:47">
      <c r="B62" s="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8"/>
    </row>
    <row r="63" spans="2:47">
      <c r="B63" s="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8"/>
    </row>
    <row r="64" spans="2:47">
      <c r="B64" s="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8"/>
    </row>
    <row r="65" spans="2:47">
      <c r="B65" s="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8"/>
    </row>
    <row r="66" spans="2:47" ht="15" thickBot="1">
      <c r="B66" s="33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4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1"/>
    </row>
    <row r="67" spans="2:47">
      <c r="B67" s="168" t="s">
        <v>18</v>
      </c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69"/>
    </row>
    <row r="68" spans="2:47">
      <c r="B68" s="32" t="s">
        <v>120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8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8"/>
    </row>
    <row r="69" spans="2:47">
      <c r="B69" s="32" t="s">
        <v>121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8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8"/>
    </row>
    <row r="70" spans="2:47">
      <c r="B70" s="149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8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8"/>
    </row>
    <row r="71" spans="2:47" ht="15" thickBot="1">
      <c r="B71" s="35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6"/>
      <c r="U71" s="36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4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1"/>
    </row>
  </sheetData>
  <mergeCells count="20">
    <mergeCell ref="B67:AU67"/>
    <mergeCell ref="H7:J9"/>
    <mergeCell ref="L7:N9"/>
    <mergeCell ref="G5:Q6"/>
    <mergeCell ref="G11:X14"/>
    <mergeCell ref="B22:AU22"/>
    <mergeCell ref="X7:AI7"/>
    <mergeCell ref="X8:AI8"/>
    <mergeCell ref="X9:AI9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S48"/>
  <sheetViews>
    <sheetView zoomScale="48" zoomScaleNormal="48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I27" sqref="I27:I28"/>
    </sheetView>
  </sheetViews>
  <sheetFormatPr defaultRowHeight="20.100000000000001" customHeight="1"/>
  <cols>
    <col min="1" max="1" width="1.42578125" style="133" customWidth="1"/>
    <col min="2" max="2" width="15.7109375" style="37" customWidth="1"/>
    <col min="3" max="3" width="16.7109375" style="38" customWidth="1"/>
    <col min="4" max="4" width="18" style="39" customWidth="1"/>
    <col min="5" max="19" width="18" style="41" customWidth="1"/>
    <col min="20" max="21" width="13.7109375" style="41" customWidth="1"/>
    <col min="22" max="22" width="16.7109375" style="42" customWidth="1"/>
    <col min="23" max="24" width="13.7109375" style="41" customWidth="1"/>
    <col min="25" max="31" width="16.85546875" style="41" customWidth="1"/>
    <col min="32" max="71" width="16.85546875" style="134" customWidth="1"/>
    <col min="72" max="16384" width="9.140625" style="133"/>
  </cols>
  <sheetData>
    <row r="1" spans="2:24" ht="20.100000000000001" customHeight="1">
      <c r="E1" s="185" t="s">
        <v>35</v>
      </c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40" t="s">
        <v>36</v>
      </c>
      <c r="X1" s="41" t="s">
        <v>37</v>
      </c>
    </row>
    <row r="2" spans="2:24" ht="20.100000000000001" customHeight="1"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40" t="s">
        <v>38</v>
      </c>
      <c r="X2" s="41" t="s">
        <v>39</v>
      </c>
    </row>
    <row r="3" spans="2:24" ht="20.100000000000001" customHeight="1">
      <c r="T3" s="40" t="s">
        <v>40</v>
      </c>
      <c r="X3" s="41" t="s">
        <v>41</v>
      </c>
    </row>
    <row r="4" spans="2:24" ht="20.100000000000001" customHeight="1" thickBot="1">
      <c r="T4" s="40"/>
    </row>
    <row r="5" spans="2:24" ht="20.100000000000001" customHeight="1">
      <c r="B5" s="186" t="s">
        <v>42</v>
      </c>
      <c r="C5" s="189" t="s">
        <v>43</v>
      </c>
      <c r="D5" s="192" t="s">
        <v>44</v>
      </c>
      <c r="E5" s="195" t="s">
        <v>45</v>
      </c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6"/>
      <c r="R5" s="196"/>
      <c r="S5" s="197"/>
      <c r="T5" s="198" t="s">
        <v>46</v>
      </c>
      <c r="U5" s="199"/>
      <c r="V5" s="199"/>
      <c r="W5" s="199"/>
      <c r="X5" s="200"/>
    </row>
    <row r="6" spans="2:24" ht="20.100000000000001" customHeight="1">
      <c r="B6" s="187"/>
      <c r="C6" s="190"/>
      <c r="D6" s="193"/>
      <c r="E6" s="43" t="s">
        <v>47</v>
      </c>
      <c r="F6" s="43" t="s">
        <v>48</v>
      </c>
      <c r="G6" s="43" t="s">
        <v>49</v>
      </c>
      <c r="H6" s="43" t="s">
        <v>50</v>
      </c>
      <c r="I6" s="43" t="s">
        <v>51</v>
      </c>
      <c r="J6" s="43" t="s">
        <v>52</v>
      </c>
      <c r="K6" s="43" t="s">
        <v>53</v>
      </c>
      <c r="L6" s="43" t="s">
        <v>54</v>
      </c>
      <c r="M6" s="43" t="s">
        <v>55</v>
      </c>
      <c r="N6" s="43" t="s">
        <v>56</v>
      </c>
      <c r="O6" s="43" t="s">
        <v>57</v>
      </c>
      <c r="P6" s="43" t="s">
        <v>58</v>
      </c>
      <c r="Q6" s="44" t="s">
        <v>59</v>
      </c>
      <c r="R6" s="45" t="s">
        <v>49</v>
      </c>
      <c r="S6" s="46" t="s">
        <v>50</v>
      </c>
      <c r="T6" s="201" t="s">
        <v>60</v>
      </c>
      <c r="U6" s="202"/>
      <c r="V6" s="203" t="s">
        <v>61</v>
      </c>
      <c r="W6" s="204"/>
      <c r="X6" s="205"/>
    </row>
    <row r="7" spans="2:24" ht="20.100000000000001" customHeight="1" thickBot="1">
      <c r="B7" s="188"/>
      <c r="C7" s="191"/>
      <c r="D7" s="194"/>
      <c r="E7" s="47"/>
      <c r="F7" s="47"/>
      <c r="G7" s="47"/>
      <c r="H7" s="47"/>
      <c r="I7" s="47"/>
      <c r="J7" s="47"/>
      <c r="K7" s="47"/>
      <c r="L7" s="47"/>
      <c r="M7" s="47" t="s">
        <v>62</v>
      </c>
      <c r="N7" s="47" t="s">
        <v>63</v>
      </c>
      <c r="O7" s="47" t="s">
        <v>64</v>
      </c>
      <c r="P7" s="47" t="s">
        <v>65</v>
      </c>
      <c r="Q7" s="48" t="s">
        <v>66</v>
      </c>
      <c r="R7" s="49" t="s">
        <v>67</v>
      </c>
      <c r="S7" s="50" t="s">
        <v>68</v>
      </c>
      <c r="T7" s="51" t="s">
        <v>69</v>
      </c>
      <c r="U7" s="52" t="s">
        <v>70</v>
      </c>
      <c r="V7" s="53" t="s">
        <v>71</v>
      </c>
      <c r="W7" s="52" t="s">
        <v>69</v>
      </c>
      <c r="X7" s="54" t="s">
        <v>70</v>
      </c>
    </row>
    <row r="8" spans="2:24" ht="20.100000000000001" customHeight="1">
      <c r="B8" s="55" t="s">
        <v>72</v>
      </c>
      <c r="C8" s="56">
        <v>42855</v>
      </c>
      <c r="D8" s="57">
        <f t="shared" ref="D8:D17" si="0">SUM(E8:S8)</f>
        <v>14000</v>
      </c>
      <c r="E8" s="58"/>
      <c r="F8" s="58"/>
      <c r="G8" s="58">
        <v>10000</v>
      </c>
      <c r="H8" s="58">
        <v>4000</v>
      </c>
      <c r="I8" s="58"/>
      <c r="J8" s="58"/>
      <c r="K8" s="58"/>
      <c r="L8" s="58"/>
      <c r="M8" s="58"/>
      <c r="N8" s="58"/>
      <c r="O8" s="58"/>
      <c r="P8" s="58"/>
      <c r="Q8" s="59"/>
      <c r="R8" s="60"/>
      <c r="S8" s="61"/>
      <c r="T8" s="62">
        <v>0</v>
      </c>
      <c r="U8" s="63">
        <v>0</v>
      </c>
      <c r="V8" s="64"/>
      <c r="W8" s="63"/>
      <c r="X8" s="65"/>
    </row>
    <row r="9" spans="2:24" ht="20.100000000000001" customHeight="1">
      <c r="B9" s="55" t="s">
        <v>73</v>
      </c>
      <c r="C9" s="56">
        <v>42855</v>
      </c>
      <c r="D9" s="57">
        <f t="shared" ref="D9:D10" si="1">SUM(E9:S9)</f>
        <v>30000</v>
      </c>
      <c r="E9" s="58"/>
      <c r="F9" s="58"/>
      <c r="G9" s="58"/>
      <c r="H9" s="58"/>
      <c r="I9" s="58"/>
      <c r="J9" s="58"/>
      <c r="K9" s="58">
        <v>30000</v>
      </c>
      <c r="L9" s="58"/>
      <c r="M9" s="58"/>
      <c r="N9" s="58"/>
      <c r="O9" s="58"/>
      <c r="P9" s="58"/>
      <c r="Q9" s="59"/>
      <c r="R9" s="60"/>
      <c r="S9" s="61"/>
      <c r="T9" s="62">
        <v>0</v>
      </c>
      <c r="U9" s="63">
        <v>0</v>
      </c>
      <c r="V9" s="64"/>
      <c r="W9" s="63"/>
      <c r="X9" s="65"/>
    </row>
    <row r="10" spans="2:24" ht="20.100000000000001" customHeight="1" thickBot="1">
      <c r="B10" s="66" t="s">
        <v>74</v>
      </c>
      <c r="C10" s="67">
        <v>42855</v>
      </c>
      <c r="D10" s="68">
        <f t="shared" si="1"/>
        <v>178500</v>
      </c>
      <c r="E10" s="69"/>
      <c r="F10" s="69"/>
      <c r="G10" s="69">
        <f>500+28000+150000</f>
        <v>178500</v>
      </c>
      <c r="H10" s="69"/>
      <c r="I10" s="69"/>
      <c r="J10" s="69"/>
      <c r="K10" s="69"/>
      <c r="L10" s="69"/>
      <c r="M10" s="69"/>
      <c r="N10" s="69"/>
      <c r="O10" s="69"/>
      <c r="P10" s="69"/>
      <c r="Q10" s="70"/>
      <c r="R10" s="71"/>
      <c r="S10" s="72"/>
      <c r="T10" s="73">
        <v>2</v>
      </c>
      <c r="U10" s="74">
        <v>119</v>
      </c>
      <c r="V10" s="75"/>
      <c r="W10" s="74"/>
      <c r="X10" s="76"/>
    </row>
    <row r="11" spans="2:24" ht="20.100000000000001" customHeight="1">
      <c r="B11" s="77" t="s">
        <v>75</v>
      </c>
      <c r="C11" s="78">
        <v>42878</v>
      </c>
      <c r="D11" s="79">
        <f t="shared" si="0"/>
        <v>6000</v>
      </c>
      <c r="E11" s="80"/>
      <c r="F11" s="80"/>
      <c r="G11" s="80">
        <v>6000</v>
      </c>
      <c r="H11" s="80"/>
      <c r="I11" s="80"/>
      <c r="J11" s="80"/>
      <c r="K11" s="80"/>
      <c r="L11" s="80"/>
      <c r="M11" s="80"/>
      <c r="N11" s="80"/>
      <c r="O11" s="80"/>
      <c r="P11" s="80"/>
      <c r="Q11" s="81"/>
      <c r="R11" s="82"/>
      <c r="S11" s="83"/>
      <c r="T11" s="84">
        <v>0</v>
      </c>
      <c r="U11" s="85">
        <v>0</v>
      </c>
      <c r="V11" s="86"/>
      <c r="W11" s="85"/>
      <c r="X11" s="87"/>
    </row>
    <row r="12" spans="2:24" ht="20.100000000000001" customHeight="1">
      <c r="B12" s="88" t="s">
        <v>76</v>
      </c>
      <c r="C12" s="89">
        <v>42878</v>
      </c>
      <c r="D12" s="90">
        <f t="shared" ref="D12" si="2">SUM(E12:S12)</f>
        <v>100500</v>
      </c>
      <c r="E12" s="91"/>
      <c r="F12" s="91"/>
      <c r="G12" s="91"/>
      <c r="H12" s="91"/>
      <c r="I12" s="91">
        <f>50000+50500</f>
        <v>100500</v>
      </c>
      <c r="J12" s="91"/>
      <c r="K12" s="91"/>
      <c r="L12" s="91"/>
      <c r="M12" s="91"/>
      <c r="N12" s="91"/>
      <c r="O12" s="91"/>
      <c r="P12" s="91"/>
      <c r="Q12" s="92"/>
      <c r="R12" s="93"/>
      <c r="S12" s="94"/>
      <c r="T12" s="95">
        <v>2</v>
      </c>
      <c r="U12" s="96">
        <v>67</v>
      </c>
      <c r="V12" s="97"/>
      <c r="W12" s="96"/>
      <c r="X12" s="98"/>
    </row>
    <row r="13" spans="2:24" ht="20.100000000000001" customHeight="1">
      <c r="B13" s="88" t="s">
        <v>77</v>
      </c>
      <c r="C13" s="89">
        <v>42886</v>
      </c>
      <c r="D13" s="90">
        <f t="shared" si="0"/>
        <v>52300</v>
      </c>
      <c r="E13" s="91"/>
      <c r="F13" s="91"/>
      <c r="G13" s="91"/>
      <c r="H13" s="91"/>
      <c r="I13" s="91">
        <v>51000</v>
      </c>
      <c r="J13" s="91"/>
      <c r="K13" s="91"/>
      <c r="L13" s="91"/>
      <c r="M13" s="91"/>
      <c r="N13" s="91"/>
      <c r="O13" s="91"/>
      <c r="P13" s="91">
        <v>1300</v>
      </c>
      <c r="Q13" s="92"/>
      <c r="R13" s="93"/>
      <c r="S13" s="94"/>
      <c r="T13" s="95">
        <v>1</v>
      </c>
      <c r="U13" s="96">
        <v>36</v>
      </c>
      <c r="V13" s="97"/>
      <c r="W13" s="96"/>
      <c r="X13" s="98"/>
    </row>
    <row r="14" spans="2:24" ht="20.100000000000001" customHeight="1" thickBot="1">
      <c r="B14" s="99" t="s">
        <v>78</v>
      </c>
      <c r="C14" s="100">
        <v>42886</v>
      </c>
      <c r="D14" s="101">
        <f t="shared" ref="D14" si="3">SUM(E14:S14)</f>
        <v>15760</v>
      </c>
      <c r="E14" s="102"/>
      <c r="F14" s="102"/>
      <c r="G14" s="102">
        <v>4000</v>
      </c>
      <c r="H14" s="102"/>
      <c r="I14" s="102"/>
      <c r="J14" s="102"/>
      <c r="K14" s="102"/>
      <c r="L14" s="102"/>
      <c r="M14" s="102">
        <v>11760</v>
      </c>
      <c r="N14" s="102"/>
      <c r="O14" s="102"/>
      <c r="P14" s="102"/>
      <c r="Q14" s="103"/>
      <c r="R14" s="104"/>
      <c r="S14" s="105"/>
      <c r="T14" s="106">
        <v>0</v>
      </c>
      <c r="U14" s="107">
        <v>0</v>
      </c>
      <c r="V14" s="108"/>
      <c r="W14" s="107"/>
      <c r="X14" s="109"/>
    </row>
    <row r="15" spans="2:24" ht="20.100000000000001" customHeight="1">
      <c r="B15" s="77" t="s">
        <v>79</v>
      </c>
      <c r="C15" s="78">
        <v>42901</v>
      </c>
      <c r="D15" s="79">
        <f t="shared" si="0"/>
        <v>532500</v>
      </c>
      <c r="E15" s="80"/>
      <c r="F15" s="80"/>
      <c r="G15" s="80">
        <f>54000+1500</f>
        <v>55500</v>
      </c>
      <c r="H15" s="80">
        <v>51000</v>
      </c>
      <c r="I15" s="80">
        <f>299500+75500</f>
        <v>375000</v>
      </c>
      <c r="J15" s="80"/>
      <c r="K15" s="80">
        <v>51000</v>
      </c>
      <c r="L15" s="80"/>
      <c r="M15" s="80"/>
      <c r="N15" s="80"/>
      <c r="O15" s="80"/>
      <c r="P15" s="80"/>
      <c r="Q15" s="81"/>
      <c r="R15" s="82"/>
      <c r="S15" s="83"/>
      <c r="T15" s="84">
        <v>7</v>
      </c>
      <c r="U15" s="85">
        <v>355</v>
      </c>
      <c r="V15" s="86"/>
      <c r="W15" s="85"/>
      <c r="X15" s="87"/>
    </row>
    <row r="16" spans="2:24" ht="20.100000000000001" customHeight="1">
      <c r="B16" s="88" t="s">
        <v>80</v>
      </c>
      <c r="C16" s="89">
        <v>42915</v>
      </c>
      <c r="D16" s="90">
        <f t="shared" si="0"/>
        <v>8000</v>
      </c>
      <c r="E16" s="91"/>
      <c r="F16" s="91"/>
      <c r="G16" s="91">
        <v>2000</v>
      </c>
      <c r="H16" s="91">
        <v>6000</v>
      </c>
      <c r="I16" s="91"/>
      <c r="J16" s="91"/>
      <c r="K16" s="91"/>
      <c r="L16" s="91"/>
      <c r="M16" s="91"/>
      <c r="N16" s="91"/>
      <c r="O16" s="91"/>
      <c r="P16" s="91"/>
      <c r="Q16" s="92"/>
      <c r="R16" s="93"/>
      <c r="S16" s="94"/>
      <c r="T16" s="95">
        <v>0</v>
      </c>
      <c r="U16" s="96">
        <v>0</v>
      </c>
      <c r="V16" s="97"/>
      <c r="W16" s="96"/>
      <c r="X16" s="98"/>
    </row>
    <row r="17" spans="2:24" ht="20.100000000000001" customHeight="1" thickBot="1">
      <c r="B17" s="99" t="s">
        <v>81</v>
      </c>
      <c r="C17" s="100">
        <v>42916</v>
      </c>
      <c r="D17" s="101">
        <f t="shared" si="0"/>
        <v>555000</v>
      </c>
      <c r="E17" s="102"/>
      <c r="F17" s="102"/>
      <c r="G17" s="102">
        <f>4000+21500</f>
        <v>25500</v>
      </c>
      <c r="H17" s="102"/>
      <c r="I17" s="102">
        <v>450000</v>
      </c>
      <c r="J17" s="102"/>
      <c r="K17" s="102">
        <v>79500</v>
      </c>
      <c r="L17" s="102"/>
      <c r="M17" s="102"/>
      <c r="N17" s="102"/>
      <c r="O17" s="102"/>
      <c r="P17" s="102"/>
      <c r="Q17" s="103"/>
      <c r="R17" s="104"/>
      <c r="S17" s="105"/>
      <c r="T17" s="106">
        <v>7</v>
      </c>
      <c r="U17" s="107">
        <v>370</v>
      </c>
      <c r="V17" s="108"/>
      <c r="W17" s="107"/>
      <c r="X17" s="109"/>
    </row>
    <row r="18" spans="2:24" ht="20.100000000000001" customHeight="1">
      <c r="B18" s="77" t="s">
        <v>82</v>
      </c>
      <c r="C18" s="78">
        <v>42935</v>
      </c>
      <c r="D18" s="79">
        <f t="shared" ref="D18:D19" si="4">SUM(E18:S18)</f>
        <v>0</v>
      </c>
      <c r="E18" s="80"/>
      <c r="F18" s="80"/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/>
      <c r="N18" s="80"/>
      <c r="O18" s="80"/>
      <c r="P18" s="80"/>
      <c r="Q18" s="81"/>
      <c r="R18" s="82"/>
      <c r="S18" s="83"/>
      <c r="T18" s="84"/>
      <c r="U18" s="85"/>
      <c r="V18" s="86"/>
      <c r="W18" s="85"/>
      <c r="X18" s="87"/>
    </row>
    <row r="19" spans="2:24" ht="20.100000000000001" customHeight="1" thickBot="1">
      <c r="B19" s="99"/>
      <c r="C19" s="100"/>
      <c r="D19" s="101">
        <f t="shared" si="4"/>
        <v>0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104"/>
      <c r="S19" s="105"/>
      <c r="T19" s="106"/>
      <c r="U19" s="107"/>
      <c r="V19" s="108"/>
      <c r="W19" s="107"/>
      <c r="X19" s="109"/>
    </row>
    <row r="20" spans="2:24" ht="20.100000000000001" customHeight="1">
      <c r="B20" s="55" t="s">
        <v>83</v>
      </c>
      <c r="C20" s="56">
        <v>42956</v>
      </c>
      <c r="D20" s="57">
        <f>SUM(E20:S20)</f>
        <v>0</v>
      </c>
      <c r="E20" s="58"/>
      <c r="F20" s="58"/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/>
      <c r="N20" s="58"/>
      <c r="O20" s="58"/>
      <c r="P20" s="58"/>
      <c r="Q20" s="59"/>
      <c r="R20" s="60">
        <v>0</v>
      </c>
      <c r="S20" s="61">
        <v>0</v>
      </c>
      <c r="T20" s="62"/>
      <c r="U20" s="63"/>
      <c r="V20" s="64">
        <f t="shared" ref="V20" si="5">C20+1</f>
        <v>42957</v>
      </c>
      <c r="W20" s="63"/>
      <c r="X20" s="65">
        <v>0</v>
      </c>
    </row>
    <row r="21" spans="2:24" ht="20.100000000000001" customHeight="1">
      <c r="B21" s="88"/>
      <c r="C21" s="89">
        <v>42963</v>
      </c>
      <c r="D21" s="90">
        <f t="shared" ref="D21:D47" si="6">SUM(E21:S21)</f>
        <v>439500</v>
      </c>
      <c r="E21" s="91"/>
      <c r="F21" s="91"/>
      <c r="G21" s="91">
        <v>84500</v>
      </c>
      <c r="H21" s="91">
        <v>79000</v>
      </c>
      <c r="I21" s="91">
        <v>23500</v>
      </c>
      <c r="J21" s="91">
        <v>50000</v>
      </c>
      <c r="K21" s="91">
        <v>149500</v>
      </c>
      <c r="L21" s="91">
        <v>50000</v>
      </c>
      <c r="M21" s="91"/>
      <c r="N21" s="91"/>
      <c r="O21" s="91"/>
      <c r="P21" s="91"/>
      <c r="Q21" s="92"/>
      <c r="R21" s="93">
        <v>1500</v>
      </c>
      <c r="S21" s="94">
        <v>1500</v>
      </c>
      <c r="T21" s="95"/>
      <c r="U21" s="96"/>
      <c r="V21" s="97">
        <v>42964</v>
      </c>
      <c r="W21" s="96">
        <v>4</v>
      </c>
      <c r="X21" s="98">
        <f>200+230</f>
        <v>430</v>
      </c>
    </row>
    <row r="22" spans="2:24" ht="20.100000000000001" customHeight="1">
      <c r="B22" s="88"/>
      <c r="C22" s="89"/>
      <c r="D22" s="90">
        <f t="shared" si="6"/>
        <v>0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93"/>
      <c r="S22" s="94"/>
      <c r="T22" s="95"/>
      <c r="U22" s="96"/>
      <c r="V22" s="97">
        <v>42971</v>
      </c>
      <c r="W22" s="96"/>
      <c r="X22" s="98"/>
    </row>
    <row r="23" spans="2:24" ht="20.100000000000001" customHeight="1" thickBot="1">
      <c r="B23" s="110"/>
      <c r="C23" s="111"/>
      <c r="D23" s="112">
        <f t="shared" si="6"/>
        <v>0</v>
      </c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4"/>
      <c r="R23" s="115"/>
      <c r="S23" s="116"/>
      <c r="T23" s="117"/>
      <c r="U23" s="118"/>
      <c r="V23" s="119"/>
      <c r="W23" s="118"/>
      <c r="X23" s="120"/>
    </row>
    <row r="24" spans="2:24" ht="20.100000000000001" customHeight="1">
      <c r="B24" s="77"/>
      <c r="C24" s="78">
        <v>42991</v>
      </c>
      <c r="D24" s="79">
        <f t="shared" si="6"/>
        <v>424500</v>
      </c>
      <c r="E24" s="80"/>
      <c r="F24" s="80"/>
      <c r="G24" s="80">
        <v>49500</v>
      </c>
      <c r="H24" s="80">
        <v>49500</v>
      </c>
      <c r="I24" s="80">
        <v>276000</v>
      </c>
      <c r="J24" s="80"/>
      <c r="K24" s="80">
        <v>49500</v>
      </c>
      <c r="L24" s="80"/>
      <c r="M24" s="80"/>
      <c r="N24" s="80"/>
      <c r="O24" s="80"/>
      <c r="P24" s="80"/>
      <c r="Q24" s="81"/>
      <c r="R24" s="82"/>
      <c r="S24" s="83"/>
      <c r="T24" s="84"/>
      <c r="U24" s="85"/>
      <c r="V24" s="86">
        <f>C24+1</f>
        <v>42992</v>
      </c>
      <c r="W24" s="85"/>
      <c r="X24" s="87"/>
    </row>
    <row r="25" spans="2:24" ht="20.100000000000001" customHeight="1">
      <c r="B25" s="88"/>
      <c r="C25" s="89">
        <v>42998</v>
      </c>
      <c r="D25" s="90">
        <f t="shared" si="6"/>
        <v>228000</v>
      </c>
      <c r="E25" s="91"/>
      <c r="F25" s="91"/>
      <c r="G25" s="91"/>
      <c r="H25" s="91"/>
      <c r="I25" s="91">
        <v>225000</v>
      </c>
      <c r="J25" s="91"/>
      <c r="K25" s="91"/>
      <c r="L25" s="91"/>
      <c r="M25" s="91"/>
      <c r="N25" s="91"/>
      <c r="O25" s="91"/>
      <c r="P25" s="91"/>
      <c r="Q25" s="92"/>
      <c r="R25" s="93">
        <v>1500</v>
      </c>
      <c r="S25" s="94">
        <v>1500</v>
      </c>
      <c r="T25" s="95"/>
      <c r="U25" s="96"/>
      <c r="V25" s="97">
        <f>C25+1</f>
        <v>42999</v>
      </c>
      <c r="W25" s="96"/>
      <c r="X25" s="98"/>
    </row>
    <row r="26" spans="2:24" ht="20.100000000000001" customHeight="1">
      <c r="B26" s="88"/>
      <c r="C26" s="89"/>
      <c r="D26" s="90">
        <f t="shared" si="6"/>
        <v>0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  <c r="R26" s="93"/>
      <c r="S26" s="94"/>
      <c r="T26" s="95"/>
      <c r="U26" s="96"/>
      <c r="V26" s="97"/>
      <c r="W26" s="96"/>
      <c r="X26" s="98"/>
    </row>
    <row r="27" spans="2:24" ht="20.100000000000001" customHeight="1" thickBot="1">
      <c r="B27" s="99"/>
      <c r="C27" s="100"/>
      <c r="D27" s="101">
        <f t="shared" si="6"/>
        <v>0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3"/>
      <c r="R27" s="104"/>
      <c r="S27" s="105"/>
      <c r="T27" s="106"/>
      <c r="U27" s="107"/>
      <c r="V27" s="108"/>
      <c r="W27" s="107"/>
      <c r="X27" s="109"/>
    </row>
    <row r="28" spans="2:24" ht="20.100000000000001" customHeight="1">
      <c r="B28" s="55"/>
      <c r="C28" s="56">
        <v>43019</v>
      </c>
      <c r="D28" s="57">
        <f t="shared" si="6"/>
        <v>0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9"/>
      <c r="R28" s="60"/>
      <c r="S28" s="61"/>
      <c r="T28" s="62"/>
      <c r="U28" s="63"/>
      <c r="V28" s="64">
        <f t="shared" ref="V28:V29" si="7">C28+1</f>
        <v>43020</v>
      </c>
      <c r="W28" s="63"/>
      <c r="X28" s="65"/>
    </row>
    <row r="29" spans="2:24" ht="20.100000000000001" customHeight="1">
      <c r="B29" s="55"/>
      <c r="C29" s="56">
        <v>1022</v>
      </c>
      <c r="D29" s="90">
        <f t="shared" si="6"/>
        <v>3000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9"/>
      <c r="R29" s="60">
        <v>1500</v>
      </c>
      <c r="S29" s="61">
        <v>1500</v>
      </c>
      <c r="T29" s="62"/>
      <c r="U29" s="63"/>
      <c r="V29" s="64">
        <f t="shared" si="7"/>
        <v>1023</v>
      </c>
      <c r="W29" s="63"/>
      <c r="X29" s="65"/>
    </row>
    <row r="30" spans="2:24" ht="20.100000000000001" customHeight="1">
      <c r="B30" s="55"/>
      <c r="C30" s="56"/>
      <c r="D30" s="90">
        <f t="shared" si="6"/>
        <v>0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9"/>
      <c r="R30" s="60"/>
      <c r="S30" s="61"/>
      <c r="T30" s="62"/>
      <c r="U30" s="63"/>
      <c r="V30" s="64"/>
      <c r="W30" s="63"/>
      <c r="X30" s="65"/>
    </row>
    <row r="31" spans="2:24" ht="20.100000000000001" customHeight="1" thickBot="1">
      <c r="B31" s="66"/>
      <c r="C31" s="67"/>
      <c r="D31" s="112">
        <f t="shared" si="6"/>
        <v>0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70"/>
      <c r="R31" s="71"/>
      <c r="S31" s="72"/>
      <c r="T31" s="73"/>
      <c r="U31" s="74"/>
      <c r="V31" s="75"/>
      <c r="W31" s="74"/>
      <c r="X31" s="76"/>
    </row>
    <row r="32" spans="2:24" ht="20.100000000000001" customHeight="1">
      <c r="B32" s="77"/>
      <c r="C32" s="78">
        <v>43054</v>
      </c>
      <c r="D32" s="79">
        <f t="shared" si="6"/>
        <v>0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1"/>
      <c r="R32" s="82"/>
      <c r="S32" s="83"/>
      <c r="T32" s="84"/>
      <c r="U32" s="85"/>
      <c r="V32" s="86">
        <f t="shared" ref="V32:V33" si="8">C32+1</f>
        <v>43055</v>
      </c>
      <c r="W32" s="85"/>
      <c r="X32" s="87"/>
    </row>
    <row r="33" spans="2:24" ht="20.100000000000001" customHeight="1">
      <c r="B33" s="55"/>
      <c r="C33" s="56">
        <v>43061</v>
      </c>
      <c r="D33" s="90">
        <f t="shared" si="6"/>
        <v>3000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9"/>
      <c r="R33" s="60">
        <v>1500</v>
      </c>
      <c r="S33" s="61">
        <v>1500</v>
      </c>
      <c r="T33" s="62"/>
      <c r="U33" s="63"/>
      <c r="V33" s="64">
        <f t="shared" si="8"/>
        <v>43062</v>
      </c>
      <c r="W33" s="63"/>
      <c r="X33" s="65"/>
    </row>
    <row r="34" spans="2:24" ht="20.100000000000001" customHeight="1">
      <c r="B34" s="55"/>
      <c r="C34" s="56"/>
      <c r="D34" s="90">
        <f t="shared" si="6"/>
        <v>0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9"/>
      <c r="R34" s="60"/>
      <c r="S34" s="61"/>
      <c r="T34" s="62"/>
      <c r="U34" s="63"/>
      <c r="V34" s="64"/>
      <c r="W34" s="63"/>
      <c r="X34" s="65"/>
    </row>
    <row r="35" spans="2:24" ht="20.100000000000001" customHeight="1" thickBot="1">
      <c r="B35" s="121"/>
      <c r="C35" s="122"/>
      <c r="D35" s="101">
        <f t="shared" si="6"/>
        <v>0</v>
      </c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4"/>
      <c r="R35" s="125"/>
      <c r="S35" s="126"/>
      <c r="T35" s="127"/>
      <c r="U35" s="128"/>
      <c r="V35" s="129"/>
      <c r="W35" s="128"/>
      <c r="X35" s="130"/>
    </row>
    <row r="36" spans="2:24" ht="20.100000000000001" customHeight="1">
      <c r="B36" s="55"/>
      <c r="C36" s="56">
        <v>43082</v>
      </c>
      <c r="D36" s="57">
        <f t="shared" si="6"/>
        <v>0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9"/>
      <c r="R36" s="60"/>
      <c r="S36" s="61"/>
      <c r="T36" s="62"/>
      <c r="U36" s="63"/>
      <c r="V36" s="64">
        <f t="shared" ref="V36:V37" si="9">C36+1</f>
        <v>43083</v>
      </c>
      <c r="W36" s="63"/>
      <c r="X36" s="65"/>
    </row>
    <row r="37" spans="2:24" ht="20.100000000000001" customHeight="1">
      <c r="B37" s="55"/>
      <c r="C37" s="56">
        <v>43089</v>
      </c>
      <c r="D37" s="90">
        <f t="shared" si="6"/>
        <v>3000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9"/>
      <c r="R37" s="60">
        <v>1500</v>
      </c>
      <c r="S37" s="61">
        <v>1500</v>
      </c>
      <c r="T37" s="62"/>
      <c r="U37" s="63"/>
      <c r="V37" s="64">
        <f t="shared" si="9"/>
        <v>43090</v>
      </c>
      <c r="W37" s="63"/>
      <c r="X37" s="65"/>
    </row>
    <row r="38" spans="2:24" ht="20.100000000000001" customHeight="1">
      <c r="B38" s="55"/>
      <c r="C38" s="56"/>
      <c r="D38" s="90">
        <f t="shared" si="6"/>
        <v>0</v>
      </c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9"/>
      <c r="R38" s="60"/>
      <c r="S38" s="61"/>
      <c r="T38" s="62"/>
      <c r="U38" s="63"/>
      <c r="V38" s="64"/>
      <c r="W38" s="63"/>
      <c r="X38" s="65"/>
    </row>
    <row r="39" spans="2:24" ht="20.100000000000001" customHeight="1" thickBot="1">
      <c r="B39" s="66"/>
      <c r="C39" s="67"/>
      <c r="D39" s="112">
        <f t="shared" si="6"/>
        <v>0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70"/>
      <c r="R39" s="71"/>
      <c r="S39" s="72"/>
      <c r="T39" s="73"/>
      <c r="U39" s="74"/>
      <c r="V39" s="75"/>
      <c r="W39" s="74"/>
      <c r="X39" s="76"/>
    </row>
    <row r="40" spans="2:24" ht="20.100000000000001" customHeight="1">
      <c r="B40" s="77"/>
      <c r="C40" s="78"/>
      <c r="D40" s="79">
        <f t="shared" si="6"/>
        <v>0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1"/>
      <c r="R40" s="82"/>
      <c r="S40" s="83"/>
      <c r="T40" s="84"/>
      <c r="U40" s="85"/>
      <c r="V40" s="86"/>
      <c r="W40" s="85"/>
      <c r="X40" s="87"/>
    </row>
    <row r="41" spans="2:24" ht="20.100000000000001" customHeight="1">
      <c r="B41" s="55"/>
      <c r="C41" s="56"/>
      <c r="D41" s="90">
        <f t="shared" si="6"/>
        <v>0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9"/>
      <c r="R41" s="60"/>
      <c r="S41" s="61"/>
      <c r="T41" s="62"/>
      <c r="U41" s="63"/>
      <c r="V41" s="64"/>
      <c r="W41" s="63"/>
      <c r="X41" s="65"/>
    </row>
    <row r="42" spans="2:24" ht="20.100000000000001" customHeight="1">
      <c r="B42" s="55"/>
      <c r="C42" s="56"/>
      <c r="D42" s="90">
        <f t="shared" si="6"/>
        <v>0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9"/>
      <c r="R42" s="60"/>
      <c r="S42" s="61"/>
      <c r="T42" s="62"/>
      <c r="U42" s="63"/>
      <c r="V42" s="64"/>
      <c r="W42" s="63"/>
      <c r="X42" s="65"/>
    </row>
    <row r="43" spans="2:24" ht="20.100000000000001" customHeight="1" thickBot="1">
      <c r="B43" s="99"/>
      <c r="C43" s="100"/>
      <c r="D43" s="101">
        <f t="shared" si="6"/>
        <v>0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3"/>
      <c r="R43" s="104"/>
      <c r="S43" s="105"/>
      <c r="T43" s="106"/>
      <c r="U43" s="107"/>
      <c r="V43" s="108"/>
      <c r="W43" s="107"/>
      <c r="X43" s="109"/>
    </row>
    <row r="44" spans="2:24" ht="20.100000000000001" customHeight="1">
      <c r="B44" s="55"/>
      <c r="C44" s="56"/>
      <c r="D44" s="57">
        <f t="shared" si="6"/>
        <v>0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9"/>
      <c r="R44" s="60"/>
      <c r="S44" s="61"/>
      <c r="T44" s="62"/>
      <c r="U44" s="63"/>
      <c r="V44" s="64"/>
      <c r="W44" s="63"/>
      <c r="X44" s="65"/>
    </row>
    <row r="45" spans="2:24" ht="20.100000000000001" customHeight="1">
      <c r="B45" s="88"/>
      <c r="C45" s="89"/>
      <c r="D45" s="90">
        <f t="shared" si="6"/>
        <v>0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2"/>
      <c r="R45" s="93"/>
      <c r="S45" s="94"/>
      <c r="T45" s="95"/>
      <c r="U45" s="96"/>
      <c r="V45" s="97"/>
      <c r="W45" s="96"/>
      <c r="X45" s="98"/>
    </row>
    <row r="46" spans="2:24" ht="20.100000000000001" customHeight="1">
      <c r="B46" s="88"/>
      <c r="C46" s="89"/>
      <c r="D46" s="90">
        <f t="shared" si="6"/>
        <v>0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2"/>
      <c r="R46" s="93"/>
      <c r="S46" s="94"/>
      <c r="T46" s="95"/>
      <c r="U46" s="96"/>
      <c r="V46" s="97"/>
      <c r="W46" s="96"/>
      <c r="X46" s="98"/>
    </row>
    <row r="47" spans="2:24" ht="20.100000000000001" customHeight="1" thickBot="1">
      <c r="B47" s="99"/>
      <c r="C47" s="100"/>
      <c r="D47" s="101">
        <f t="shared" si="6"/>
        <v>0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3"/>
      <c r="R47" s="104"/>
      <c r="S47" s="105"/>
      <c r="T47" s="117"/>
      <c r="U47" s="118"/>
      <c r="V47" s="119"/>
      <c r="W47" s="118"/>
      <c r="X47" s="120"/>
    </row>
    <row r="48" spans="2:24" ht="20.100000000000001" customHeight="1" thickBot="1">
      <c r="T48" s="183" t="s">
        <v>84</v>
      </c>
      <c r="U48" s="184"/>
      <c r="V48" s="184"/>
      <c r="W48" s="131">
        <f>SUM(T8:T47)-SUM(W8:W47)</f>
        <v>15</v>
      </c>
      <c r="X48" s="132">
        <f>SUM(U8:U47)-SUM(X8:X47)</f>
        <v>517</v>
      </c>
    </row>
  </sheetData>
  <mergeCells count="9">
    <mergeCell ref="T48:V48"/>
    <mergeCell ref="E1:S2"/>
    <mergeCell ref="B5:B7"/>
    <mergeCell ref="C5:C7"/>
    <mergeCell ref="D5:D7"/>
    <mergeCell ref="E5:S5"/>
    <mergeCell ref="T5:X5"/>
    <mergeCell ref="T6:U6"/>
    <mergeCell ref="V6:X6"/>
  </mergeCells>
  <pageMargins left="0" right="0" top="0" bottom="0" header="0.31496062992125984" footer="0.31496062992125984"/>
  <pageSetup paperSize="9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S45"/>
  <sheetViews>
    <sheetView zoomScale="56" zoomScaleNormal="56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L23" sqref="L23"/>
    </sheetView>
  </sheetViews>
  <sheetFormatPr defaultRowHeight="20.100000000000001" customHeight="1"/>
  <cols>
    <col min="1" max="1" width="1.42578125" style="133" customWidth="1"/>
    <col min="2" max="2" width="18.7109375" style="37" customWidth="1"/>
    <col min="3" max="3" width="16.7109375" style="38" customWidth="1"/>
    <col min="4" max="4" width="14.28515625" style="39" customWidth="1"/>
    <col min="5" max="18" width="18.7109375" style="41" customWidth="1"/>
    <col min="19" max="25" width="16.85546875" style="41" customWidth="1"/>
    <col min="26" max="65" width="16.85546875" style="134" customWidth="1"/>
    <col min="66" max="16384" width="9.140625" style="133"/>
  </cols>
  <sheetData>
    <row r="1" spans="2:71" ht="20.100000000000001" customHeight="1">
      <c r="E1" s="185" t="s">
        <v>85</v>
      </c>
      <c r="F1" s="185"/>
      <c r="G1" s="185"/>
      <c r="H1" s="185"/>
      <c r="I1" s="185"/>
      <c r="J1" s="185"/>
      <c r="K1" s="185"/>
      <c r="L1" s="185"/>
      <c r="M1" s="185"/>
      <c r="N1" s="40" t="s">
        <v>36</v>
      </c>
      <c r="P1" s="42"/>
      <c r="R1" s="41" t="s">
        <v>37</v>
      </c>
    </row>
    <row r="2" spans="2:71" ht="20.100000000000001" customHeight="1">
      <c r="E2" s="185"/>
      <c r="F2" s="185"/>
      <c r="G2" s="185"/>
      <c r="H2" s="185"/>
      <c r="I2" s="185"/>
      <c r="J2" s="185"/>
      <c r="K2" s="185"/>
      <c r="L2" s="185"/>
      <c r="M2" s="185"/>
      <c r="N2" s="40" t="s">
        <v>38</v>
      </c>
      <c r="P2" s="42"/>
      <c r="R2" s="41" t="s">
        <v>86</v>
      </c>
    </row>
    <row r="3" spans="2:71" ht="20.100000000000001" customHeight="1">
      <c r="N3" s="40" t="s">
        <v>87</v>
      </c>
      <c r="P3" s="42"/>
      <c r="R3" s="41" t="s">
        <v>88</v>
      </c>
    </row>
    <row r="4" spans="2:71" ht="20.100000000000001" customHeight="1" thickBot="1"/>
    <row r="5" spans="2:71" ht="20.100000000000001" customHeight="1">
      <c r="B5" s="186" t="s">
        <v>42</v>
      </c>
      <c r="C5" s="189" t="s">
        <v>43</v>
      </c>
      <c r="D5" s="192" t="s">
        <v>44</v>
      </c>
      <c r="E5" s="195" t="s">
        <v>89</v>
      </c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6"/>
      <c r="Q5" s="196"/>
      <c r="R5" s="197"/>
    </row>
    <row r="6" spans="2:71" ht="20.100000000000001" customHeight="1">
      <c r="B6" s="187"/>
      <c r="C6" s="190"/>
      <c r="D6" s="193"/>
      <c r="E6" s="43" t="s">
        <v>90</v>
      </c>
      <c r="F6" s="43" t="s">
        <v>55</v>
      </c>
      <c r="G6" s="43" t="s">
        <v>49</v>
      </c>
      <c r="H6" s="43" t="s">
        <v>50</v>
      </c>
      <c r="I6" s="43"/>
      <c r="J6" s="43"/>
      <c r="K6" s="43"/>
      <c r="L6" s="43"/>
      <c r="M6" s="43"/>
      <c r="N6" s="43"/>
      <c r="O6" s="43"/>
      <c r="P6" s="44"/>
      <c r="Q6" s="44"/>
      <c r="R6" s="135"/>
    </row>
    <row r="7" spans="2:71" ht="20.100000000000001" customHeight="1" thickBot="1">
      <c r="B7" s="188"/>
      <c r="C7" s="191"/>
      <c r="D7" s="194"/>
      <c r="E7" s="47"/>
      <c r="F7" s="47" t="s">
        <v>62</v>
      </c>
      <c r="G7" s="136" t="s">
        <v>91</v>
      </c>
      <c r="H7" s="47"/>
      <c r="I7" s="47"/>
      <c r="J7" s="47"/>
      <c r="K7" s="47"/>
      <c r="L7" s="47"/>
      <c r="M7" s="47"/>
      <c r="N7" s="47"/>
      <c r="O7" s="47"/>
      <c r="P7" s="48"/>
      <c r="Q7" s="137"/>
      <c r="R7" s="138"/>
    </row>
    <row r="8" spans="2:71" s="41" customFormat="1" ht="20.100000000000001" customHeight="1">
      <c r="B8" s="55" t="s">
        <v>92</v>
      </c>
      <c r="C8" s="56">
        <v>42901</v>
      </c>
      <c r="D8" s="57">
        <f t="shared" ref="D8:D17" si="0">SUM(E8:R8)</f>
        <v>21000</v>
      </c>
      <c r="E8" s="58"/>
      <c r="F8" s="58">
        <v>21000</v>
      </c>
      <c r="G8" s="58"/>
      <c r="H8" s="58"/>
      <c r="I8" s="58"/>
      <c r="J8" s="58"/>
      <c r="K8" s="58"/>
      <c r="L8" s="58"/>
      <c r="M8" s="58"/>
      <c r="N8" s="58"/>
      <c r="O8" s="58"/>
      <c r="P8" s="59"/>
      <c r="Q8" s="59"/>
      <c r="R8" s="139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3"/>
      <c r="BO8" s="133"/>
      <c r="BP8" s="133"/>
      <c r="BQ8" s="133"/>
      <c r="BR8" s="133"/>
      <c r="BS8" s="133"/>
    </row>
    <row r="9" spans="2:71" s="41" customFormat="1" ht="20.100000000000001" customHeight="1">
      <c r="B9" s="55" t="s">
        <v>93</v>
      </c>
      <c r="C9" s="56">
        <v>42916</v>
      </c>
      <c r="D9" s="57">
        <f t="shared" si="0"/>
        <v>16370</v>
      </c>
      <c r="E9" s="58">
        <v>200</v>
      </c>
      <c r="F9" s="58">
        <v>16170</v>
      </c>
      <c r="G9" s="58"/>
      <c r="H9" s="58"/>
      <c r="I9" s="58"/>
      <c r="J9" s="58"/>
      <c r="K9" s="58"/>
      <c r="L9" s="58"/>
      <c r="M9" s="58"/>
      <c r="N9" s="58"/>
      <c r="O9" s="58"/>
      <c r="P9" s="59"/>
      <c r="Q9" s="59"/>
      <c r="R9" s="139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3"/>
      <c r="BO9" s="133"/>
      <c r="BP9" s="133"/>
      <c r="BQ9" s="133"/>
      <c r="BR9" s="133"/>
      <c r="BS9" s="133"/>
    </row>
    <row r="10" spans="2:71" s="41" customFormat="1" ht="20.100000000000001" customHeight="1" thickBot="1">
      <c r="B10" s="121"/>
      <c r="C10" s="122"/>
      <c r="D10" s="140">
        <f t="shared" si="0"/>
        <v>0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4"/>
      <c r="Q10" s="124"/>
      <c r="R10" s="141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3"/>
      <c r="BO10" s="133"/>
      <c r="BP10" s="133"/>
      <c r="BQ10" s="133"/>
      <c r="BR10" s="133"/>
      <c r="BS10" s="133"/>
    </row>
    <row r="11" spans="2:71" s="41" customFormat="1" ht="20.100000000000001" customHeight="1">
      <c r="B11" s="55" t="s">
        <v>94</v>
      </c>
      <c r="C11" s="56">
        <v>42933</v>
      </c>
      <c r="D11" s="57">
        <f t="shared" ref="D11" si="1">SUM(E11:R11)</f>
        <v>1155</v>
      </c>
      <c r="E11" s="58"/>
      <c r="F11" s="58">
        <v>1155</v>
      </c>
      <c r="G11" s="58"/>
      <c r="H11" s="58"/>
      <c r="I11" s="58"/>
      <c r="J11" s="58"/>
      <c r="K11" s="58"/>
      <c r="L11" s="58"/>
      <c r="M11" s="58"/>
      <c r="N11" s="58"/>
      <c r="O11" s="58"/>
      <c r="P11" s="59"/>
      <c r="Q11" s="59"/>
      <c r="R11" s="139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3"/>
      <c r="BO11" s="133"/>
      <c r="BP11" s="133"/>
      <c r="BQ11" s="133"/>
      <c r="BR11" s="133"/>
      <c r="BS11" s="133"/>
    </row>
    <row r="12" spans="2:71" s="41" customFormat="1" ht="20.100000000000001" customHeight="1">
      <c r="B12" s="88"/>
      <c r="C12" s="89"/>
      <c r="D12" s="90">
        <f t="shared" si="0"/>
        <v>0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2"/>
      <c r="Q12" s="92"/>
      <c r="R12" s="142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3"/>
      <c r="BO12" s="133"/>
      <c r="BP12" s="133"/>
      <c r="BQ12" s="133"/>
      <c r="BR12" s="133"/>
      <c r="BS12" s="133"/>
    </row>
    <row r="13" spans="2:71" s="41" customFormat="1" ht="20.100000000000001" customHeight="1" thickBot="1">
      <c r="B13" s="99"/>
      <c r="C13" s="100"/>
      <c r="D13" s="101">
        <f t="shared" si="0"/>
        <v>0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3"/>
      <c r="Q13" s="103"/>
      <c r="R13" s="143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3"/>
      <c r="BO13" s="133"/>
      <c r="BP13" s="133"/>
      <c r="BQ13" s="133"/>
      <c r="BR13" s="133"/>
      <c r="BS13" s="133"/>
    </row>
    <row r="14" spans="2:71" s="41" customFormat="1" ht="20.100000000000001" customHeight="1">
      <c r="B14" s="77" t="s">
        <v>82</v>
      </c>
      <c r="C14" s="78">
        <v>42970</v>
      </c>
      <c r="D14" s="79">
        <f t="shared" si="0"/>
        <v>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1"/>
      <c r="Q14" s="81"/>
      <c r="R14" s="14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3"/>
      <c r="BO14" s="133"/>
      <c r="BP14" s="133"/>
      <c r="BQ14" s="133"/>
      <c r="BR14" s="133"/>
      <c r="BS14" s="133"/>
    </row>
    <row r="15" spans="2:71" s="41" customFormat="1" ht="20.100000000000001" customHeight="1">
      <c r="B15" s="88"/>
      <c r="C15" s="89"/>
      <c r="D15" s="90">
        <f t="shared" si="0"/>
        <v>0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2"/>
      <c r="Q15" s="92"/>
      <c r="R15" s="142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3"/>
      <c r="BO15" s="133"/>
      <c r="BP15" s="133"/>
      <c r="BQ15" s="133"/>
      <c r="BR15" s="133"/>
      <c r="BS15" s="133"/>
    </row>
    <row r="16" spans="2:71" s="41" customFormat="1" ht="20.100000000000001" customHeight="1" thickBot="1">
      <c r="B16" s="99"/>
      <c r="C16" s="100"/>
      <c r="D16" s="101">
        <f t="shared" si="0"/>
        <v>0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3"/>
      <c r="Q16" s="103"/>
      <c r="R16" s="143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3"/>
      <c r="BO16" s="133"/>
      <c r="BP16" s="133"/>
      <c r="BQ16" s="133"/>
      <c r="BR16" s="133"/>
      <c r="BS16" s="133"/>
    </row>
    <row r="17" spans="2:71" s="41" customFormat="1" ht="20.100000000000001" customHeight="1">
      <c r="B17" s="55"/>
      <c r="C17" s="56">
        <v>42982</v>
      </c>
      <c r="D17" s="57">
        <f t="shared" si="0"/>
        <v>6000</v>
      </c>
      <c r="E17" s="58"/>
      <c r="F17" s="58"/>
      <c r="G17" s="58">
        <v>6000</v>
      </c>
      <c r="H17" s="58"/>
      <c r="I17" s="58"/>
      <c r="J17" s="58"/>
      <c r="K17" s="58"/>
      <c r="L17" s="58"/>
      <c r="M17" s="58"/>
      <c r="N17" s="58"/>
      <c r="O17" s="58"/>
      <c r="P17" s="59"/>
      <c r="Q17" s="59"/>
      <c r="R17" s="139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3"/>
      <c r="BO17" s="133"/>
      <c r="BP17" s="133"/>
      <c r="BQ17" s="133"/>
      <c r="BR17" s="133"/>
      <c r="BS17" s="133"/>
    </row>
    <row r="18" spans="2:71" s="41" customFormat="1" ht="20.100000000000001" customHeight="1">
      <c r="B18" s="88"/>
      <c r="C18" s="89"/>
      <c r="D18" s="90">
        <f t="shared" ref="D18:D44" si="2">SUM(E18:R18)</f>
        <v>0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2"/>
      <c r="Q18" s="92"/>
      <c r="R18" s="142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3"/>
      <c r="BO18" s="133"/>
      <c r="BP18" s="133"/>
      <c r="BQ18" s="133"/>
      <c r="BR18" s="133"/>
      <c r="BS18" s="133"/>
    </row>
    <row r="19" spans="2:71" s="41" customFormat="1" ht="20.100000000000001" customHeight="1">
      <c r="B19" s="88"/>
      <c r="C19" s="89"/>
      <c r="D19" s="90">
        <f t="shared" si="2"/>
        <v>0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2"/>
      <c r="Q19" s="92"/>
      <c r="R19" s="142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3"/>
      <c r="BO19" s="133"/>
      <c r="BP19" s="133"/>
      <c r="BQ19" s="133"/>
      <c r="BR19" s="133"/>
      <c r="BS19" s="133"/>
    </row>
    <row r="20" spans="2:71" s="41" customFormat="1" ht="20.100000000000001" customHeight="1" thickBot="1">
      <c r="B20" s="110"/>
      <c r="C20" s="111"/>
      <c r="D20" s="112">
        <f t="shared" si="2"/>
        <v>0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14"/>
      <c r="R20" s="145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3"/>
      <c r="BO20" s="133"/>
      <c r="BP20" s="133"/>
      <c r="BQ20" s="133"/>
      <c r="BR20" s="133"/>
      <c r="BS20" s="133"/>
    </row>
    <row r="21" spans="2:71" s="41" customFormat="1" ht="20.100000000000001" customHeight="1">
      <c r="B21" s="77" t="s">
        <v>83</v>
      </c>
      <c r="C21" s="78">
        <v>43017</v>
      </c>
      <c r="D21" s="79">
        <f t="shared" si="2"/>
        <v>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  <c r="Q21" s="81"/>
      <c r="R21" s="14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3"/>
      <c r="BO21" s="133"/>
      <c r="BP21" s="133"/>
      <c r="BQ21" s="133"/>
      <c r="BR21" s="133"/>
      <c r="BS21" s="133"/>
    </row>
    <row r="22" spans="2:71" s="41" customFormat="1" ht="20.100000000000001" customHeight="1">
      <c r="B22" s="88"/>
      <c r="C22" s="89"/>
      <c r="D22" s="90">
        <f t="shared" si="2"/>
        <v>0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2"/>
      <c r="Q22" s="92"/>
      <c r="R22" s="142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3"/>
      <c r="BO22" s="133"/>
      <c r="BP22" s="133"/>
      <c r="BQ22" s="133"/>
      <c r="BR22" s="133"/>
      <c r="BS22" s="133"/>
    </row>
    <row r="23" spans="2:71" s="41" customFormat="1" ht="20.100000000000001" customHeight="1">
      <c r="B23" s="88"/>
      <c r="C23" s="89"/>
      <c r="D23" s="90">
        <f t="shared" si="2"/>
        <v>0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2"/>
      <c r="Q23" s="92"/>
      <c r="R23" s="142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3"/>
      <c r="BO23" s="133"/>
      <c r="BP23" s="133"/>
      <c r="BQ23" s="133"/>
      <c r="BR23" s="133"/>
      <c r="BS23" s="133"/>
    </row>
    <row r="24" spans="2:71" s="41" customFormat="1" ht="20.100000000000001" customHeight="1" thickBot="1">
      <c r="B24" s="99"/>
      <c r="C24" s="100"/>
      <c r="D24" s="101">
        <f t="shared" si="2"/>
        <v>0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3"/>
      <c r="Q24" s="103"/>
      <c r="R24" s="143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3"/>
      <c r="BO24" s="133"/>
      <c r="BP24" s="133"/>
      <c r="BQ24" s="133"/>
      <c r="BR24" s="133"/>
      <c r="BS24" s="133"/>
    </row>
    <row r="25" spans="2:71" s="41" customFormat="1" ht="20.100000000000001" customHeight="1">
      <c r="B25" s="55"/>
      <c r="C25" s="56">
        <v>43045</v>
      </c>
      <c r="D25" s="57">
        <f t="shared" si="2"/>
        <v>6000</v>
      </c>
      <c r="E25" s="58"/>
      <c r="F25" s="58"/>
      <c r="G25" s="58">
        <v>6000</v>
      </c>
      <c r="H25" s="58"/>
      <c r="I25" s="58"/>
      <c r="J25" s="58"/>
      <c r="K25" s="58"/>
      <c r="L25" s="58"/>
      <c r="M25" s="58"/>
      <c r="N25" s="58"/>
      <c r="O25" s="58"/>
      <c r="P25" s="59"/>
      <c r="Q25" s="59"/>
      <c r="R25" s="139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3"/>
      <c r="BO25" s="133"/>
      <c r="BP25" s="133"/>
      <c r="BQ25" s="133"/>
      <c r="BR25" s="133"/>
      <c r="BS25" s="133"/>
    </row>
    <row r="26" spans="2:71" s="41" customFormat="1" ht="20.100000000000001" customHeight="1">
      <c r="B26" s="55"/>
      <c r="C26" s="56"/>
      <c r="D26" s="90">
        <f t="shared" si="2"/>
        <v>0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9"/>
      <c r="Q26" s="59"/>
      <c r="R26" s="139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3"/>
      <c r="BO26" s="133"/>
      <c r="BP26" s="133"/>
      <c r="BQ26" s="133"/>
      <c r="BR26" s="133"/>
      <c r="BS26" s="133"/>
    </row>
    <row r="27" spans="2:71" s="41" customFormat="1" ht="20.100000000000001" customHeight="1">
      <c r="B27" s="55"/>
      <c r="C27" s="56"/>
      <c r="D27" s="90">
        <f t="shared" si="2"/>
        <v>0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9"/>
      <c r="Q27" s="59"/>
      <c r="R27" s="139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3"/>
      <c r="BO27" s="133"/>
      <c r="BP27" s="133"/>
      <c r="BQ27" s="133"/>
      <c r="BR27" s="133"/>
      <c r="BS27" s="133"/>
    </row>
    <row r="28" spans="2:71" s="41" customFormat="1" ht="20.100000000000001" customHeight="1" thickBot="1">
      <c r="B28" s="66"/>
      <c r="C28" s="67"/>
      <c r="D28" s="112">
        <f t="shared" si="2"/>
        <v>0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70"/>
      <c r="Q28" s="70"/>
      <c r="R28" s="146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3"/>
      <c r="BO28" s="133"/>
      <c r="BP28" s="133"/>
      <c r="BQ28" s="133"/>
      <c r="BR28" s="133"/>
      <c r="BS28" s="133"/>
    </row>
    <row r="29" spans="2:71" s="41" customFormat="1" ht="20.100000000000001" customHeight="1">
      <c r="B29" s="77"/>
      <c r="C29" s="78"/>
      <c r="D29" s="79">
        <f t="shared" si="2"/>
        <v>0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1"/>
      <c r="Q29" s="81"/>
      <c r="R29" s="14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3"/>
      <c r="BO29" s="133"/>
      <c r="BP29" s="133"/>
      <c r="BQ29" s="133"/>
      <c r="BR29" s="133"/>
      <c r="BS29" s="133"/>
    </row>
    <row r="30" spans="2:71" s="41" customFormat="1" ht="20.100000000000001" customHeight="1">
      <c r="B30" s="55"/>
      <c r="C30" s="56"/>
      <c r="D30" s="90">
        <f t="shared" si="2"/>
        <v>0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9"/>
      <c r="Q30" s="59"/>
      <c r="R30" s="139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3"/>
      <c r="BO30" s="133"/>
      <c r="BP30" s="133"/>
      <c r="BQ30" s="133"/>
      <c r="BR30" s="133"/>
      <c r="BS30" s="133"/>
    </row>
    <row r="31" spans="2:71" s="41" customFormat="1" ht="20.100000000000001" customHeight="1">
      <c r="B31" s="55"/>
      <c r="C31" s="56"/>
      <c r="D31" s="90">
        <f t="shared" si="2"/>
        <v>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59"/>
      <c r="R31" s="139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3"/>
      <c r="BO31" s="133"/>
      <c r="BP31" s="133"/>
      <c r="BQ31" s="133"/>
      <c r="BR31" s="133"/>
      <c r="BS31" s="133"/>
    </row>
    <row r="32" spans="2:71" s="41" customFormat="1" ht="20.100000000000001" customHeight="1" thickBot="1">
      <c r="B32" s="121"/>
      <c r="C32" s="122"/>
      <c r="D32" s="101">
        <f t="shared" si="2"/>
        <v>0</v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4"/>
      <c r="Q32" s="124"/>
      <c r="R32" s="141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3"/>
      <c r="BO32" s="133"/>
      <c r="BP32" s="133"/>
      <c r="BQ32" s="133"/>
      <c r="BR32" s="133"/>
      <c r="BS32" s="133"/>
    </row>
    <row r="33" spans="2:71" s="41" customFormat="1" ht="20.100000000000001" customHeight="1">
      <c r="B33" s="55"/>
      <c r="C33" s="56"/>
      <c r="D33" s="57">
        <f t="shared" si="2"/>
        <v>0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59"/>
      <c r="R33" s="139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3"/>
      <c r="BO33" s="133"/>
      <c r="BP33" s="133"/>
      <c r="BQ33" s="133"/>
      <c r="BR33" s="133"/>
      <c r="BS33" s="133"/>
    </row>
    <row r="34" spans="2:71" s="41" customFormat="1" ht="20.100000000000001" customHeight="1">
      <c r="B34" s="55"/>
      <c r="C34" s="56"/>
      <c r="D34" s="90">
        <f t="shared" si="2"/>
        <v>0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9"/>
      <c r="Q34" s="59"/>
      <c r="R34" s="139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3"/>
      <c r="BO34" s="133"/>
      <c r="BP34" s="133"/>
      <c r="BQ34" s="133"/>
      <c r="BR34" s="133"/>
      <c r="BS34" s="133"/>
    </row>
    <row r="35" spans="2:71" s="41" customFormat="1" ht="20.100000000000001" customHeight="1">
      <c r="B35" s="55"/>
      <c r="C35" s="56"/>
      <c r="D35" s="90">
        <f t="shared" si="2"/>
        <v>0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9"/>
      <c r="Q35" s="59"/>
      <c r="R35" s="139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3"/>
      <c r="BO35" s="133"/>
      <c r="BP35" s="133"/>
      <c r="BQ35" s="133"/>
      <c r="BR35" s="133"/>
      <c r="BS35" s="133"/>
    </row>
    <row r="36" spans="2:71" s="41" customFormat="1" ht="20.100000000000001" customHeight="1" thickBot="1">
      <c r="B36" s="66"/>
      <c r="C36" s="67"/>
      <c r="D36" s="112">
        <f t="shared" si="2"/>
        <v>0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70"/>
      <c r="Q36" s="70"/>
      <c r="R36" s="146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3"/>
      <c r="BO36" s="133"/>
      <c r="BP36" s="133"/>
      <c r="BQ36" s="133"/>
      <c r="BR36" s="133"/>
      <c r="BS36" s="133"/>
    </row>
    <row r="37" spans="2:71" s="41" customFormat="1" ht="20.100000000000001" customHeight="1">
      <c r="B37" s="77"/>
      <c r="C37" s="78"/>
      <c r="D37" s="79">
        <f t="shared" si="2"/>
        <v>0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1"/>
      <c r="R37" s="14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3"/>
      <c r="BO37" s="133"/>
      <c r="BP37" s="133"/>
      <c r="BQ37" s="133"/>
      <c r="BR37" s="133"/>
      <c r="BS37" s="133"/>
    </row>
    <row r="38" spans="2:71" s="41" customFormat="1" ht="20.100000000000001" customHeight="1">
      <c r="B38" s="55"/>
      <c r="C38" s="56"/>
      <c r="D38" s="90">
        <f t="shared" si="2"/>
        <v>0</v>
      </c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9"/>
      <c r="Q38" s="59"/>
      <c r="R38" s="139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3"/>
      <c r="BO38" s="133"/>
      <c r="BP38" s="133"/>
      <c r="BQ38" s="133"/>
      <c r="BR38" s="133"/>
      <c r="BS38" s="133"/>
    </row>
    <row r="39" spans="2:71" s="41" customFormat="1" ht="20.100000000000001" customHeight="1">
      <c r="B39" s="55"/>
      <c r="C39" s="56"/>
      <c r="D39" s="90">
        <f t="shared" si="2"/>
        <v>0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9"/>
      <c r="Q39" s="59"/>
      <c r="R39" s="139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3"/>
      <c r="BO39" s="133"/>
      <c r="BP39" s="133"/>
      <c r="BQ39" s="133"/>
      <c r="BR39" s="133"/>
      <c r="BS39" s="133"/>
    </row>
    <row r="40" spans="2:71" s="41" customFormat="1" ht="20.100000000000001" customHeight="1" thickBot="1">
      <c r="B40" s="99"/>
      <c r="C40" s="100"/>
      <c r="D40" s="101">
        <f t="shared" si="2"/>
        <v>0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3"/>
      <c r="Q40" s="103"/>
      <c r="R40" s="143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3"/>
      <c r="BO40" s="133"/>
      <c r="BP40" s="133"/>
      <c r="BQ40" s="133"/>
      <c r="BR40" s="133"/>
      <c r="BS40" s="133"/>
    </row>
    <row r="41" spans="2:71" s="41" customFormat="1" ht="20.100000000000001" customHeight="1">
      <c r="B41" s="55"/>
      <c r="C41" s="56"/>
      <c r="D41" s="57">
        <f t="shared" si="2"/>
        <v>0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9"/>
      <c r="Q41" s="59"/>
      <c r="R41" s="139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3"/>
      <c r="BO41" s="133"/>
      <c r="BP41" s="133"/>
      <c r="BQ41" s="133"/>
      <c r="BR41" s="133"/>
      <c r="BS41" s="133"/>
    </row>
    <row r="42" spans="2:71" s="41" customFormat="1" ht="20.100000000000001" customHeight="1">
      <c r="B42" s="88"/>
      <c r="C42" s="89"/>
      <c r="D42" s="90">
        <f t="shared" si="2"/>
        <v>0</v>
      </c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2"/>
      <c r="Q42" s="92"/>
      <c r="R42" s="142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3"/>
      <c r="BO42" s="133"/>
      <c r="BP42" s="133"/>
      <c r="BQ42" s="133"/>
      <c r="BR42" s="133"/>
      <c r="BS42" s="133"/>
    </row>
    <row r="43" spans="2:71" s="41" customFormat="1" ht="20.100000000000001" customHeight="1">
      <c r="B43" s="88"/>
      <c r="C43" s="89"/>
      <c r="D43" s="90">
        <f t="shared" si="2"/>
        <v>0</v>
      </c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2"/>
      <c r="Q43" s="92"/>
      <c r="R43" s="142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3"/>
      <c r="BO43" s="133"/>
      <c r="BP43" s="133"/>
      <c r="BQ43" s="133"/>
      <c r="BR43" s="133"/>
      <c r="BS43" s="133"/>
    </row>
    <row r="44" spans="2:71" s="41" customFormat="1" ht="20.100000000000001" customHeight="1" thickBot="1">
      <c r="B44" s="99"/>
      <c r="C44" s="100"/>
      <c r="D44" s="101">
        <f t="shared" si="2"/>
        <v>0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3"/>
      <c r="Q44" s="103"/>
      <c r="R44" s="143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3"/>
      <c r="BO44" s="133"/>
      <c r="BP44" s="133"/>
      <c r="BQ44" s="133"/>
      <c r="BR44" s="133"/>
      <c r="BS44" s="133"/>
    </row>
    <row r="45" spans="2:71" s="41" customFormat="1" ht="20.100000000000001" customHeight="1">
      <c r="B45" s="37"/>
      <c r="C45" s="38"/>
      <c r="D45" s="39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3"/>
      <c r="BO45" s="133"/>
      <c r="BP45" s="133"/>
      <c r="BQ45" s="133"/>
      <c r="BR45" s="133"/>
      <c r="BS45" s="133"/>
    </row>
  </sheetData>
  <mergeCells count="5">
    <mergeCell ref="E1:M2"/>
    <mergeCell ref="B5:B7"/>
    <mergeCell ref="C5:C7"/>
    <mergeCell ref="D5:D7"/>
    <mergeCell ref="E5:R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BTF</vt:lpstr>
      <vt:lpstr>KM</vt:lpstr>
      <vt:lpstr>KJ</vt:lpstr>
      <vt:lpstr>Sheet1</vt:lpstr>
      <vt:lpstr>BTF!Print_Area</vt:lpstr>
      <vt:lpstr>KM!Print_Area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2017-07-18T01:57:34Z</cp:lastPrinted>
  <dcterms:created xsi:type="dcterms:W3CDTF">2016-09-01T00:00:56Z</dcterms:created>
  <dcterms:modified xsi:type="dcterms:W3CDTF">2017-08-15T14:10:40Z</dcterms:modified>
</cp:coreProperties>
</file>