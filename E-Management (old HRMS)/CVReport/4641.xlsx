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0" i="2" l="1"/>
  <c r="Z30" i="2"/>
  <c r="AD30" i="2"/>
  <c r="AH30" i="2"/>
  <c r="AL30" i="2"/>
  <c r="AP30" i="2"/>
  <c r="R30" i="2"/>
  <c r="N29" i="2" l="1"/>
  <c r="N28" i="2"/>
  <c r="N27" i="2"/>
  <c r="N26" i="2"/>
  <c r="J30" i="2"/>
  <c r="N30" i="2" l="1"/>
</calcChain>
</file>

<file path=xl/sharedStrings.xml><?xml version="1.0" encoding="utf-8"?>
<sst xmlns="http://schemas.openxmlformats.org/spreadsheetml/2006/main" count="70" uniqueCount="57">
  <si>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</si>
  <si>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</si>
  <si>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</si>
  <si>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</si>
  <si>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</si>
  <si>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</si>
  <si>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</si>
  <si>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</si>
  <si>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</si>
  <si>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</si>
  <si>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</si>
  <si>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</si>
  <si>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</si>
  <si>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</si>
  <si>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</si>
  <si>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</si>
  <si>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</si>
  <si>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</si>
  <si>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</si>
  <si>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</si>
  <si>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</si>
  <si>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</si>
  <si>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</si>
  <si>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</si>
  <si>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</si>
  <si>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</si>
  <si>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</si>
  <si>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</si>
  <si>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</si>
  <si>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</si>
  <si>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Ms. Sun</t>
  </si>
  <si>
    <t>ASJ</t>
  </si>
  <si>
    <t>Purchasing Manager</t>
  </si>
  <si>
    <t>Order Forecast</t>
  </si>
  <si>
    <t>Product</t>
  </si>
  <si>
    <t>7910M</t>
  </si>
  <si>
    <t>3080M</t>
  </si>
  <si>
    <t>1598M</t>
  </si>
  <si>
    <t>874M</t>
  </si>
  <si>
    <t>20B Plan</t>
  </si>
  <si>
    <t>Dec</t>
  </si>
  <si>
    <t>Chip [B]</t>
  </si>
  <si>
    <t>Subs [K]</t>
  </si>
  <si>
    <t>Jan</t>
  </si>
  <si>
    <t>Feb</t>
  </si>
  <si>
    <t>Mar</t>
  </si>
  <si>
    <t>Apr</t>
  </si>
  <si>
    <t>May</t>
  </si>
  <si>
    <t>Jun</t>
  </si>
  <si>
    <t>Maruwa</t>
  </si>
  <si>
    <t>Sankang</t>
  </si>
  <si>
    <t>MARUWA price 7910M 16% and M-Type 8% higher than Sankang. MARUWA  lost 100% of 0402 700K and M-Type 3500K to 1,100K.</t>
  </si>
  <si>
    <t>ASJ need to keep 2 mths stock if order from Sankang, if MARUWA less than 1 month.</t>
  </si>
  <si>
    <t>ORDER FORECAST</t>
  </si>
  <si>
    <t>Sankang promise 0402 1500K/mth shipment (ASJ max usage 1200K before order reduce).</t>
  </si>
  <si>
    <t>Without ASJ 7910M order KAMAYA shipment will fail and 7910M stock will increase. Ms. Sun mention Sangkang price 0.12xx and</t>
  </si>
  <si>
    <t>if MARUWA able to follow 50-60% share 3500K/mth. I did mentioned if MARUWA follow old price 0.1365 maybe 1100K-2000K.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</si>
</sst>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/d;@"/>
    <numFmt numFmtId="165" formatCode="0.0000"/>
  </numFmts>
  <fonts count="1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b/>
      <sz val="12"/>
      <color theme="1"/>
      <name val="MS UI Gothic"/>
      <family val="2"/>
    </font>
    <font>
      <sz val="12"/>
      <color rgb="FFFF0000"/>
      <name val="MS UI Gothic"/>
      <family val="2"/>
    </font>
    <font>
      <sz val="12"/>
      <color rgb="FF0070C0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98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" xfId="1" quotePrefix="1" applyFont="1" applyFill="1" applyBorder="1">
      <alignment vertical="center"/>
    </xf>
    <xf numFmtId="0" fontId="3" fillId="3" borderId="4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right" vertical="center"/>
    </xf>
    <xf numFmtId="0" fontId="11" fillId="3" borderId="5" xfId="1" applyFont="1" applyFill="1" applyBorder="1">
      <alignment vertical="center"/>
    </xf>
    <xf numFmtId="0" fontId="13" fillId="3" borderId="5" xfId="1" applyFont="1" applyFill="1" applyBorder="1">
      <alignment vertical="center"/>
    </xf>
    <xf numFmtId="0" fontId="13" fillId="3" borderId="0" xfId="1" applyFont="1" applyFill="1" applyBorder="1">
      <alignment vertical="center"/>
    </xf>
    <xf numFmtId="3" fontId="3" fillId="3" borderId="0" xfId="1" applyNumberFormat="1" applyFont="1" applyFill="1" applyBorder="1" applyAlignment="1">
      <alignment horizontal="right" vertical="center"/>
    </xf>
    <xf numFmtId="0" fontId="3" fillId="3" borderId="0" xfId="1" applyFont="1" applyFill="1" applyBorder="1" applyAlignment="1">
      <alignment horizontal="center" vertical="center"/>
    </xf>
    <xf numFmtId="0" fontId="13" fillId="3" borderId="5" xfId="1" quotePrefix="1" applyFont="1" applyFill="1" applyBorder="1" applyAlignment="1">
      <alignment horizontal="left" vertical="center"/>
    </xf>
    <xf numFmtId="0" fontId="13" fillId="3" borderId="0" xfId="1" quotePrefix="1" applyFont="1" applyFill="1" applyBorder="1" applyAlignment="1">
      <alignment horizontal="left" vertical="center"/>
    </xf>
    <xf numFmtId="165" fontId="12" fillId="3" borderId="0" xfId="1" quotePrefix="1" applyNumberFormat="1" applyFont="1" applyFill="1" applyBorder="1" applyAlignment="1">
      <alignment horizontal="right" vertical="center"/>
    </xf>
    <xf numFmtId="0" fontId="12" fillId="3" borderId="0" xfId="1" applyFont="1" applyFill="1" applyBorder="1" applyAlignment="1">
      <alignment horizontal="right"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right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2"/>
  <sheetViews>
    <sheetView tabSelected="1" topLeftCell="A23" zoomScale="125" zoomScaleNormal="125" workbookViewId="0">
      <selection activeCell="C35" sqref="C35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88" t="s">
        <v>8</v>
      </c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89" t="s">
        <v>11</v>
      </c>
      <c r="C5" s="89"/>
      <c r="D5" s="89"/>
      <c r="E5" s="89"/>
      <c r="F5" s="89"/>
      <c r="G5" s="91">
        <v>43432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2"/>
      <c r="S5" s="63" t="s">
        <v>9</v>
      </c>
      <c r="T5" s="63"/>
      <c r="U5" s="63"/>
      <c r="V5" s="63"/>
      <c r="W5" s="63"/>
      <c r="X5" s="63"/>
      <c r="Y5" s="53" t="s">
        <v>21</v>
      </c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89"/>
      <c r="C6" s="89"/>
      <c r="D6" s="89"/>
      <c r="E6" s="89"/>
      <c r="F6" s="89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2"/>
      <c r="S6" s="66"/>
      <c r="T6" s="66"/>
      <c r="U6" s="66"/>
      <c r="V6" s="66"/>
      <c r="W6" s="66"/>
      <c r="X6" s="66"/>
      <c r="Y6" s="90" t="s">
        <v>20</v>
      </c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68" t="s">
        <v>3</v>
      </c>
      <c r="C7" s="68"/>
      <c r="D7" s="68"/>
      <c r="E7" s="68"/>
      <c r="F7" s="68"/>
      <c r="G7" s="2"/>
      <c r="H7" s="89" t="s">
        <v>17</v>
      </c>
      <c r="I7" s="89"/>
      <c r="J7" s="89"/>
      <c r="K7" s="2"/>
      <c r="L7" s="96" t="s">
        <v>18</v>
      </c>
      <c r="M7" s="96"/>
      <c r="N7" s="96"/>
      <c r="O7" s="2"/>
      <c r="P7" s="2"/>
      <c r="Q7" s="2"/>
      <c r="R7" s="2"/>
      <c r="S7" s="60" t="s">
        <v>10</v>
      </c>
      <c r="T7" s="60"/>
      <c r="U7" s="60"/>
      <c r="V7" s="60"/>
      <c r="W7" s="60"/>
      <c r="X7" s="60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68"/>
      <c r="C8" s="68"/>
      <c r="D8" s="68"/>
      <c r="E8" s="68"/>
      <c r="F8" s="68"/>
      <c r="G8" s="2"/>
      <c r="H8" s="89"/>
      <c r="I8" s="89"/>
      <c r="J8" s="89"/>
      <c r="K8" s="12"/>
      <c r="L8" s="96"/>
      <c r="M8" s="96"/>
      <c r="N8" s="96"/>
      <c r="O8" s="2"/>
      <c r="P8" s="2"/>
      <c r="Q8" s="2"/>
      <c r="R8" s="2"/>
      <c r="S8" s="63"/>
      <c r="T8" s="63"/>
      <c r="U8" s="63"/>
      <c r="V8" s="63"/>
      <c r="W8" s="63"/>
      <c r="X8" s="63"/>
      <c r="Y8" s="9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68"/>
      <c r="C9" s="68"/>
      <c r="D9" s="68"/>
      <c r="E9" s="68"/>
      <c r="F9" s="68"/>
      <c r="G9" s="2"/>
      <c r="H9" s="89"/>
      <c r="I9" s="89"/>
      <c r="J9" s="89"/>
      <c r="K9" s="2"/>
      <c r="L9" s="96"/>
      <c r="M9" s="96"/>
      <c r="N9" s="96"/>
      <c r="O9" s="2"/>
      <c r="P9" s="2"/>
      <c r="Q9" s="2"/>
      <c r="R9" s="2"/>
      <c r="S9" s="66"/>
      <c r="T9" s="66"/>
      <c r="U9" s="66"/>
      <c r="V9" s="66"/>
      <c r="W9" s="66"/>
      <c r="X9" s="66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59" t="s">
        <v>0</v>
      </c>
      <c r="C11" s="60"/>
      <c r="D11" s="60"/>
      <c r="E11" s="60"/>
      <c r="F11" s="60"/>
      <c r="G11" s="79" t="s">
        <v>31</v>
      </c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1"/>
      <c r="Z11" s="69" t="s">
        <v>1</v>
      </c>
      <c r="AA11" s="60"/>
      <c r="AB11" s="60"/>
      <c r="AC11" s="60"/>
      <c r="AD11" s="61"/>
      <c r="AE11" s="15" t="s">
        <v>30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46" t="s">
        <v>32</v>
      </c>
    </row>
    <row r="12" spans="2:66" ht="15" customHeight="1">
      <c r="B12" s="62"/>
      <c r="C12" s="63"/>
      <c r="D12" s="63"/>
      <c r="E12" s="63"/>
      <c r="F12" s="63"/>
      <c r="G12" s="82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  <c r="Z12" s="62"/>
      <c r="AA12" s="63"/>
      <c r="AB12" s="63"/>
      <c r="AC12" s="63"/>
      <c r="AD12" s="64"/>
      <c r="AE12" s="18"/>
      <c r="AF12" s="18"/>
      <c r="AG12" s="19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20"/>
      <c r="AX12" s="47"/>
    </row>
    <row r="13" spans="2:66" ht="15" customHeight="1">
      <c r="B13" s="62"/>
      <c r="C13" s="63"/>
      <c r="D13" s="63"/>
      <c r="E13" s="63"/>
      <c r="F13" s="63"/>
      <c r="G13" s="82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4"/>
      <c r="Z13" s="62"/>
      <c r="AA13" s="63"/>
      <c r="AB13" s="63"/>
      <c r="AC13" s="63"/>
      <c r="AD13" s="64"/>
      <c r="AE13" s="18"/>
      <c r="AF13" s="18"/>
      <c r="AG13" s="19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20"/>
      <c r="AX13" s="47"/>
    </row>
    <row r="14" spans="2:66" ht="15.75" customHeight="1" thickBot="1">
      <c r="B14" s="65"/>
      <c r="C14" s="66"/>
      <c r="D14" s="66"/>
      <c r="E14" s="66"/>
      <c r="F14" s="66"/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7"/>
      <c r="Z14" s="65"/>
      <c r="AA14" s="66"/>
      <c r="AB14" s="66"/>
      <c r="AC14" s="66"/>
      <c r="AD14" s="67"/>
      <c r="AE14" s="18"/>
      <c r="AF14" s="18"/>
      <c r="AG14" s="19"/>
      <c r="AH14" s="18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2"/>
      <c r="AX14" s="48"/>
      <c r="BE14" s="58"/>
      <c r="BF14" s="58"/>
    </row>
    <row r="15" spans="2:66" ht="14.25" customHeight="1">
      <c r="B15" s="59" t="s">
        <v>22</v>
      </c>
      <c r="C15" s="60"/>
      <c r="D15" s="60"/>
      <c r="E15" s="60"/>
      <c r="F15" s="61"/>
      <c r="G15" s="23" t="s">
        <v>23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70" t="s">
        <v>24</v>
      </c>
      <c r="AA15" s="71"/>
      <c r="AB15" s="71"/>
      <c r="AC15" s="71"/>
      <c r="AD15" s="72"/>
      <c r="AE15" s="25" t="s">
        <v>23</v>
      </c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BE15" s="58"/>
      <c r="BF15" s="58"/>
    </row>
    <row r="16" spans="2:66">
      <c r="B16" s="62"/>
      <c r="C16" s="63"/>
      <c r="D16" s="63"/>
      <c r="E16" s="63"/>
      <c r="F16" s="64"/>
      <c r="G16" s="2" t="s">
        <v>23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3"/>
      <c r="AA16" s="74"/>
      <c r="AB16" s="74"/>
      <c r="AC16" s="74"/>
      <c r="AD16" s="75"/>
      <c r="AE16" s="28" t="s">
        <v>23</v>
      </c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9"/>
    </row>
    <row r="17" spans="2:50">
      <c r="B17" s="62"/>
      <c r="C17" s="63"/>
      <c r="D17" s="63"/>
      <c r="E17" s="63"/>
      <c r="F17" s="64"/>
      <c r="G17" s="2" t="s">
        <v>23</v>
      </c>
      <c r="H17" s="30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3"/>
      <c r="AA17" s="74"/>
      <c r="AB17" s="74"/>
      <c r="AC17" s="74"/>
      <c r="AD17" s="75"/>
      <c r="AE17" s="28" t="s">
        <v>23</v>
      </c>
      <c r="AF17" s="31"/>
      <c r="AG17" s="3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9"/>
    </row>
    <row r="18" spans="2:50">
      <c r="B18" s="62"/>
      <c r="C18" s="63"/>
      <c r="D18" s="63"/>
      <c r="E18" s="63"/>
      <c r="F18" s="64"/>
      <c r="G18" s="2" t="s">
        <v>23</v>
      </c>
      <c r="H18" s="3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3"/>
      <c r="AA18" s="74"/>
      <c r="AB18" s="74"/>
      <c r="AC18" s="74"/>
      <c r="AD18" s="75"/>
      <c r="AE18" s="28" t="s">
        <v>23</v>
      </c>
      <c r="AF18" s="31"/>
      <c r="AG18" s="32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9"/>
    </row>
    <row r="19" spans="2:50">
      <c r="B19" s="62"/>
      <c r="C19" s="63"/>
      <c r="D19" s="63"/>
      <c r="E19" s="63"/>
      <c r="F19" s="64"/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3"/>
      <c r="AA19" s="74"/>
      <c r="AB19" s="74"/>
      <c r="AC19" s="74"/>
      <c r="AD19" s="75"/>
      <c r="AE19" s="28" t="s">
        <v>23</v>
      </c>
      <c r="AF19" s="31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9"/>
    </row>
    <row r="20" spans="2:50" ht="15" thickBot="1">
      <c r="B20" s="65"/>
      <c r="C20" s="66"/>
      <c r="D20" s="66"/>
      <c r="E20" s="66"/>
      <c r="F20" s="67"/>
      <c r="G20" s="33" t="s">
        <v>23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76"/>
      <c r="AA20" s="77"/>
      <c r="AB20" s="77"/>
      <c r="AC20" s="77"/>
      <c r="AD20" s="78"/>
      <c r="AE20" s="35" t="s">
        <v>23</v>
      </c>
      <c r="AF20" s="36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7"/>
    </row>
    <row r="21" spans="2:50" ht="13.5" customHeight="1">
      <c r="B21" s="62" t="s">
        <v>2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4"/>
    </row>
    <row r="22" spans="2:50">
      <c r="B22" s="3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39"/>
    </row>
    <row r="23" spans="2:50">
      <c r="B23" s="49" t="s">
        <v>53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39"/>
    </row>
    <row r="24" spans="2:50">
      <c r="B24" s="38">
        <v>4</v>
      </c>
      <c r="C24" s="2"/>
      <c r="D24" s="2"/>
      <c r="E24" s="2"/>
      <c r="F24" s="2"/>
      <c r="G24" s="2"/>
      <c r="H24" s="2"/>
      <c r="I24" s="2"/>
      <c r="J24" s="53" t="s">
        <v>39</v>
      </c>
      <c r="K24" s="53"/>
      <c r="L24" s="53"/>
      <c r="M24" s="53"/>
      <c r="N24" s="53"/>
      <c r="O24" s="53"/>
      <c r="P24" s="53"/>
      <c r="Q24" s="53"/>
      <c r="R24" s="53" t="s">
        <v>33</v>
      </c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2"/>
      <c r="AU24" s="2"/>
      <c r="AV24" s="2"/>
      <c r="AW24" s="2"/>
      <c r="AX24" s="39"/>
    </row>
    <row r="25" spans="2:50">
      <c r="B25" s="50" t="s">
        <v>49</v>
      </c>
      <c r="C25" s="51"/>
      <c r="D25" s="51"/>
      <c r="E25" s="51"/>
      <c r="F25" s="2" t="s">
        <v>34</v>
      </c>
      <c r="G25" s="2"/>
      <c r="H25" s="2"/>
      <c r="I25" s="2"/>
      <c r="J25" s="97" t="s">
        <v>41</v>
      </c>
      <c r="K25" s="97"/>
      <c r="L25" s="97"/>
      <c r="M25" s="97"/>
      <c r="N25" s="97" t="s">
        <v>42</v>
      </c>
      <c r="O25" s="97"/>
      <c r="P25" s="97"/>
      <c r="Q25" s="97"/>
      <c r="R25" s="97" t="s">
        <v>40</v>
      </c>
      <c r="S25" s="97"/>
      <c r="T25" s="97"/>
      <c r="U25" s="97"/>
      <c r="V25" s="97" t="s">
        <v>43</v>
      </c>
      <c r="W25" s="97"/>
      <c r="X25" s="97"/>
      <c r="Y25" s="97"/>
      <c r="Z25" s="97" t="s">
        <v>44</v>
      </c>
      <c r="AA25" s="97"/>
      <c r="AB25" s="97"/>
      <c r="AC25" s="97"/>
      <c r="AD25" s="97" t="s">
        <v>45</v>
      </c>
      <c r="AE25" s="97"/>
      <c r="AF25" s="97"/>
      <c r="AG25" s="97"/>
      <c r="AH25" s="97" t="s">
        <v>46</v>
      </c>
      <c r="AI25" s="97"/>
      <c r="AJ25" s="97"/>
      <c r="AK25" s="97"/>
      <c r="AL25" s="97" t="s">
        <v>47</v>
      </c>
      <c r="AM25" s="97"/>
      <c r="AN25" s="97"/>
      <c r="AO25" s="97"/>
      <c r="AP25" s="97" t="s">
        <v>48</v>
      </c>
      <c r="AQ25" s="97"/>
      <c r="AR25" s="97"/>
      <c r="AS25" s="97"/>
      <c r="AT25" s="57" t="s">
        <v>50</v>
      </c>
      <c r="AU25" s="57"/>
      <c r="AV25" s="57"/>
      <c r="AW25" s="57"/>
      <c r="AX25" s="39"/>
    </row>
    <row r="26" spans="2:50">
      <c r="B26" s="54">
        <v>0.15090000000000001</v>
      </c>
      <c r="C26" s="55"/>
      <c r="D26" s="55"/>
      <c r="E26" s="55"/>
      <c r="F26" s="2" t="s">
        <v>35</v>
      </c>
      <c r="G26" s="2"/>
      <c r="H26" s="2"/>
      <c r="I26" s="2"/>
      <c r="J26" s="97">
        <v>13.05</v>
      </c>
      <c r="K26" s="97"/>
      <c r="L26" s="97"/>
      <c r="M26" s="97"/>
      <c r="N26" s="52">
        <f>(13000000000/7910)/1000</f>
        <v>1643.4892541087231</v>
      </c>
      <c r="O26" s="52"/>
      <c r="P26" s="52"/>
      <c r="Q26" s="52"/>
      <c r="R26" s="52">
        <v>100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6">
        <v>0.13</v>
      </c>
      <c r="AU26" s="56"/>
      <c r="AV26" s="56"/>
      <c r="AW26" s="56"/>
      <c r="AX26" s="39"/>
    </row>
    <row r="27" spans="2:50">
      <c r="B27" s="54">
        <v>0.1139</v>
      </c>
      <c r="C27" s="55"/>
      <c r="D27" s="55"/>
      <c r="E27" s="55"/>
      <c r="F27" s="2" t="s">
        <v>36</v>
      </c>
      <c r="G27" s="2"/>
      <c r="H27" s="2"/>
      <c r="I27" s="2"/>
      <c r="J27" s="97">
        <v>2.94</v>
      </c>
      <c r="K27" s="97"/>
      <c r="L27" s="97"/>
      <c r="M27" s="97"/>
      <c r="N27" s="52">
        <f>(2940000000/3080)/1000</f>
        <v>954.54545454545462</v>
      </c>
      <c r="O27" s="52"/>
      <c r="P27" s="52"/>
      <c r="Q27" s="52"/>
      <c r="R27" s="52">
        <v>480</v>
      </c>
      <c r="S27" s="52"/>
      <c r="T27" s="52"/>
      <c r="U27" s="52"/>
      <c r="V27" s="52">
        <v>600</v>
      </c>
      <c r="W27" s="52"/>
      <c r="X27" s="52"/>
      <c r="Y27" s="52"/>
      <c r="Z27" s="52">
        <v>800</v>
      </c>
      <c r="AA27" s="52"/>
      <c r="AB27" s="52"/>
      <c r="AC27" s="52"/>
      <c r="AD27" s="52">
        <v>800</v>
      </c>
      <c r="AE27" s="52"/>
      <c r="AF27" s="52"/>
      <c r="AG27" s="52"/>
      <c r="AH27" s="52">
        <v>800</v>
      </c>
      <c r="AI27" s="52"/>
      <c r="AJ27" s="52"/>
      <c r="AK27" s="52"/>
      <c r="AL27" s="52">
        <v>600</v>
      </c>
      <c r="AM27" s="52"/>
      <c r="AN27" s="52"/>
      <c r="AO27" s="52"/>
      <c r="AP27" s="52">
        <v>500</v>
      </c>
      <c r="AQ27" s="52"/>
      <c r="AR27" s="52"/>
      <c r="AS27" s="52"/>
      <c r="AT27" s="56">
        <v>0.1055</v>
      </c>
      <c r="AU27" s="56"/>
      <c r="AV27" s="56"/>
      <c r="AW27" s="56"/>
      <c r="AX27" s="39"/>
    </row>
    <row r="28" spans="2:50">
      <c r="B28" s="54">
        <v>0.1139</v>
      </c>
      <c r="C28" s="55"/>
      <c r="D28" s="55"/>
      <c r="E28" s="55"/>
      <c r="F28" s="2" t="s">
        <v>37</v>
      </c>
      <c r="G28" s="2"/>
      <c r="H28" s="2"/>
      <c r="I28" s="2"/>
      <c r="J28" s="97">
        <v>1.82</v>
      </c>
      <c r="K28" s="97"/>
      <c r="L28" s="97"/>
      <c r="M28" s="97"/>
      <c r="N28" s="52">
        <f>(1820000000/1598)/1000</f>
        <v>1138.9236545682102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>
        <v>400</v>
      </c>
      <c r="AI28" s="52"/>
      <c r="AJ28" s="52"/>
      <c r="AK28" s="52"/>
      <c r="AL28" s="52">
        <v>200</v>
      </c>
      <c r="AM28" s="52"/>
      <c r="AN28" s="52"/>
      <c r="AO28" s="52"/>
      <c r="AP28" s="52">
        <v>300</v>
      </c>
      <c r="AQ28" s="52"/>
      <c r="AR28" s="52"/>
      <c r="AS28" s="52"/>
      <c r="AT28" s="56">
        <v>0.1055</v>
      </c>
      <c r="AU28" s="56"/>
      <c r="AV28" s="56"/>
      <c r="AW28" s="56"/>
      <c r="AX28" s="39"/>
    </row>
    <row r="29" spans="2:50">
      <c r="B29" s="54">
        <v>0.1139</v>
      </c>
      <c r="C29" s="55"/>
      <c r="D29" s="55"/>
      <c r="E29" s="55"/>
      <c r="F29" s="2" t="s">
        <v>38</v>
      </c>
      <c r="G29" s="2"/>
      <c r="H29" s="2"/>
      <c r="I29" s="2"/>
      <c r="J29" s="97">
        <v>2.5299999999999998</v>
      </c>
      <c r="K29" s="97"/>
      <c r="L29" s="97"/>
      <c r="M29" s="97"/>
      <c r="N29" s="52">
        <f>(2530000000/874)/1000</f>
        <v>2894.7368421052633</v>
      </c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>
        <v>300</v>
      </c>
      <c r="AM29" s="52"/>
      <c r="AN29" s="52"/>
      <c r="AO29" s="52"/>
      <c r="AP29" s="52">
        <v>300</v>
      </c>
      <c r="AQ29" s="52"/>
      <c r="AR29" s="52"/>
      <c r="AS29" s="52"/>
      <c r="AT29" s="56">
        <v>0.1055</v>
      </c>
      <c r="AU29" s="56"/>
      <c r="AV29" s="56"/>
      <c r="AW29" s="56"/>
      <c r="AX29" s="39"/>
    </row>
    <row r="30" spans="2:50">
      <c r="B30" s="38"/>
      <c r="C30" s="2"/>
      <c r="D30" s="2"/>
      <c r="E30" s="2"/>
      <c r="F30" s="2"/>
      <c r="G30" s="2"/>
      <c r="H30" s="2"/>
      <c r="I30" s="2"/>
      <c r="J30" s="97">
        <f>SUM(J26:M29)</f>
        <v>20.34</v>
      </c>
      <c r="K30" s="97"/>
      <c r="L30" s="97"/>
      <c r="M30" s="97"/>
      <c r="N30" s="52">
        <f>SUM(N26:Q29)</f>
        <v>6631.6952053276509</v>
      </c>
      <c r="O30" s="52"/>
      <c r="P30" s="52"/>
      <c r="Q30" s="52"/>
      <c r="R30" s="52">
        <f>SUM(R26:U29)</f>
        <v>580</v>
      </c>
      <c r="S30" s="52"/>
      <c r="T30" s="52"/>
      <c r="U30" s="52"/>
      <c r="V30" s="52">
        <f t="shared" ref="V30" si="0">SUM(V26:Y29)</f>
        <v>600</v>
      </c>
      <c r="W30" s="52"/>
      <c r="X30" s="52"/>
      <c r="Y30" s="52"/>
      <c r="Z30" s="52">
        <f t="shared" ref="Z30" si="1">SUM(Z26:AC29)</f>
        <v>800</v>
      </c>
      <c r="AA30" s="52"/>
      <c r="AB30" s="52"/>
      <c r="AC30" s="52"/>
      <c r="AD30" s="52">
        <f t="shared" ref="AD30" si="2">SUM(AD26:AG29)</f>
        <v>800</v>
      </c>
      <c r="AE30" s="52"/>
      <c r="AF30" s="52"/>
      <c r="AG30" s="52"/>
      <c r="AH30" s="52">
        <f t="shared" ref="AH30" si="3">SUM(AH26:AK29)</f>
        <v>1200</v>
      </c>
      <c r="AI30" s="52"/>
      <c r="AJ30" s="52"/>
      <c r="AK30" s="52"/>
      <c r="AL30" s="52">
        <f t="shared" ref="AL30" si="4">SUM(AL26:AO29)</f>
        <v>1100</v>
      </c>
      <c r="AM30" s="52"/>
      <c r="AN30" s="52"/>
      <c r="AO30" s="52"/>
      <c r="AP30" s="52">
        <f t="shared" ref="AP30" si="5">SUM(AP26:AS29)</f>
        <v>1100</v>
      </c>
      <c r="AQ30" s="52"/>
      <c r="AR30" s="52"/>
      <c r="AS30" s="52"/>
      <c r="AT30" s="2"/>
      <c r="AU30" s="2"/>
      <c r="AV30" s="2"/>
      <c r="AW30" s="2"/>
      <c r="AX30" s="39"/>
    </row>
    <row r="31" spans="2:50"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39"/>
    </row>
    <row r="32" spans="2:50">
      <c r="B32" s="38" t="s">
        <v>23</v>
      </c>
      <c r="C32" s="2" t="s">
        <v>51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39"/>
    </row>
    <row r="33" spans="2:50">
      <c r="B33" s="38"/>
      <c r="C33" s="2" t="s">
        <v>55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39"/>
    </row>
    <row r="34" spans="2:50">
      <c r="B34" s="38"/>
      <c r="C34" s="2" t="s">
        <v>56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39"/>
    </row>
    <row r="35" spans="2:50">
      <c r="B35" s="3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39"/>
    </row>
    <row r="36" spans="2:50" ht="15" customHeight="1">
      <c r="B36" s="38" t="s">
        <v>23</v>
      </c>
      <c r="C36" s="2" t="s">
        <v>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39"/>
    </row>
    <row r="37" spans="2:50">
      <c r="B37" s="38"/>
      <c r="C37" s="2" t="s">
        <v>52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39"/>
    </row>
    <row r="38" spans="2:50" ht="14.25" customHeight="1">
      <c r="B38" s="3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39"/>
    </row>
    <row r="39" spans="2:50">
      <c r="B39" s="3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39"/>
    </row>
    <row r="40" spans="2:50" ht="15" customHeight="1">
      <c r="B40" s="3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39"/>
    </row>
    <row r="41" spans="2:50">
      <c r="B41" s="3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39"/>
    </row>
    <row r="42" spans="2:50">
      <c r="B42" s="3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39"/>
    </row>
    <row r="43" spans="2:50">
      <c r="B43" s="3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39"/>
    </row>
    <row r="44" spans="2:50">
      <c r="B44" s="3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39"/>
    </row>
    <row r="45" spans="2:50">
      <c r="B45" s="3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39"/>
    </row>
    <row r="46" spans="2:50">
      <c r="B46" s="3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39"/>
    </row>
    <row r="47" spans="2:50">
      <c r="B47" s="3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39"/>
    </row>
    <row r="48" spans="2:50">
      <c r="B48" s="3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39"/>
    </row>
    <row r="49" spans="2:50">
      <c r="B49" s="3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39"/>
    </row>
    <row r="50" spans="2:50">
      <c r="B50" s="3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39"/>
    </row>
    <row r="51" spans="2:50">
      <c r="B51" s="3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39"/>
    </row>
    <row r="52" spans="2:50">
      <c r="B52" s="3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9"/>
    </row>
    <row r="53" spans="2:50">
      <c r="B53" s="3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39"/>
    </row>
    <row r="54" spans="2:50">
      <c r="B54" s="3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39"/>
    </row>
    <row r="55" spans="2:50"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39"/>
    </row>
    <row r="56" spans="2:50">
      <c r="B56" s="3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39"/>
    </row>
    <row r="57" spans="2:50"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39"/>
    </row>
    <row r="58" spans="2:50"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39"/>
    </row>
    <row r="59" spans="2:50"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39"/>
    </row>
    <row r="60" spans="2:50"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39"/>
    </row>
    <row r="61" spans="2:50"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39"/>
    </row>
    <row r="62" spans="2:50"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39"/>
    </row>
    <row r="63" spans="2:50"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39"/>
    </row>
    <row r="64" spans="2:50"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39"/>
    </row>
    <row r="65" spans="2:50"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39"/>
    </row>
    <row r="66" spans="2:50">
      <c r="B66" s="3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39"/>
    </row>
    <row r="67" spans="2:50" ht="15" thickBot="1">
      <c r="B67" s="33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40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41"/>
    </row>
    <row r="68" spans="2:50">
      <c r="B68" s="94" t="s">
        <v>16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95"/>
    </row>
    <row r="69" spans="2:50">
      <c r="B69" s="4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43"/>
    </row>
    <row r="70" spans="2:50">
      <c r="B70" s="4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3"/>
    </row>
    <row r="71" spans="2:50">
      <c r="B71" s="4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8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39"/>
    </row>
    <row r="72" spans="2:50" ht="15" thickBot="1">
      <c r="B72" s="4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45"/>
      <c r="U72" s="45"/>
      <c r="V72" s="45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40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41"/>
    </row>
  </sheetData>
  <mergeCells count="86">
    <mergeCell ref="R29:U29"/>
    <mergeCell ref="R30:U30"/>
    <mergeCell ref="V25:Y25"/>
    <mergeCell ref="Z25:AC25"/>
    <mergeCell ref="AD25:AG25"/>
    <mergeCell ref="J24:Q24"/>
    <mergeCell ref="B21:AX21"/>
    <mergeCell ref="R26:U26"/>
    <mergeCell ref="R27:U27"/>
    <mergeCell ref="R28:U28"/>
    <mergeCell ref="AH25:AK25"/>
    <mergeCell ref="AL25:AO25"/>
    <mergeCell ref="AP25:AS25"/>
    <mergeCell ref="B68:AX68"/>
    <mergeCell ref="H7:J9"/>
    <mergeCell ref="L7:N9"/>
    <mergeCell ref="J26:M26"/>
    <mergeCell ref="J27:M27"/>
    <mergeCell ref="J28:M28"/>
    <mergeCell ref="J29:M29"/>
    <mergeCell ref="J30:M30"/>
    <mergeCell ref="J25:M25"/>
    <mergeCell ref="N25:Q25"/>
    <mergeCell ref="N26:Q26"/>
    <mergeCell ref="N27:Q27"/>
    <mergeCell ref="R25:U25"/>
    <mergeCell ref="N28:Q28"/>
    <mergeCell ref="N29:Q29"/>
    <mergeCell ref="N30:Q30"/>
    <mergeCell ref="S1:AJ3"/>
    <mergeCell ref="B5:F6"/>
    <mergeCell ref="S5:X6"/>
    <mergeCell ref="S7:X9"/>
    <mergeCell ref="Y6:AJ6"/>
    <mergeCell ref="Y5:AJ5"/>
    <mergeCell ref="G5:Q6"/>
    <mergeCell ref="Y7:AJ7"/>
    <mergeCell ref="Y8:AJ8"/>
    <mergeCell ref="Y9:AJ9"/>
    <mergeCell ref="BE14:BF15"/>
    <mergeCell ref="B15:F20"/>
    <mergeCell ref="B7:F9"/>
    <mergeCell ref="B11:F14"/>
    <mergeCell ref="Z11:AD14"/>
    <mergeCell ref="Z15:AD20"/>
    <mergeCell ref="G11:Y14"/>
    <mergeCell ref="AP26:AS26"/>
    <mergeCell ref="V27:Y27"/>
    <mergeCell ref="Z27:AC27"/>
    <mergeCell ref="AD27:AG27"/>
    <mergeCell ref="AH27:AK27"/>
    <mergeCell ref="AL27:AO27"/>
    <mergeCell ref="AP27:AS27"/>
    <mergeCell ref="V26:Y26"/>
    <mergeCell ref="Z26:AC26"/>
    <mergeCell ref="AD26:AG26"/>
    <mergeCell ref="AH26:AK26"/>
    <mergeCell ref="AL26:AO26"/>
    <mergeCell ref="AL29:AO29"/>
    <mergeCell ref="AP29:AS29"/>
    <mergeCell ref="V28:Y28"/>
    <mergeCell ref="Z28:AC28"/>
    <mergeCell ref="AD28:AG28"/>
    <mergeCell ref="AH28:AK28"/>
    <mergeCell ref="AL28:AO28"/>
    <mergeCell ref="AT26:AW26"/>
    <mergeCell ref="AT27:AW27"/>
    <mergeCell ref="AT28:AW28"/>
    <mergeCell ref="AT29:AW29"/>
    <mergeCell ref="AT25:AW25"/>
    <mergeCell ref="AP30:AS30"/>
    <mergeCell ref="R24:AS24"/>
    <mergeCell ref="B26:E26"/>
    <mergeCell ref="B27:E27"/>
    <mergeCell ref="B28:E28"/>
    <mergeCell ref="B29:E29"/>
    <mergeCell ref="V30:Y30"/>
    <mergeCell ref="Z30:AC30"/>
    <mergeCell ref="AD30:AG30"/>
    <mergeCell ref="AH30:AK30"/>
    <mergeCell ref="AL30:AO30"/>
    <mergeCell ref="AP28:AS28"/>
    <mergeCell ref="V29:Y29"/>
    <mergeCell ref="Z29:AC29"/>
    <mergeCell ref="AD29:AG29"/>
    <mergeCell ref="AH29:AK29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2018-12-08T16:10:54Z</cp:lastPrinted>
  <dcterms:created xsi:type="dcterms:W3CDTF">2016-09-01T00:00:56Z</dcterms:created>
  <dcterms:modified xsi:type="dcterms:W3CDTF">2018-12-10T05:01:31Z</dcterms:modified>
</cp:coreProperties>
</file>