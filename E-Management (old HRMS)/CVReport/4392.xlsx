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sli ahmad\Desktop\Business Trip Report\RIST\"/>
    </mc:Choice>
  </mc:AlternateContent>
  <bookViews>
    <workbookView xWindow="0" yWindow="0" windowWidth="20490" windowHeight="7065"/>
  </bookViews>
  <sheets>
    <sheet name="BTF" sheetId="2" r:id="rId1"/>
    <sheet name="SA-18A Rework " sheetId="4" r:id="rId2"/>
    <sheet name="Sheet1" sheetId="3" r:id="rId3"/>
  </sheets>
  <definedNames>
    <definedName name="_xlnm.Print_Area" localSheetId="0">BTF!$B$1:$AU$75</definedName>
    <definedName name="_xlnm.Print_Area" localSheetId="1">'SA-18A Rework '!$B$1:$N$59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2" i="4" l="1"/>
  <c r="K53" i="4"/>
  <c r="M40" i="4" l="1"/>
  <c r="M51" i="4" l="1"/>
  <c r="M52" i="4" s="1"/>
  <c r="L51" i="4"/>
  <c r="N50" i="4"/>
  <c r="K50" i="4"/>
  <c r="N49" i="4"/>
  <c r="K49" i="4"/>
  <c r="N48" i="4"/>
  <c r="K48" i="4"/>
  <c r="N47" i="4"/>
  <c r="K47" i="4"/>
  <c r="N46" i="4"/>
  <c r="K46" i="4"/>
  <c r="N45" i="4"/>
  <c r="K45" i="4"/>
  <c r="N44" i="4"/>
  <c r="K44" i="4"/>
  <c r="N43" i="4"/>
  <c r="K43" i="4"/>
  <c r="N42" i="4"/>
  <c r="K42" i="4"/>
  <c r="N41" i="4"/>
  <c r="K41" i="4"/>
  <c r="N40" i="4"/>
  <c r="N39" i="4"/>
  <c r="K39" i="4"/>
  <c r="N38" i="4"/>
  <c r="K38" i="4"/>
  <c r="N37" i="4"/>
  <c r="K37" i="4"/>
  <c r="N36" i="4"/>
  <c r="K36" i="4"/>
  <c r="H51" i="4"/>
  <c r="N30" i="4"/>
  <c r="M31" i="4"/>
  <c r="L31" i="4"/>
  <c r="M30" i="4"/>
  <c r="L30" i="4"/>
  <c r="H30" i="4"/>
  <c r="K29" i="4"/>
  <c r="K28" i="4"/>
  <c r="K27" i="4"/>
  <c r="K26" i="4"/>
  <c r="K25" i="4"/>
  <c r="K24" i="4"/>
  <c r="K23" i="4"/>
  <c r="K22" i="4"/>
  <c r="K21" i="4"/>
  <c r="K20" i="4"/>
  <c r="K19" i="4"/>
  <c r="K18" i="4"/>
  <c r="K16" i="4"/>
  <c r="K15" i="4"/>
  <c r="K14" i="4"/>
  <c r="K13" i="4"/>
  <c r="K12" i="4"/>
  <c r="K11" i="4"/>
  <c r="K10" i="4"/>
  <c r="K9" i="4"/>
  <c r="K8" i="4"/>
  <c r="K7" i="4"/>
  <c r="K6" i="4"/>
  <c r="K5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7" i="4"/>
  <c r="N6" i="4"/>
  <c r="N5" i="4"/>
  <c r="N8" i="4"/>
  <c r="K51" i="4" l="1"/>
  <c r="N51" i="4"/>
  <c r="K30" i="4"/>
  <c r="L52" i="4"/>
</calcChain>
</file>

<file path=xl/comments1.xml><?xml version="1.0" encoding="utf-8"?>
<comments xmlns="http://schemas.openxmlformats.org/spreadsheetml/2006/main">
  <authors>
    <author>Rosli Ahmad</author>
  </authors>
  <commentList>
    <comment ref="H4" authorId="0" shapeId="0">
      <text>
        <r>
          <rPr>
            <b/>
            <sz val="9"/>
            <color indexed="81"/>
            <rFont val="Tahoma"/>
            <family val="2"/>
          </rPr>
          <t>Rosli Ahmad:</t>
        </r>
        <r>
          <rPr>
            <sz val="9"/>
            <color indexed="81"/>
            <rFont val="Tahoma"/>
            <family val="2"/>
          </rPr>
          <t xml:space="preserve">
After IQA Actual Qty</t>
        </r>
      </text>
    </comment>
    <comment ref="H17" authorId="0" shapeId="0">
      <text>
        <r>
          <rPr>
            <b/>
            <sz val="12"/>
            <color indexed="81"/>
            <rFont val="MS UI Gothic"/>
            <family val="2"/>
          </rPr>
          <t>Rosli Ahmad:</t>
        </r>
        <r>
          <rPr>
            <sz val="12"/>
            <color indexed="81"/>
            <rFont val="MS UI Gothic"/>
            <family val="2"/>
          </rPr>
          <t xml:space="preserve">
Ship 960pcs
After IQA 630pcs</t>
        </r>
      </text>
    </comment>
    <comment ref="K17" authorId="0" shapeId="0">
      <text>
        <r>
          <rPr>
            <b/>
            <sz val="12"/>
            <color indexed="81"/>
            <rFont val="MS UI Gothic"/>
            <family val="2"/>
          </rPr>
          <t>Rosli Ahmad:</t>
        </r>
        <r>
          <rPr>
            <sz val="12"/>
            <color indexed="81"/>
            <rFont val="MS UI Gothic"/>
            <family val="2"/>
          </rPr>
          <t xml:space="preserve">
Last inspected ctn.</t>
        </r>
      </text>
    </comment>
    <comment ref="H34" authorId="0" shapeId="0">
      <text>
        <r>
          <rPr>
            <b/>
            <sz val="9"/>
            <color indexed="81"/>
            <rFont val="Tahoma"/>
            <family val="2"/>
          </rPr>
          <t>Rosli Ahmad:</t>
        </r>
        <r>
          <rPr>
            <sz val="9"/>
            <color indexed="81"/>
            <rFont val="Tahoma"/>
            <family val="2"/>
          </rPr>
          <t xml:space="preserve">
After IQA Actual Qty</t>
        </r>
      </text>
    </comment>
    <comment ref="K40" authorId="0" shapeId="0">
      <text>
        <r>
          <rPr>
            <b/>
            <sz val="12"/>
            <color indexed="81"/>
            <rFont val="MS UI Gothic"/>
            <family val="2"/>
          </rPr>
          <t>Rosli Ahmad:</t>
        </r>
        <r>
          <rPr>
            <sz val="12"/>
            <color indexed="81"/>
            <rFont val="MS UI Gothic"/>
            <family val="2"/>
          </rPr>
          <t xml:space="preserve">
Last inspected ctn.</t>
        </r>
      </text>
    </comment>
  </commentList>
</comments>
</file>

<file path=xl/sharedStrings.xml><?xml version="1.0" encoding="utf-8"?>
<sst xmlns="http://schemas.openxmlformats.org/spreadsheetml/2006/main" count="298" uniqueCount="147">
  <si>
    <t>出張先 Customer</t>
  </si>
  <si>
    <t>相手先　  面談者  Attendance</t>
  </si>
  <si>
    <t>報告内容 Report</t>
  </si>
  <si>
    <t>添付資料 Attachment</t>
  </si>
  <si>
    <t>CEO</t>
  </si>
  <si>
    <t>MD</t>
  </si>
  <si>
    <t>Mr. Sinna</t>
  </si>
  <si>
    <t>Mr. Ogawa</t>
  </si>
  <si>
    <t>Datuk Anthony</t>
  </si>
  <si>
    <t>出張報告書</t>
  </si>
  <si>
    <t xml:space="preserve">出張者　     Name </t>
  </si>
  <si>
    <t>同行者  　Colleuge</t>
  </si>
  <si>
    <t>　期間 　Date</t>
  </si>
  <si>
    <t>関連事業部・Related Dept</t>
  </si>
  <si>
    <t>関係者・Related Person</t>
  </si>
  <si>
    <t>MM-IN-RD-9100-P06-04 Rev.2</t>
  </si>
  <si>
    <t>報告先・Report To:</t>
  </si>
  <si>
    <t>Subs HOD</t>
  </si>
  <si>
    <t>意見・Opinion</t>
  </si>
  <si>
    <t>有     Yes</t>
  </si>
  <si>
    <t>無    No</t>
  </si>
  <si>
    <t>出張者・B/Trip Colleuge</t>
  </si>
  <si>
    <t>Rosli Bin Ahmad</t>
  </si>
  <si>
    <t>ロスリー　アフマド</t>
  </si>
  <si>
    <t>出張目的　　 Visit Purpose</t>
  </si>
  <si>
    <t>Prepared by: Rosli</t>
  </si>
  <si>
    <t>Product</t>
  </si>
  <si>
    <t>Carton No</t>
  </si>
  <si>
    <t>Rank</t>
  </si>
  <si>
    <t>Lot No</t>
  </si>
  <si>
    <t>Ship Date</t>
  </si>
  <si>
    <t>Total</t>
  </si>
  <si>
    <t>OK</t>
  </si>
  <si>
    <t>NG %</t>
  </si>
  <si>
    <t>SA-18A</t>
  </si>
  <si>
    <t>17-B13588</t>
  </si>
  <si>
    <t>LN09</t>
  </si>
  <si>
    <t>CV00100295S</t>
  </si>
  <si>
    <t>17-D00556</t>
  </si>
  <si>
    <t>17-D14412</t>
  </si>
  <si>
    <t>17-E08636</t>
  </si>
  <si>
    <t>17-E12526</t>
  </si>
  <si>
    <t>17-E14759</t>
  </si>
  <si>
    <t>17-E14832</t>
  </si>
  <si>
    <t>17-E14888</t>
  </si>
  <si>
    <t>17-E15194</t>
  </si>
  <si>
    <t>17-E15246</t>
  </si>
  <si>
    <t>17-E15249</t>
  </si>
  <si>
    <t>17-E15531</t>
  </si>
  <si>
    <t>17-E15618</t>
  </si>
  <si>
    <t>17-E15672</t>
  </si>
  <si>
    <t>17-F10664</t>
  </si>
  <si>
    <t>CV00100452D</t>
  </si>
  <si>
    <t>17-F10712</t>
  </si>
  <si>
    <t>17-F10713</t>
  </si>
  <si>
    <t>17-F10714</t>
  </si>
  <si>
    <t>17-F11136</t>
  </si>
  <si>
    <t>Rework Team:</t>
  </si>
  <si>
    <t xml:space="preserve">30pcs/bundle </t>
  </si>
  <si>
    <t>1. Rosli Ahmad</t>
  </si>
  <si>
    <t>960pcs/full ctn</t>
  </si>
  <si>
    <t>2. Bernard A Loorthasamy</t>
  </si>
  <si>
    <t>3. Ms. Lasmiati Dewi</t>
  </si>
  <si>
    <t>4. Ms. Nur Rohmah</t>
  </si>
  <si>
    <t>2017/07/17 - 2017/07/18</t>
  </si>
  <si>
    <t>Ms. Nur Rohmah  018329</t>
  </si>
  <si>
    <t>Ms. Lasmiati Dewi  017773</t>
  </si>
  <si>
    <t>Mr. Bernard A Loorthasamy  018789</t>
  </si>
  <si>
    <t>RIST</t>
  </si>
  <si>
    <t>●</t>
  </si>
  <si>
    <t>17-F01977</t>
  </si>
  <si>
    <t>17-F02394</t>
  </si>
  <si>
    <t>17-F02350</t>
  </si>
  <si>
    <t>17-F02103</t>
  </si>
  <si>
    <t>17-F02100</t>
  </si>
  <si>
    <t>17-F01981</t>
  </si>
  <si>
    <t>Dirty</t>
  </si>
  <si>
    <t>BIG</t>
  </si>
  <si>
    <t>MA</t>
  </si>
  <si>
    <t>F</t>
  </si>
  <si>
    <t>W</t>
  </si>
  <si>
    <t>MZ</t>
  </si>
  <si>
    <t>Spec: 70.00±0.30 [69.70-70.30]</t>
  </si>
  <si>
    <t>25,680pcs ÷ 30pcs/bundle = 856 bundle</t>
  </si>
  <si>
    <t>RIST SubNo</t>
  </si>
  <si>
    <t>083</t>
  </si>
  <si>
    <t>090</t>
  </si>
  <si>
    <t>088</t>
  </si>
  <si>
    <t>091</t>
  </si>
  <si>
    <t>086</t>
  </si>
  <si>
    <t>072</t>
  </si>
  <si>
    <t>077</t>
  </si>
  <si>
    <t>078</t>
  </si>
  <si>
    <t>079</t>
  </si>
  <si>
    <t>080</t>
  </si>
  <si>
    <t>081</t>
  </si>
  <si>
    <t>084</t>
  </si>
  <si>
    <t>085</t>
  </si>
  <si>
    <t>082</t>
  </si>
  <si>
    <t>089</t>
  </si>
  <si>
    <t>074</t>
  </si>
  <si>
    <t>092</t>
  </si>
  <si>
    <t>070</t>
  </si>
  <si>
    <t>093</t>
  </si>
  <si>
    <t>CV00100356S</t>
  </si>
  <si>
    <t>17-F10505</t>
  </si>
  <si>
    <t>17-F10549</t>
  </si>
  <si>
    <t>17-F10642</t>
  </si>
  <si>
    <t>17-F10679</t>
  </si>
  <si>
    <t>17-F11112</t>
  </si>
  <si>
    <t>17-F11151</t>
  </si>
  <si>
    <t>17-F12434</t>
  </si>
  <si>
    <t>17-F12522</t>
  </si>
  <si>
    <t>17-F12840</t>
  </si>
  <si>
    <t>17-F15318</t>
  </si>
  <si>
    <t>17-F15338</t>
  </si>
  <si>
    <t>17-F15400</t>
  </si>
  <si>
    <t>17-F15418</t>
  </si>
  <si>
    <t>17-F15459</t>
  </si>
  <si>
    <t>17-F11239</t>
  </si>
  <si>
    <t>WIP</t>
  </si>
  <si>
    <t>Inv.  No.</t>
  </si>
  <si>
    <t>SA-18A rework dimension big NG [Spec 70.00±0.30 or 69.70 ~ 70.30)</t>
  </si>
  <si>
    <t>■</t>
  </si>
  <si>
    <t>Today reworked quantity 19,530 = 21 cartons, balance of 3,510pcs = 4 cartons. With 63 pcs dimension NG big 0.32%.</t>
  </si>
  <si>
    <t>We also expecting incoming shipment CV00100535S/30062017 13,560pcs (last MARUWA shipment) to be rework tomorrow.</t>
  </si>
  <si>
    <t>Ms. Jinda</t>
  </si>
  <si>
    <t>Ms. Warunee</t>
  </si>
  <si>
    <t>MCR QC</t>
  </si>
  <si>
    <t>Mr. Wataru Imahashi</t>
  </si>
  <si>
    <t>MCR Tech. Advisor</t>
  </si>
  <si>
    <t>Purhasing</t>
  </si>
  <si>
    <t>Purchasing</t>
  </si>
  <si>
    <t>Ms. Pimpawee, Ms. Suutera N.</t>
  </si>
  <si>
    <t>SA-18A REWORK DIMENSION NG "BIG"</t>
  </si>
  <si>
    <t>1st Day 17-Jul [8:30-5:00]</t>
  </si>
  <si>
    <t>Details of inspected carton as attach.</t>
  </si>
  <si>
    <t>17-18'Jul</t>
  </si>
  <si>
    <t>RIST SA-18A DIMENSION NG [BIG]</t>
  </si>
  <si>
    <t>CV00100535S                                                                             [ETA BKK Port 15-Jul, ETA RIST 18-Jul]</t>
  </si>
  <si>
    <t>Qty</t>
  </si>
  <si>
    <t>f</t>
  </si>
  <si>
    <t>2nd Day 18-Jul [8:30-5:30]</t>
  </si>
  <si>
    <t>Complete the balance 3,510pcs = 4 cartons until 10am</t>
  </si>
  <si>
    <t>Last MARUWA shipment CV00100535S/30062017 we received before 2pm, immediately rework complete by 5:30pm.</t>
  </si>
  <si>
    <r>
      <t xml:space="preserve">With complete rework quantity 36,265pcs </t>
    </r>
    <r>
      <rPr>
        <sz val="12"/>
        <color theme="1"/>
        <rFont val="Calibri"/>
        <family val="2"/>
      </rPr>
      <t>÷</t>
    </r>
    <r>
      <rPr>
        <sz val="12"/>
        <color theme="1"/>
        <rFont val="MS UI Gothic"/>
        <family val="2"/>
      </rPr>
      <t xml:space="preserve"> 1,260pcs/daily usage = 28 Days SA-18A to be use.</t>
    </r>
  </si>
  <si>
    <t>This not include balance 5,070pcs MARUWA FG after re-ranking final quantity is 4,140pcs (wait new p/o fro shipment)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</si>
</sst>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/m/d;@"/>
    <numFmt numFmtId="165" formatCode="#,##0_ ;[Red]\-#,##0\ "/>
  </numFmts>
  <fonts count="20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color theme="1"/>
      <name val="Calibri"/>
      <family val="2"/>
      <charset val="128"/>
      <scheme val="minor"/>
    </font>
    <font>
      <sz val="12"/>
      <color theme="1"/>
      <name val="MS UI Gothic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MS UI Gothic"/>
      <family val="2"/>
    </font>
    <font>
      <sz val="12"/>
      <name val="MS UI Gothic"/>
      <family val="2"/>
    </font>
    <font>
      <b/>
      <u val="double"/>
      <sz val="12"/>
      <color theme="1"/>
      <name val="MS UI Gothic"/>
      <family val="2"/>
    </font>
    <font>
      <b/>
      <sz val="12"/>
      <name val="MS UI Gothic"/>
      <family val="2"/>
    </font>
    <font>
      <b/>
      <u val="double"/>
      <sz val="12"/>
      <name val="MS UI Gothic"/>
      <family val="2"/>
    </font>
    <font>
      <b/>
      <u/>
      <sz val="12"/>
      <name val="MS UI Gothic"/>
      <family val="2"/>
    </font>
    <font>
      <sz val="12"/>
      <color theme="8"/>
      <name val="MS UI Gothic"/>
      <family val="2"/>
    </font>
    <font>
      <b/>
      <u val="double"/>
      <sz val="36"/>
      <color theme="1"/>
      <name val="MS UI Gothic"/>
      <family val="2"/>
    </font>
    <font>
      <b/>
      <sz val="12"/>
      <color indexed="81"/>
      <name val="MS UI Gothic"/>
      <family val="2"/>
    </font>
    <font>
      <sz val="12"/>
      <color indexed="81"/>
      <name val="MS UI Gothic"/>
      <family val="2"/>
    </font>
    <font>
      <b/>
      <sz val="14"/>
      <color theme="1"/>
      <name val="MS Mincho"/>
      <family val="3"/>
    </font>
    <font>
      <sz val="14"/>
      <color theme="1"/>
      <name val="MS Mincho"/>
      <family val="3"/>
    </font>
    <font>
      <sz val="14"/>
      <color rgb="FFFF0000"/>
      <name val="MS Mincho"/>
      <family val="3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40" fontId="1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</cellStyleXfs>
  <cellXfs count="191">
    <xf numFmtId="0" fontId="0" fillId="0" borderId="0" xfId="0"/>
    <xf numFmtId="0" fontId="7" fillId="0" borderId="0" xfId="1" applyFont="1" applyBorder="1" applyAlignment="1"/>
    <xf numFmtId="0" fontId="3" fillId="0" borderId="0" xfId="1" applyFont="1" applyBorder="1">
      <alignment vertical="center"/>
    </xf>
    <xf numFmtId="0" fontId="9" fillId="0" borderId="0" xfId="1" applyFont="1" applyBorder="1" applyAlignment="1"/>
    <xf numFmtId="0" fontId="3" fillId="0" borderId="0" xfId="1" applyFont="1">
      <alignment vertical="center"/>
    </xf>
    <xf numFmtId="0" fontId="7" fillId="0" borderId="0" xfId="1" applyFont="1" applyBorder="1" applyAlignment="1">
      <alignment vertical="center"/>
    </xf>
    <xf numFmtId="0" fontId="10" fillId="0" borderId="0" xfId="1" applyFont="1" applyBorder="1" applyAlignment="1">
      <alignment vertical="center"/>
    </xf>
    <xf numFmtId="0" fontId="3" fillId="0" borderId="0" xfId="1" applyFont="1" applyBorder="1" applyAlignment="1">
      <alignment horizontal="right" vertical="center"/>
    </xf>
    <xf numFmtId="0" fontId="7" fillId="0" borderId="0" xfId="1" applyFont="1" applyBorder="1">
      <alignment vertical="center"/>
    </xf>
    <xf numFmtId="0" fontId="11" fillId="0" borderId="0" xfId="1" applyFont="1" applyBorder="1" applyAlignment="1">
      <alignment vertical="center"/>
    </xf>
    <xf numFmtId="0" fontId="8" fillId="0" borderId="0" xfId="1" applyFont="1" applyBorder="1" applyAlignment="1">
      <alignment horizontal="center" vertical="center"/>
    </xf>
    <xf numFmtId="0" fontId="7" fillId="2" borderId="0" xfId="0" applyFont="1" applyFill="1"/>
    <xf numFmtId="0" fontId="3" fillId="0" borderId="0" xfId="1" applyFont="1" applyFill="1" applyBorder="1">
      <alignment vertical="center"/>
    </xf>
    <xf numFmtId="0" fontId="3" fillId="0" borderId="0" xfId="1" applyFont="1" applyBorder="1" applyAlignment="1">
      <alignment horizontal="center" vertical="center"/>
    </xf>
    <xf numFmtId="0" fontId="7" fillId="0" borderId="0" xfId="1" applyFont="1" applyFill="1" applyBorder="1" applyAlignment="1">
      <alignment horizontal="left" vertical="center"/>
    </xf>
    <xf numFmtId="0" fontId="12" fillId="0" borderId="1" xfId="1" applyFont="1" applyBorder="1" applyAlignment="1">
      <alignment horizontal="right" vertical="center"/>
    </xf>
    <xf numFmtId="0" fontId="3" fillId="0" borderId="3" xfId="1" applyNumberFormat="1" applyFont="1" applyBorder="1" applyAlignment="1">
      <alignment horizontal="left" vertical="center"/>
    </xf>
    <xf numFmtId="0" fontId="7" fillId="0" borderId="3" xfId="1" quotePrefix="1" applyNumberFormat="1" applyFont="1" applyBorder="1" applyAlignment="1">
      <alignment horizontal="left" vertical="center"/>
    </xf>
    <xf numFmtId="0" fontId="3" fillId="0" borderId="3" xfId="1" applyNumberFormat="1" applyFont="1" applyBorder="1" applyAlignment="1">
      <alignment horizontal="right" vertical="center"/>
    </xf>
    <xf numFmtId="0" fontId="3" fillId="0" borderId="0" xfId="1" applyNumberFormat="1" applyFont="1" applyBorder="1" applyAlignment="1">
      <alignment horizontal="left" vertical="center"/>
    </xf>
    <xf numFmtId="0" fontId="7" fillId="0" borderId="0" xfId="1" quotePrefix="1" applyNumberFormat="1" applyFont="1" applyBorder="1" applyAlignment="1">
      <alignment horizontal="left" vertical="center"/>
    </xf>
    <xf numFmtId="0" fontId="3" fillId="0" borderId="0" xfId="1" applyNumberFormat="1" applyFont="1" applyBorder="1" applyAlignment="1">
      <alignment horizontal="right" vertical="center"/>
    </xf>
    <xf numFmtId="0" fontId="3" fillId="0" borderId="1" xfId="1" applyNumberFormat="1" applyFont="1" applyBorder="1" applyAlignment="1">
      <alignment horizontal="left" vertical="center"/>
    </xf>
    <xf numFmtId="0" fontId="3" fillId="0" borderId="1" xfId="1" applyNumberFormat="1" applyFont="1" applyBorder="1" applyAlignment="1">
      <alignment horizontal="right" vertical="center"/>
    </xf>
    <xf numFmtId="0" fontId="3" fillId="0" borderId="3" xfId="1" quotePrefix="1" applyFont="1" applyBorder="1">
      <alignment vertical="center"/>
    </xf>
    <xf numFmtId="0" fontId="3" fillId="0" borderId="3" xfId="1" applyFont="1" applyBorder="1">
      <alignment vertical="center"/>
    </xf>
    <xf numFmtId="0" fontId="3" fillId="0" borderId="4" xfId="1" applyFont="1" applyBorder="1">
      <alignment vertical="center"/>
    </xf>
    <xf numFmtId="0" fontId="3" fillId="0" borderId="6" xfId="1" applyFont="1" applyBorder="1">
      <alignment vertical="center"/>
    </xf>
    <xf numFmtId="0" fontId="3" fillId="0" borderId="0" xfId="1" applyFont="1" applyBorder="1" applyAlignment="1">
      <alignment horizontal="left" vertical="center"/>
    </xf>
    <xf numFmtId="0" fontId="3" fillId="0" borderId="1" xfId="1" applyFont="1" applyBorder="1">
      <alignment vertical="center"/>
    </xf>
    <xf numFmtId="0" fontId="3" fillId="0" borderId="8" xfId="1" applyFont="1" applyBorder="1">
      <alignment vertical="center"/>
    </xf>
    <xf numFmtId="0" fontId="3" fillId="0" borderId="5" xfId="1" applyFont="1" applyBorder="1">
      <alignment vertical="center"/>
    </xf>
    <xf numFmtId="0" fontId="3" fillId="0" borderId="7" xfId="1" applyFont="1" applyBorder="1">
      <alignment vertical="center"/>
    </xf>
    <xf numFmtId="0" fontId="7" fillId="0" borderId="1" xfId="1" applyFont="1" applyBorder="1">
      <alignment vertical="center"/>
    </xf>
    <xf numFmtId="0" fontId="3" fillId="0" borderId="5" xfId="1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1" xfId="1" quotePrefix="1" applyFont="1" applyBorder="1">
      <alignment vertical="center"/>
    </xf>
    <xf numFmtId="0" fontId="3" fillId="0" borderId="3" xfId="1" quotePrefix="1" applyNumberFormat="1" applyFont="1" applyBorder="1" applyAlignment="1">
      <alignment horizontal="left" vertical="center"/>
    </xf>
    <xf numFmtId="0" fontId="3" fillId="0" borderId="4" xfId="1" applyNumberFormat="1" applyFont="1" applyBorder="1" applyAlignment="1">
      <alignment horizontal="right" vertical="center"/>
    </xf>
    <xf numFmtId="0" fontId="3" fillId="0" borderId="6" xfId="1" applyNumberFormat="1" applyFont="1" applyBorder="1" applyAlignment="1">
      <alignment horizontal="right" vertical="center"/>
    </xf>
    <xf numFmtId="0" fontId="3" fillId="0" borderId="8" xfId="1" applyNumberFormat="1" applyFont="1" applyBorder="1" applyAlignment="1">
      <alignment horizontal="right" vertical="center"/>
    </xf>
    <xf numFmtId="0" fontId="6" fillId="0" borderId="5" xfId="1" applyFont="1" applyBorder="1" applyAlignment="1">
      <alignment vertical="center"/>
    </xf>
    <xf numFmtId="0" fontId="6" fillId="0" borderId="5" xfId="1" applyFont="1" applyBorder="1">
      <alignment vertical="center"/>
    </xf>
    <xf numFmtId="0" fontId="16" fillId="3" borderId="0" xfId="0" applyFont="1" applyFill="1" applyAlignment="1">
      <alignment horizontal="left" vertical="center"/>
    </xf>
    <xf numFmtId="0" fontId="17" fillId="3" borderId="0" xfId="0" applyFont="1" applyFill="1" applyAlignment="1">
      <alignment horizontal="center" vertical="center"/>
    </xf>
    <xf numFmtId="0" fontId="18" fillId="3" borderId="0" xfId="0" applyFont="1" applyFill="1" applyAlignment="1">
      <alignment horizontal="left" vertical="center"/>
    </xf>
    <xf numFmtId="0" fontId="17" fillId="3" borderId="0" xfId="0" applyFont="1" applyFill="1" applyAlignment="1">
      <alignment vertical="center"/>
    </xf>
    <xf numFmtId="0" fontId="17" fillId="3" borderId="0" xfId="0" applyFont="1" applyFill="1" applyAlignment="1">
      <alignment horizontal="right" vertical="center"/>
    </xf>
    <xf numFmtId="0" fontId="17" fillId="3" borderId="0" xfId="0" applyFont="1" applyFill="1" applyAlignment="1">
      <alignment horizontal="left" vertical="center"/>
    </xf>
    <xf numFmtId="0" fontId="17" fillId="5" borderId="17" xfId="0" applyFont="1" applyFill="1" applyBorder="1" applyAlignment="1">
      <alignment horizontal="center" vertical="center"/>
    </xf>
    <xf numFmtId="0" fontId="18" fillId="5" borderId="18" xfId="0" applyFont="1" applyFill="1" applyBorder="1" applyAlignment="1">
      <alignment horizontal="center" vertical="center"/>
    </xf>
    <xf numFmtId="0" fontId="17" fillId="5" borderId="41" xfId="0" applyFont="1" applyFill="1" applyBorder="1" applyAlignment="1">
      <alignment horizontal="center" vertical="center"/>
    </xf>
    <xf numFmtId="0" fontId="17" fillId="3" borderId="39" xfId="0" applyFont="1" applyFill="1" applyBorder="1" applyAlignment="1">
      <alignment horizontal="center" vertical="center"/>
    </xf>
    <xf numFmtId="0" fontId="17" fillId="3" borderId="35" xfId="0" applyFont="1" applyFill="1" applyBorder="1" applyAlignment="1">
      <alignment horizontal="center" vertical="center"/>
    </xf>
    <xf numFmtId="0" fontId="17" fillId="3" borderId="35" xfId="0" quotePrefix="1" applyFont="1" applyFill="1" applyBorder="1" applyAlignment="1">
      <alignment horizontal="center" vertical="center"/>
    </xf>
    <xf numFmtId="0" fontId="17" fillId="3" borderId="38" xfId="0" applyFont="1" applyFill="1" applyBorder="1" applyAlignment="1">
      <alignment horizontal="center" vertical="center"/>
    </xf>
    <xf numFmtId="0" fontId="17" fillId="3" borderId="36" xfId="0" applyFont="1" applyFill="1" applyBorder="1" applyAlignment="1">
      <alignment horizontal="center" vertical="center"/>
    </xf>
    <xf numFmtId="3" fontId="17" fillId="3" borderId="35" xfId="0" applyNumberFormat="1" applyFont="1" applyFill="1" applyBorder="1" applyAlignment="1">
      <alignment horizontal="center" vertical="center"/>
    </xf>
    <xf numFmtId="14" fontId="17" fillId="3" borderId="37" xfId="0" applyNumberFormat="1" applyFont="1" applyFill="1" applyBorder="1" applyAlignment="1">
      <alignment horizontal="center" vertical="center"/>
    </xf>
    <xf numFmtId="3" fontId="17" fillId="3" borderId="22" xfId="0" applyNumberFormat="1" applyFont="1" applyFill="1" applyBorder="1" applyAlignment="1">
      <alignment horizontal="center" vertical="center"/>
    </xf>
    <xf numFmtId="3" fontId="18" fillId="3" borderId="25" xfId="0" applyNumberFormat="1" applyFont="1" applyFill="1" applyBorder="1" applyAlignment="1">
      <alignment horizontal="center" vertical="center"/>
    </xf>
    <xf numFmtId="10" fontId="17" fillId="3" borderId="42" xfId="3" applyNumberFormat="1" applyFont="1" applyFill="1" applyBorder="1" applyAlignment="1">
      <alignment horizontal="center" vertical="center"/>
    </xf>
    <xf numFmtId="0" fontId="17" fillId="3" borderId="22" xfId="0" applyFont="1" applyFill="1" applyBorder="1" applyAlignment="1">
      <alignment horizontal="center" vertical="center"/>
    </xf>
    <xf numFmtId="0" fontId="17" fillId="3" borderId="23" xfId="0" applyFont="1" applyFill="1" applyBorder="1" applyAlignment="1">
      <alignment horizontal="center" vertical="center"/>
    </xf>
    <xf numFmtId="0" fontId="17" fillId="3" borderId="23" xfId="0" quotePrefix="1" applyFont="1" applyFill="1" applyBorder="1" applyAlignment="1">
      <alignment horizontal="center" vertical="center"/>
    </xf>
    <xf numFmtId="0" fontId="17" fillId="3" borderId="24" xfId="0" applyFont="1" applyFill="1" applyBorder="1" applyAlignment="1">
      <alignment horizontal="center" vertical="center"/>
    </xf>
    <xf numFmtId="0" fontId="17" fillId="3" borderId="25" xfId="0" applyFont="1" applyFill="1" applyBorder="1" applyAlignment="1">
      <alignment horizontal="center" vertical="center"/>
    </xf>
    <xf numFmtId="3" fontId="17" fillId="3" borderId="23" xfId="0" applyNumberFormat="1" applyFont="1" applyFill="1" applyBorder="1" applyAlignment="1">
      <alignment horizontal="center" vertical="center"/>
    </xf>
    <xf numFmtId="14" fontId="17" fillId="3" borderId="26" xfId="0" applyNumberFormat="1" applyFont="1" applyFill="1" applyBorder="1" applyAlignment="1">
      <alignment horizontal="center" vertical="center"/>
    </xf>
    <xf numFmtId="10" fontId="17" fillId="3" borderId="43" xfId="3" applyNumberFormat="1" applyFont="1" applyFill="1" applyBorder="1" applyAlignment="1">
      <alignment horizontal="center" vertical="center"/>
    </xf>
    <xf numFmtId="0" fontId="18" fillId="3" borderId="23" xfId="0" applyFont="1" applyFill="1" applyBorder="1" applyAlignment="1">
      <alignment horizontal="center" vertical="center"/>
    </xf>
    <xf numFmtId="3" fontId="18" fillId="3" borderId="23" xfId="0" applyNumberFormat="1" applyFont="1" applyFill="1" applyBorder="1" applyAlignment="1">
      <alignment horizontal="center" vertical="center"/>
    </xf>
    <xf numFmtId="3" fontId="17" fillId="7" borderId="22" xfId="0" applyNumberFormat="1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7" fillId="3" borderId="19" xfId="0" applyFont="1" applyFill="1" applyBorder="1" applyAlignment="1">
      <alignment horizontal="center" vertical="center"/>
    </xf>
    <xf numFmtId="0" fontId="17" fillId="3" borderId="19" xfId="0" quotePrefix="1" applyFont="1" applyFill="1" applyBorder="1" applyAlignment="1">
      <alignment horizontal="center" vertical="center"/>
    </xf>
    <xf numFmtId="0" fontId="17" fillId="3" borderId="27" xfId="0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/>
    </xf>
    <xf numFmtId="3" fontId="17" fillId="3" borderId="19" xfId="0" applyNumberFormat="1" applyFont="1" applyFill="1" applyBorder="1" applyAlignment="1">
      <alignment horizontal="center" vertical="center"/>
    </xf>
    <xf numFmtId="14" fontId="17" fillId="3" borderId="28" xfId="0" applyNumberFormat="1" applyFont="1" applyFill="1" applyBorder="1" applyAlignment="1">
      <alignment horizontal="center" vertical="center"/>
    </xf>
    <xf numFmtId="3" fontId="17" fillId="3" borderId="17" xfId="0" applyNumberFormat="1" applyFont="1" applyFill="1" applyBorder="1" applyAlignment="1">
      <alignment horizontal="center" vertical="center"/>
    </xf>
    <xf numFmtId="3" fontId="18" fillId="3" borderId="18" xfId="0" applyNumberFormat="1" applyFont="1" applyFill="1" applyBorder="1" applyAlignment="1">
      <alignment horizontal="center" vertical="center"/>
    </xf>
    <xf numFmtId="10" fontId="17" fillId="3" borderId="41" xfId="3" applyNumberFormat="1" applyFont="1" applyFill="1" applyBorder="1" applyAlignment="1">
      <alignment horizontal="center" vertical="center"/>
    </xf>
    <xf numFmtId="0" fontId="17" fillId="6" borderId="23" xfId="0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0" fontId="17" fillId="3" borderId="11" xfId="0" applyFont="1" applyFill="1" applyBorder="1" applyAlignment="1">
      <alignment horizontal="center" vertical="center"/>
    </xf>
    <xf numFmtId="0" fontId="17" fillId="3" borderId="11" xfId="0" quotePrefix="1" applyFont="1" applyFill="1" applyBorder="1" applyAlignment="1">
      <alignment horizontal="center" vertical="center"/>
    </xf>
    <xf numFmtId="0" fontId="17" fillId="3" borderId="13" xfId="0" applyFont="1" applyFill="1" applyBorder="1" applyAlignment="1">
      <alignment horizontal="center" vertical="center"/>
    </xf>
    <xf numFmtId="0" fontId="17" fillId="3" borderId="10" xfId="0" applyFont="1" applyFill="1" applyBorder="1" applyAlignment="1">
      <alignment horizontal="center" vertical="center"/>
    </xf>
    <xf numFmtId="3" fontId="17" fillId="3" borderId="11" xfId="0" applyNumberFormat="1" applyFont="1" applyFill="1" applyBorder="1" applyAlignment="1">
      <alignment horizontal="center" vertical="center"/>
    </xf>
    <xf numFmtId="14" fontId="17" fillId="3" borderId="21" xfId="0" applyNumberFormat="1" applyFont="1" applyFill="1" applyBorder="1" applyAlignment="1">
      <alignment horizontal="center" vertical="center"/>
    </xf>
    <xf numFmtId="3" fontId="17" fillId="3" borderId="20" xfId="0" applyNumberFormat="1" applyFont="1" applyFill="1" applyBorder="1" applyAlignment="1">
      <alignment horizontal="center" vertical="center"/>
    </xf>
    <xf numFmtId="3" fontId="18" fillId="3" borderId="10" xfId="0" applyNumberFormat="1" applyFont="1" applyFill="1" applyBorder="1" applyAlignment="1">
      <alignment horizontal="center" vertical="center"/>
    </xf>
    <xf numFmtId="10" fontId="17" fillId="3" borderId="12" xfId="3" applyNumberFormat="1" applyFont="1" applyFill="1" applyBorder="1" applyAlignment="1">
      <alignment horizontal="center" vertical="center"/>
    </xf>
    <xf numFmtId="0" fontId="18" fillId="3" borderId="19" xfId="0" applyFont="1" applyFill="1" applyBorder="1" applyAlignment="1">
      <alignment horizontal="center" vertical="center"/>
    </xf>
    <xf numFmtId="0" fontId="17" fillId="3" borderId="47" xfId="0" applyFont="1" applyFill="1" applyBorder="1" applyAlignment="1">
      <alignment horizontal="center" vertical="center"/>
    </xf>
    <xf numFmtId="3" fontId="17" fillId="3" borderId="46" xfId="0" applyNumberFormat="1" applyFont="1" applyFill="1" applyBorder="1" applyAlignment="1">
      <alignment horizontal="center" vertical="center"/>
    </xf>
    <xf numFmtId="3" fontId="17" fillId="3" borderId="45" xfId="0" applyNumberFormat="1" applyFont="1" applyFill="1" applyBorder="1" applyAlignment="1">
      <alignment horizontal="center" vertical="center"/>
    </xf>
    <xf numFmtId="3" fontId="18" fillId="3" borderId="47" xfId="0" applyNumberFormat="1" applyFont="1" applyFill="1" applyBorder="1" applyAlignment="1">
      <alignment horizontal="center" vertical="center"/>
    </xf>
    <xf numFmtId="10" fontId="17" fillId="3" borderId="48" xfId="3" applyNumberFormat="1" applyFont="1" applyFill="1" applyBorder="1" applyAlignment="1">
      <alignment horizontal="center" vertical="center"/>
    </xf>
    <xf numFmtId="0" fontId="17" fillId="3" borderId="0" xfId="0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/>
    </xf>
    <xf numFmtId="0" fontId="17" fillId="3" borderId="0" xfId="0" quotePrefix="1" applyFont="1" applyFill="1" applyBorder="1" applyAlignment="1">
      <alignment horizontal="center" vertical="center"/>
    </xf>
    <xf numFmtId="0" fontId="17" fillId="3" borderId="29" xfId="0" applyFont="1" applyFill="1" applyBorder="1" applyAlignment="1">
      <alignment horizontal="center" vertical="center"/>
    </xf>
    <xf numFmtId="3" fontId="17" fillId="3" borderId="49" xfId="0" applyNumberFormat="1" applyFont="1" applyFill="1" applyBorder="1" applyAlignment="1">
      <alignment horizontal="center" vertical="center"/>
    </xf>
    <xf numFmtId="3" fontId="17" fillId="3" borderId="0" xfId="0" applyNumberFormat="1" applyFont="1" applyFill="1" applyBorder="1" applyAlignment="1">
      <alignment horizontal="center" vertical="center"/>
    </xf>
    <xf numFmtId="14" fontId="17" fillId="3" borderId="0" xfId="0" applyNumberFormat="1" applyFont="1" applyFill="1" applyBorder="1" applyAlignment="1">
      <alignment horizontal="center" vertical="center"/>
    </xf>
    <xf numFmtId="3" fontId="17" fillId="3" borderId="29" xfId="0" applyNumberFormat="1" applyFont="1" applyFill="1" applyBorder="1" applyAlignment="1">
      <alignment horizontal="center" vertical="center"/>
    </xf>
    <xf numFmtId="3" fontId="18" fillId="3" borderId="30" xfId="0" applyNumberFormat="1" applyFont="1" applyFill="1" applyBorder="1" applyAlignment="1">
      <alignment horizontal="center" vertical="center"/>
    </xf>
    <xf numFmtId="10" fontId="17" fillId="3" borderId="49" xfId="3" applyNumberFormat="1" applyFont="1" applyFill="1" applyBorder="1" applyAlignment="1">
      <alignment horizontal="center" vertical="center"/>
    </xf>
    <xf numFmtId="3" fontId="18" fillId="7" borderId="0" xfId="0" applyNumberFormat="1" applyFont="1" applyFill="1" applyBorder="1" applyAlignment="1">
      <alignment horizontal="center" vertical="center"/>
    </xf>
    <xf numFmtId="10" fontId="18" fillId="7" borderId="0" xfId="3" applyNumberFormat="1" applyFont="1" applyFill="1" applyBorder="1" applyAlignment="1">
      <alignment horizontal="center" vertical="center"/>
    </xf>
    <xf numFmtId="10" fontId="17" fillId="3" borderId="0" xfId="3" applyNumberFormat="1" applyFont="1" applyFill="1" applyBorder="1" applyAlignment="1">
      <alignment horizontal="center" vertical="center"/>
    </xf>
    <xf numFmtId="3" fontId="18" fillId="3" borderId="0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17" fillId="3" borderId="1" xfId="0" quotePrefix="1" applyFont="1" applyFill="1" applyBorder="1" applyAlignment="1">
      <alignment horizontal="center" vertical="center"/>
    </xf>
    <xf numFmtId="3" fontId="17" fillId="3" borderId="1" xfId="0" applyNumberFormat="1" applyFont="1" applyFill="1" applyBorder="1" applyAlignment="1">
      <alignment horizontal="center" vertical="center"/>
    </xf>
    <xf numFmtId="14" fontId="17" fillId="3" borderId="1" xfId="0" applyNumberFormat="1" applyFont="1" applyFill="1" applyBorder="1" applyAlignment="1">
      <alignment horizontal="center" vertical="center"/>
    </xf>
    <xf numFmtId="3" fontId="18" fillId="3" borderId="1" xfId="0" applyNumberFormat="1" applyFont="1" applyFill="1" applyBorder="1" applyAlignment="1">
      <alignment horizontal="center" vertical="center"/>
    </xf>
    <xf numFmtId="10" fontId="17" fillId="3" borderId="1" xfId="3" applyNumberFormat="1" applyFont="1" applyFill="1" applyBorder="1" applyAlignment="1">
      <alignment horizontal="center" vertical="center"/>
    </xf>
    <xf numFmtId="0" fontId="18" fillId="3" borderId="35" xfId="0" applyFont="1" applyFill="1" applyBorder="1" applyAlignment="1">
      <alignment horizontal="center" vertical="center"/>
    </xf>
    <xf numFmtId="0" fontId="17" fillId="6" borderId="35" xfId="0" quotePrefix="1" applyFont="1" applyFill="1" applyBorder="1" applyAlignment="1">
      <alignment horizontal="center" vertical="center"/>
    </xf>
    <xf numFmtId="3" fontId="17" fillId="3" borderId="39" xfId="0" applyNumberFormat="1" applyFont="1" applyFill="1" applyBorder="1" applyAlignment="1">
      <alignment horizontal="center" vertical="center"/>
    </xf>
    <xf numFmtId="3" fontId="18" fillId="3" borderId="36" xfId="0" applyNumberFormat="1" applyFont="1" applyFill="1" applyBorder="1" applyAlignment="1">
      <alignment horizontal="center" vertical="center"/>
    </xf>
    <xf numFmtId="0" fontId="17" fillId="6" borderId="23" xfId="0" quotePrefix="1" applyFont="1" applyFill="1" applyBorder="1" applyAlignment="1">
      <alignment horizontal="center" vertical="center"/>
    </xf>
    <xf numFmtId="0" fontId="17" fillId="6" borderId="19" xfId="0" quotePrefix="1" applyFont="1" applyFill="1" applyBorder="1" applyAlignment="1">
      <alignment horizontal="center" vertical="center"/>
    </xf>
    <xf numFmtId="3" fontId="17" fillId="3" borderId="30" xfId="0" applyNumberFormat="1" applyFont="1" applyFill="1" applyBorder="1" applyAlignment="1">
      <alignment horizontal="center" vertical="center"/>
    </xf>
    <xf numFmtId="3" fontId="17" fillId="3" borderId="7" xfId="0" applyNumberFormat="1" applyFont="1" applyFill="1" applyBorder="1" applyAlignment="1">
      <alignment horizontal="center" vertical="center"/>
    </xf>
    <xf numFmtId="3" fontId="18" fillId="3" borderId="31" xfId="0" applyNumberFormat="1" applyFont="1" applyFill="1" applyBorder="1" applyAlignment="1">
      <alignment horizontal="center" vertical="center"/>
    </xf>
    <xf numFmtId="10" fontId="17" fillId="3" borderId="44" xfId="3" applyNumberFormat="1" applyFont="1" applyFill="1" applyBorder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10" fontId="18" fillId="7" borderId="0" xfId="3" applyNumberFormat="1" applyFont="1" applyFill="1" applyAlignment="1">
      <alignment horizontal="center" vertical="center"/>
    </xf>
    <xf numFmtId="10" fontId="17" fillId="7" borderId="0" xfId="3" applyNumberFormat="1" applyFont="1" applyFill="1" applyAlignment="1">
      <alignment vertical="center"/>
    </xf>
    <xf numFmtId="10" fontId="18" fillId="3" borderId="0" xfId="3" applyNumberFormat="1" applyFont="1" applyFill="1" applyAlignment="1">
      <alignment horizontal="center" vertical="center"/>
    </xf>
    <xf numFmtId="10" fontId="17" fillId="3" borderId="0" xfId="3" applyNumberFormat="1" applyFont="1" applyFill="1" applyAlignment="1">
      <alignment vertical="center"/>
    </xf>
    <xf numFmtId="3" fontId="17" fillId="3" borderId="0" xfId="0" applyNumberFormat="1" applyFont="1" applyFill="1" applyAlignment="1">
      <alignment horizontal="center" vertical="center"/>
    </xf>
    <xf numFmtId="165" fontId="17" fillId="3" borderId="0" xfId="0" applyNumberFormat="1" applyFont="1" applyFill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7" fillId="4" borderId="0" xfId="1" applyFont="1" applyFill="1" applyBorder="1" applyAlignment="1">
      <alignment horizontal="center" vertical="center" wrapText="1"/>
    </xf>
    <xf numFmtId="0" fontId="7" fillId="3" borderId="0" xfId="1" applyFont="1" applyFill="1" applyBorder="1" applyAlignment="1">
      <alignment horizontal="center" vertical="center" wrapText="1"/>
    </xf>
    <xf numFmtId="164" fontId="7" fillId="0" borderId="0" xfId="1" applyNumberFormat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0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left" vertical="center"/>
    </xf>
    <xf numFmtId="0" fontId="3" fillId="0" borderId="0" xfId="1" quotePrefix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10" fillId="0" borderId="0" xfId="1" quotePrefix="1" applyFont="1" applyAlignment="1">
      <alignment horizontal="center" vertical="center"/>
    </xf>
    <xf numFmtId="0" fontId="3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7" fillId="0" borderId="0" xfId="1" applyFont="1" applyFill="1" applyBorder="1" applyAlignment="1">
      <alignment horizontal="center" vertical="center" wrapText="1" shrinkToFit="1"/>
    </xf>
    <xf numFmtId="0" fontId="3" fillId="0" borderId="2" xfId="1" quotePrefix="1" applyFont="1" applyBorder="1" applyAlignment="1">
      <alignment horizontal="center" vertical="center" wrapText="1"/>
    </xf>
    <xf numFmtId="0" fontId="13" fillId="0" borderId="0" xfId="1" applyFont="1" applyBorder="1" applyAlignment="1">
      <alignment horizontal="center" vertical="center"/>
    </xf>
    <xf numFmtId="0" fontId="7" fillId="0" borderId="0" xfId="1" applyFont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0" fontId="17" fillId="5" borderId="7" xfId="0" applyFont="1" applyFill="1" applyBorder="1" applyAlignment="1">
      <alignment horizontal="center" vertical="center" wrapText="1"/>
    </xf>
    <xf numFmtId="0" fontId="17" fillId="5" borderId="9" xfId="0" applyFont="1" applyFill="1" applyBorder="1" applyAlignment="1">
      <alignment horizontal="center" vertical="center" wrapText="1"/>
    </xf>
    <xf numFmtId="0" fontId="17" fillId="5" borderId="15" xfId="0" applyFont="1" applyFill="1" applyBorder="1" applyAlignment="1">
      <alignment horizontal="center" vertical="center" wrapText="1"/>
    </xf>
    <xf numFmtId="0" fontId="17" fillId="5" borderId="20" xfId="0" applyFont="1" applyFill="1" applyBorder="1" applyAlignment="1">
      <alignment horizontal="center" vertical="center"/>
    </xf>
    <xf numFmtId="0" fontId="17" fillId="5" borderId="13" xfId="0" applyFont="1" applyFill="1" applyBorder="1" applyAlignment="1">
      <alignment horizontal="center" vertical="center"/>
    </xf>
    <xf numFmtId="0" fontId="17" fillId="5" borderId="14" xfId="0" applyFont="1" applyFill="1" applyBorder="1" applyAlignment="1">
      <alignment horizontal="center" vertical="center"/>
    </xf>
    <xf numFmtId="3" fontId="17" fillId="3" borderId="35" xfId="0" applyNumberFormat="1" applyFont="1" applyFill="1" applyBorder="1" applyAlignment="1">
      <alignment horizontal="center" vertical="center" textRotation="90"/>
    </xf>
    <xf numFmtId="3" fontId="17" fillId="3" borderId="23" xfId="0" applyNumberFormat="1" applyFont="1" applyFill="1" applyBorder="1" applyAlignment="1">
      <alignment horizontal="center" vertical="center" textRotation="90"/>
    </xf>
    <xf numFmtId="3" fontId="17" fillId="3" borderId="19" xfId="0" applyNumberFormat="1" applyFont="1" applyFill="1" applyBorder="1" applyAlignment="1">
      <alignment horizontal="center" vertical="center" textRotation="90"/>
    </xf>
    <xf numFmtId="0" fontId="17" fillId="5" borderId="32" xfId="0" applyFont="1" applyFill="1" applyBorder="1" applyAlignment="1">
      <alignment horizontal="center" vertical="center" wrapText="1"/>
    </xf>
    <xf numFmtId="0" fontId="17" fillId="5" borderId="33" xfId="0" applyFont="1" applyFill="1" applyBorder="1" applyAlignment="1">
      <alignment horizontal="center" vertical="center" wrapText="1"/>
    </xf>
    <xf numFmtId="3" fontId="17" fillId="3" borderId="9" xfId="0" applyNumberFormat="1" applyFont="1" applyFill="1" applyBorder="1" applyAlignment="1">
      <alignment horizontal="center" vertical="center" textRotation="90"/>
    </xf>
    <xf numFmtId="3" fontId="17" fillId="3" borderId="34" xfId="0" applyNumberFormat="1" applyFont="1" applyFill="1" applyBorder="1" applyAlignment="1">
      <alignment horizontal="center" vertical="center" textRotation="90"/>
    </xf>
    <xf numFmtId="3" fontId="17" fillId="3" borderId="15" xfId="0" applyNumberFormat="1" applyFont="1" applyFill="1" applyBorder="1" applyAlignment="1">
      <alignment horizontal="center" vertical="center" textRotation="90"/>
    </xf>
    <xf numFmtId="3" fontId="17" fillId="3" borderId="11" xfId="0" applyNumberFormat="1" applyFont="1" applyFill="1" applyBorder="1" applyAlignment="1">
      <alignment horizontal="center" vertical="center" textRotation="90"/>
    </xf>
    <xf numFmtId="0" fontId="17" fillId="5" borderId="40" xfId="0" applyFont="1" applyFill="1" applyBorder="1" applyAlignment="1">
      <alignment horizontal="center" vertical="center" wrapText="1"/>
    </xf>
    <xf numFmtId="0" fontId="17" fillId="5" borderId="16" xfId="0" applyFont="1" applyFill="1" applyBorder="1" applyAlignment="1">
      <alignment horizontal="center" vertical="center" wrapText="1"/>
    </xf>
    <xf numFmtId="3" fontId="17" fillId="3" borderId="35" xfId="0" applyNumberFormat="1" applyFont="1" applyFill="1" applyBorder="1" applyAlignment="1">
      <alignment horizontal="center" vertical="center" textRotation="90" wrapText="1"/>
    </xf>
    <xf numFmtId="3" fontId="17" fillId="3" borderId="23" xfId="0" applyNumberFormat="1" applyFont="1" applyFill="1" applyBorder="1" applyAlignment="1">
      <alignment horizontal="center" vertical="center" textRotation="90" wrapText="1"/>
    </xf>
    <xf numFmtId="3" fontId="17" fillId="3" borderId="19" xfId="0" applyNumberFormat="1" applyFont="1" applyFill="1" applyBorder="1" applyAlignment="1">
      <alignment horizontal="center" vertical="center" textRotation="90" wrapText="1"/>
    </xf>
  </cellXfs>
  <cellStyles count="4">
    <cellStyle name="Comma 2" xfId="2"/>
    <cellStyle name="Normal" xfId="0" builtinId="0"/>
    <cellStyle name="Normal 2" xfId="1"/>
    <cellStyle name="Percent" xfId="3" builtinId="5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99061</xdr:colOff>
      <xdr:row>0</xdr:row>
      <xdr:rowOff>9525</xdr:rowOff>
    </xdr:from>
    <xdr:to>
      <xdr:col>16</xdr:col>
      <xdr:colOff>106681</xdr:colOff>
      <xdr:row>2</xdr:row>
      <xdr:rowOff>171451</xdr:rowOff>
    </xdr:to>
    <xdr:pic>
      <xdr:nvPicPr>
        <xdr:cNvPr id="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1" y="9525"/>
          <a:ext cx="2636520" cy="5276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BK75"/>
  <sheetViews>
    <sheetView tabSelected="1" topLeftCell="A28" zoomScale="125" zoomScaleNormal="125" workbookViewId="0">
      <selection activeCell="N42" sqref="N42"/>
    </sheetView>
  </sheetViews>
  <sheetFormatPr defaultColWidth="2.5703125" defaultRowHeight="14.25"/>
  <cols>
    <col min="1" max="1" width="2.5703125" style="4"/>
    <col min="2" max="47" width="2.5703125" style="4" customWidth="1"/>
    <col min="48" max="16384" width="2.5703125" style="4"/>
  </cols>
  <sheetData>
    <row r="1" spans="2:63" ht="14.25" customHeight="1"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168" t="s">
        <v>9</v>
      </c>
      <c r="T1" s="168"/>
      <c r="U1" s="168"/>
      <c r="V1" s="168"/>
      <c r="W1" s="168"/>
      <c r="X1" s="168"/>
      <c r="Y1" s="168"/>
      <c r="Z1" s="168"/>
      <c r="AA1" s="168"/>
      <c r="AB1" s="168"/>
      <c r="AC1" s="168"/>
      <c r="AD1" s="168"/>
      <c r="AE1" s="168"/>
      <c r="AF1" s="168"/>
      <c r="AG1" s="168"/>
      <c r="AH1" s="168"/>
      <c r="AI1" s="168"/>
      <c r="AJ1" s="2"/>
      <c r="AK1" s="3" t="s">
        <v>16</v>
      </c>
      <c r="AL1" s="2"/>
      <c r="AM1" s="2"/>
      <c r="AN1" s="2"/>
      <c r="AO1" s="2"/>
      <c r="AP1" s="2"/>
      <c r="AQ1" s="2"/>
      <c r="AR1" s="2"/>
      <c r="AS1" s="2"/>
      <c r="AT1" s="2"/>
      <c r="AU1" s="2"/>
    </row>
    <row r="2" spans="2:63" ht="14.25" customHeight="1">
      <c r="B2" s="2"/>
      <c r="C2" s="5"/>
      <c r="D2" s="5"/>
      <c r="E2" s="6"/>
      <c r="F2" s="6"/>
      <c r="G2" s="6"/>
      <c r="H2" s="6"/>
      <c r="I2" s="6"/>
      <c r="J2" s="6"/>
      <c r="K2" s="2"/>
      <c r="L2" s="2"/>
      <c r="M2" s="2"/>
      <c r="N2" s="2"/>
      <c r="O2" s="2"/>
      <c r="P2" s="2"/>
      <c r="Q2" s="2"/>
      <c r="R2" s="2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8"/>
      <c r="AD2" s="168"/>
      <c r="AE2" s="168"/>
      <c r="AF2" s="168"/>
      <c r="AG2" s="168"/>
      <c r="AH2" s="168"/>
      <c r="AI2" s="168"/>
      <c r="AJ2" s="2"/>
      <c r="AK2" s="2" t="s">
        <v>8</v>
      </c>
      <c r="AL2" s="2"/>
      <c r="AM2" s="2"/>
      <c r="AN2" s="2"/>
      <c r="AO2" s="2"/>
      <c r="AP2" s="2"/>
      <c r="AQ2" s="2"/>
      <c r="AR2" s="2"/>
      <c r="AS2" s="2"/>
      <c r="AT2" s="2"/>
      <c r="AU2" s="7" t="s">
        <v>4</v>
      </c>
    </row>
    <row r="3" spans="2:63" ht="14.25" customHeight="1">
      <c r="B3" s="8"/>
      <c r="C3" s="9"/>
      <c r="D3" s="9"/>
      <c r="E3" s="9"/>
      <c r="F3" s="6"/>
      <c r="G3" s="6"/>
      <c r="H3" s="6"/>
      <c r="I3" s="6"/>
      <c r="J3" s="6"/>
      <c r="K3" s="2"/>
      <c r="L3" s="2"/>
      <c r="M3" s="2"/>
      <c r="N3" s="2"/>
      <c r="O3" s="2"/>
      <c r="P3" s="2"/>
      <c r="Q3" s="2"/>
      <c r="R3" s="2"/>
      <c r="S3" s="168"/>
      <c r="T3" s="168"/>
      <c r="U3" s="168"/>
      <c r="V3" s="168"/>
      <c r="W3" s="168"/>
      <c r="X3" s="168"/>
      <c r="Y3" s="168"/>
      <c r="Z3" s="168"/>
      <c r="AA3" s="168"/>
      <c r="AB3" s="168"/>
      <c r="AC3" s="168"/>
      <c r="AD3" s="168"/>
      <c r="AE3" s="168"/>
      <c r="AF3" s="168"/>
      <c r="AG3" s="168"/>
      <c r="AH3" s="168"/>
      <c r="AI3" s="168"/>
      <c r="AJ3" s="2"/>
      <c r="AK3" s="2" t="s">
        <v>7</v>
      </c>
      <c r="AL3" s="2"/>
      <c r="AM3" s="2"/>
      <c r="AN3" s="2"/>
      <c r="AO3" s="2"/>
      <c r="AP3" s="2"/>
      <c r="AQ3" s="2"/>
      <c r="AR3" s="2"/>
      <c r="AS3" s="2"/>
      <c r="AT3" s="2"/>
      <c r="AU3" s="7" t="s">
        <v>5</v>
      </c>
    </row>
    <row r="4" spans="2:63" ht="14.25" customHeight="1">
      <c r="B4" s="8"/>
      <c r="C4" s="9"/>
      <c r="D4" s="9"/>
      <c r="E4" s="9"/>
      <c r="F4" s="6"/>
      <c r="G4" s="6"/>
      <c r="H4" s="6"/>
      <c r="I4" s="6"/>
      <c r="J4" s="6"/>
      <c r="K4" s="2"/>
      <c r="L4" s="2"/>
      <c r="M4" s="2"/>
      <c r="N4" s="2"/>
      <c r="O4" s="2"/>
      <c r="P4" s="2"/>
      <c r="Q4" s="2"/>
      <c r="R4" s="2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2"/>
      <c r="AK4" s="2" t="s">
        <v>6</v>
      </c>
      <c r="AL4" s="2"/>
      <c r="AM4" s="2"/>
      <c r="AN4" s="2"/>
      <c r="AO4" s="2"/>
      <c r="AP4" s="2"/>
      <c r="AQ4" s="2"/>
      <c r="AR4" s="2"/>
      <c r="AS4" s="2"/>
      <c r="AT4" s="2"/>
      <c r="AU4" s="7" t="s">
        <v>17</v>
      </c>
    </row>
    <row r="5" spans="2:63" ht="14.25" customHeight="1">
      <c r="B5" s="169" t="s">
        <v>12</v>
      </c>
      <c r="C5" s="169"/>
      <c r="D5" s="169"/>
      <c r="E5" s="169"/>
      <c r="F5" s="169"/>
      <c r="G5" s="143" t="s">
        <v>64</v>
      </c>
      <c r="H5" s="143"/>
      <c r="I5" s="143"/>
      <c r="J5" s="143"/>
      <c r="K5" s="143"/>
      <c r="L5" s="143"/>
      <c r="M5" s="143"/>
      <c r="N5" s="143"/>
      <c r="O5" s="143"/>
      <c r="P5" s="143"/>
      <c r="Q5" s="143"/>
      <c r="R5" s="2"/>
      <c r="S5" s="154" t="s">
        <v>10</v>
      </c>
      <c r="T5" s="154"/>
      <c r="U5" s="154"/>
      <c r="V5" s="154"/>
      <c r="W5" s="154"/>
      <c r="X5" s="139" t="s">
        <v>23</v>
      </c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7"/>
      <c r="BK5" s="11"/>
    </row>
    <row r="6" spans="2:63" ht="14.25" customHeight="1" thickBot="1">
      <c r="B6" s="169"/>
      <c r="C6" s="169"/>
      <c r="D6" s="169"/>
      <c r="E6" s="169"/>
      <c r="F6" s="169"/>
      <c r="G6" s="143"/>
      <c r="H6" s="143"/>
      <c r="I6" s="143"/>
      <c r="J6" s="143"/>
      <c r="K6" s="143"/>
      <c r="L6" s="143"/>
      <c r="M6" s="143"/>
      <c r="N6" s="143"/>
      <c r="O6" s="143"/>
      <c r="P6" s="143"/>
      <c r="Q6" s="143"/>
      <c r="R6" s="2"/>
      <c r="S6" s="164"/>
      <c r="T6" s="164"/>
      <c r="U6" s="164"/>
      <c r="V6" s="164"/>
      <c r="W6" s="164"/>
      <c r="X6" s="158" t="s">
        <v>22</v>
      </c>
      <c r="Y6" s="158"/>
      <c r="Z6" s="158"/>
      <c r="AA6" s="158"/>
      <c r="AB6" s="158"/>
      <c r="AC6" s="158"/>
      <c r="AD6" s="158"/>
      <c r="AE6" s="158"/>
      <c r="AF6" s="158"/>
      <c r="AG6" s="158"/>
      <c r="AH6" s="158"/>
      <c r="AI6" s="158"/>
      <c r="AJ6" s="2"/>
      <c r="AK6" s="8"/>
      <c r="AL6" s="2"/>
      <c r="AM6" s="2"/>
      <c r="AN6" s="2"/>
      <c r="AO6" s="2"/>
      <c r="AP6" s="2"/>
      <c r="AQ6" s="2"/>
      <c r="AR6" s="2"/>
      <c r="AS6" s="2"/>
      <c r="AT6" s="2"/>
      <c r="AU6" s="2"/>
      <c r="AV6" s="12"/>
    </row>
    <row r="7" spans="2:63" ht="14.25" customHeight="1">
      <c r="B7" s="166" t="s">
        <v>3</v>
      </c>
      <c r="C7" s="166"/>
      <c r="D7" s="166"/>
      <c r="E7" s="166"/>
      <c r="F7" s="166"/>
      <c r="G7" s="12"/>
      <c r="H7" s="141" t="s">
        <v>19</v>
      </c>
      <c r="I7" s="141"/>
      <c r="J7" s="141"/>
      <c r="K7" s="2"/>
      <c r="L7" s="142" t="s">
        <v>20</v>
      </c>
      <c r="M7" s="142"/>
      <c r="N7" s="142"/>
      <c r="O7" s="2"/>
      <c r="P7" s="2"/>
      <c r="Q7" s="2"/>
      <c r="R7" s="2"/>
      <c r="S7" s="161" t="s">
        <v>11</v>
      </c>
      <c r="T7" s="161"/>
      <c r="U7" s="161"/>
      <c r="V7" s="161"/>
      <c r="W7" s="161"/>
      <c r="X7" s="156" t="s">
        <v>67</v>
      </c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2"/>
      <c r="AK7" s="8" t="s">
        <v>13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12"/>
    </row>
    <row r="8" spans="2:63" ht="14.25" customHeight="1">
      <c r="B8" s="166"/>
      <c r="C8" s="166"/>
      <c r="D8" s="166"/>
      <c r="E8" s="166"/>
      <c r="F8" s="166"/>
      <c r="G8" s="12"/>
      <c r="H8" s="141"/>
      <c r="I8" s="141"/>
      <c r="J8" s="141"/>
      <c r="K8" s="13"/>
      <c r="L8" s="142"/>
      <c r="M8" s="142"/>
      <c r="N8" s="142"/>
      <c r="O8" s="2"/>
      <c r="P8" s="2"/>
      <c r="Q8" s="2"/>
      <c r="R8" s="2"/>
      <c r="S8" s="154"/>
      <c r="T8" s="154"/>
      <c r="U8" s="154"/>
      <c r="V8" s="154"/>
      <c r="W8" s="154"/>
      <c r="X8" s="157" t="s">
        <v>66</v>
      </c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2"/>
      <c r="AK8" s="5" t="s">
        <v>21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12"/>
    </row>
    <row r="9" spans="2:63" ht="14.25" customHeight="1" thickBot="1">
      <c r="B9" s="166"/>
      <c r="C9" s="166"/>
      <c r="D9" s="166"/>
      <c r="E9" s="166"/>
      <c r="F9" s="166"/>
      <c r="G9" s="12"/>
      <c r="H9" s="141"/>
      <c r="I9" s="141"/>
      <c r="J9" s="141"/>
      <c r="K9" s="2"/>
      <c r="L9" s="142"/>
      <c r="M9" s="142"/>
      <c r="N9" s="142"/>
      <c r="O9" s="2"/>
      <c r="P9" s="2"/>
      <c r="Q9" s="2"/>
      <c r="R9" s="2"/>
      <c r="S9" s="164"/>
      <c r="T9" s="164"/>
      <c r="U9" s="164"/>
      <c r="V9" s="164"/>
      <c r="W9" s="164"/>
      <c r="X9" s="158" t="s">
        <v>65</v>
      </c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2"/>
      <c r="AK9" s="14" t="s">
        <v>14</v>
      </c>
      <c r="AL9" s="2"/>
      <c r="AM9" s="2"/>
      <c r="AN9" s="2"/>
      <c r="AO9" s="2"/>
      <c r="AP9" s="2"/>
      <c r="AQ9" s="2"/>
      <c r="AR9" s="2"/>
      <c r="AS9" s="2"/>
      <c r="AT9" s="2"/>
      <c r="AU9" s="7"/>
      <c r="AV9" s="12"/>
    </row>
    <row r="10" spans="2:63" ht="15" thickBot="1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15" t="s">
        <v>15</v>
      </c>
      <c r="AV10" s="2"/>
      <c r="AW10" s="2"/>
    </row>
    <row r="11" spans="2:63" ht="13.5" customHeight="1">
      <c r="B11" s="160" t="s">
        <v>0</v>
      </c>
      <c r="C11" s="161"/>
      <c r="D11" s="161"/>
      <c r="E11" s="161"/>
      <c r="F11" s="161"/>
      <c r="G11" s="144" t="s">
        <v>68</v>
      </c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6"/>
      <c r="Y11" s="167" t="s">
        <v>1</v>
      </c>
      <c r="Z11" s="161"/>
      <c r="AA11" s="161"/>
      <c r="AB11" s="161"/>
      <c r="AC11" s="162"/>
      <c r="AD11" s="37">
        <v>1</v>
      </c>
      <c r="AE11" s="16" t="s">
        <v>129</v>
      </c>
      <c r="AF11" s="17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8"/>
      <c r="AU11" s="38" t="s">
        <v>130</v>
      </c>
    </row>
    <row r="12" spans="2:63" ht="15" customHeight="1">
      <c r="B12" s="153"/>
      <c r="C12" s="154"/>
      <c r="D12" s="154"/>
      <c r="E12" s="154"/>
      <c r="F12" s="154"/>
      <c r="G12" s="147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9"/>
      <c r="Y12" s="153"/>
      <c r="Z12" s="154"/>
      <c r="AA12" s="154"/>
      <c r="AB12" s="154"/>
      <c r="AC12" s="155"/>
      <c r="AD12" s="19">
        <v>2</v>
      </c>
      <c r="AE12" s="19" t="s">
        <v>126</v>
      </c>
      <c r="AF12" s="20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21"/>
      <c r="AU12" s="39" t="s">
        <v>131</v>
      </c>
    </row>
    <row r="13" spans="2:63" ht="15" customHeight="1">
      <c r="B13" s="153"/>
      <c r="C13" s="154"/>
      <c r="D13" s="154"/>
      <c r="E13" s="154"/>
      <c r="F13" s="154"/>
      <c r="G13" s="147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9"/>
      <c r="Y13" s="153"/>
      <c r="Z13" s="154"/>
      <c r="AA13" s="154"/>
      <c r="AB13" s="154"/>
      <c r="AC13" s="155"/>
      <c r="AD13" s="19">
        <v>3</v>
      </c>
      <c r="AE13" s="19" t="s">
        <v>133</v>
      </c>
      <c r="AF13" s="20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21"/>
      <c r="AU13" s="39" t="s">
        <v>132</v>
      </c>
    </row>
    <row r="14" spans="2:63" ht="15.75" customHeight="1" thickBot="1">
      <c r="B14" s="163"/>
      <c r="C14" s="164"/>
      <c r="D14" s="164"/>
      <c r="E14" s="164"/>
      <c r="F14" s="164"/>
      <c r="G14" s="150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2"/>
      <c r="Y14" s="163"/>
      <c r="Z14" s="164"/>
      <c r="AA14" s="164"/>
      <c r="AB14" s="164"/>
      <c r="AC14" s="165"/>
      <c r="AD14" s="19">
        <v>4</v>
      </c>
      <c r="AE14" s="19" t="s">
        <v>127</v>
      </c>
      <c r="AF14" s="20"/>
      <c r="AG14" s="19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3"/>
      <c r="AU14" s="40" t="s">
        <v>128</v>
      </c>
      <c r="BB14" s="159"/>
      <c r="BC14" s="159"/>
    </row>
    <row r="15" spans="2:63">
      <c r="B15" s="160" t="s">
        <v>24</v>
      </c>
      <c r="C15" s="161"/>
      <c r="D15" s="161"/>
      <c r="E15" s="161"/>
      <c r="F15" s="162"/>
      <c r="G15" s="24" t="s">
        <v>69</v>
      </c>
      <c r="H15" s="25" t="s">
        <v>122</v>
      </c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6"/>
      <c r="BB15" s="159"/>
      <c r="BC15" s="159"/>
    </row>
    <row r="16" spans="2:63">
      <c r="B16" s="153"/>
      <c r="C16" s="154"/>
      <c r="D16" s="154"/>
      <c r="E16" s="154"/>
      <c r="F16" s="15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7"/>
    </row>
    <row r="17" spans="2:47">
      <c r="B17" s="153"/>
      <c r="C17" s="154"/>
      <c r="D17" s="154"/>
      <c r="E17" s="154"/>
      <c r="F17" s="155"/>
      <c r="G17" s="13"/>
      <c r="H17" s="28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7"/>
    </row>
    <row r="18" spans="2:47">
      <c r="B18" s="153"/>
      <c r="C18" s="154"/>
      <c r="D18" s="154"/>
      <c r="E18" s="154"/>
      <c r="F18" s="155"/>
      <c r="G18" s="13"/>
      <c r="H18" s="28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7"/>
    </row>
    <row r="19" spans="2:47">
      <c r="B19" s="153"/>
      <c r="C19" s="154"/>
      <c r="D19" s="154"/>
      <c r="E19" s="154"/>
      <c r="F19" s="15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7"/>
    </row>
    <row r="20" spans="2:47">
      <c r="B20" s="153"/>
      <c r="C20" s="154"/>
      <c r="D20" s="154"/>
      <c r="E20" s="154"/>
      <c r="F20" s="155"/>
      <c r="G20" s="2"/>
      <c r="H20" s="1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7"/>
    </row>
    <row r="21" spans="2:47" ht="15" thickBot="1">
      <c r="B21" s="163"/>
      <c r="C21" s="164"/>
      <c r="D21" s="164"/>
      <c r="E21" s="164"/>
      <c r="F21" s="165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30"/>
    </row>
    <row r="22" spans="2:47" ht="13.5" customHeight="1">
      <c r="B22" s="153" t="s">
        <v>2</v>
      </c>
      <c r="C22" s="154"/>
      <c r="D22" s="154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54"/>
      <c r="AD22" s="154"/>
      <c r="AE22" s="154"/>
      <c r="AF22" s="154"/>
      <c r="AG22" s="154"/>
      <c r="AH22" s="154"/>
      <c r="AI22" s="154"/>
      <c r="AJ22" s="154"/>
      <c r="AK22" s="154"/>
      <c r="AL22" s="154"/>
      <c r="AM22" s="154"/>
      <c r="AN22" s="154"/>
      <c r="AO22" s="154"/>
      <c r="AP22" s="154"/>
      <c r="AQ22" s="154"/>
      <c r="AR22" s="154"/>
      <c r="AS22" s="154"/>
      <c r="AT22" s="154"/>
      <c r="AU22" s="155"/>
    </row>
    <row r="23" spans="2:47">
      <c r="B23" s="41" t="s">
        <v>134</v>
      </c>
      <c r="C23" s="2"/>
      <c r="D23" s="2"/>
      <c r="E23" s="2"/>
      <c r="F23" s="2"/>
      <c r="G23" s="2"/>
      <c r="H23" s="2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"/>
      <c r="AP23" s="2"/>
      <c r="AQ23" s="2"/>
      <c r="AR23" s="2"/>
      <c r="AS23" s="2"/>
      <c r="AT23" s="2"/>
      <c r="AU23" s="27"/>
    </row>
    <row r="24" spans="2:47">
      <c r="B24" s="41"/>
      <c r="C24" s="2"/>
      <c r="D24" s="2"/>
      <c r="E24" s="2"/>
      <c r="F24" s="2"/>
      <c r="G24" s="2"/>
      <c r="H24" s="2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"/>
      <c r="AP24" s="2"/>
      <c r="AQ24" s="2"/>
      <c r="AR24" s="2"/>
      <c r="AS24" s="2"/>
      <c r="AT24" s="2"/>
      <c r="AU24" s="27"/>
    </row>
    <row r="25" spans="2:47">
      <c r="B25" s="41" t="s">
        <v>135</v>
      </c>
      <c r="C25" s="2"/>
      <c r="D25" s="2"/>
      <c r="E25" s="2"/>
      <c r="F25" s="2"/>
      <c r="G25" s="2"/>
      <c r="H25" s="2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"/>
      <c r="AP25" s="2"/>
      <c r="AQ25" s="2"/>
      <c r="AR25" s="2"/>
      <c r="AS25" s="2"/>
      <c r="AT25" s="2"/>
      <c r="AU25" s="27"/>
    </row>
    <row r="26" spans="2:47">
      <c r="B26" s="31" t="s">
        <v>123</v>
      </c>
      <c r="C26" s="2" t="s">
        <v>124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8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7"/>
    </row>
    <row r="27" spans="2:47">
      <c r="B27" s="31"/>
      <c r="C27" s="2" t="s">
        <v>136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8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7"/>
    </row>
    <row r="28" spans="2:47">
      <c r="B28" s="31" t="s">
        <v>123</v>
      </c>
      <c r="C28" s="2" t="s">
        <v>125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8"/>
      <c r="AG28" s="1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7"/>
    </row>
    <row r="29" spans="2:47">
      <c r="B29" s="3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8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7"/>
    </row>
    <row r="30" spans="2:47">
      <c r="B30" s="42" t="s">
        <v>142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8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7"/>
    </row>
    <row r="31" spans="2:47">
      <c r="B31" s="31" t="s">
        <v>123</v>
      </c>
      <c r="C31" s="2" t="s">
        <v>143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8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7"/>
    </row>
    <row r="32" spans="2:47">
      <c r="B32" s="31" t="s">
        <v>123</v>
      </c>
      <c r="C32" s="2" t="s">
        <v>144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8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7"/>
    </row>
    <row r="33" spans="2:47">
      <c r="B33" s="31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8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7"/>
    </row>
    <row r="34" spans="2:47" ht="15.75">
      <c r="B34" s="31" t="s">
        <v>145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8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7"/>
    </row>
    <row r="35" spans="2:47">
      <c r="B35" s="31" t="s">
        <v>146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8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7"/>
    </row>
    <row r="36" spans="2:47" ht="14.25" customHeight="1">
      <c r="B36" s="3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8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7"/>
    </row>
    <row r="37" spans="2:47">
      <c r="B37" s="31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8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7"/>
    </row>
    <row r="38" spans="2:47">
      <c r="B38" s="31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8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7"/>
    </row>
    <row r="39" spans="2:47">
      <c r="B39" s="31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8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7"/>
    </row>
    <row r="40" spans="2:47">
      <c r="B40" s="3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8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7"/>
    </row>
    <row r="41" spans="2:47">
      <c r="B41" s="31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8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7"/>
    </row>
    <row r="42" spans="2:47">
      <c r="B42" s="31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8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7"/>
    </row>
    <row r="43" spans="2:47">
      <c r="B43" s="31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8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7"/>
    </row>
    <row r="44" spans="2:47">
      <c r="B44" s="31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8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7"/>
    </row>
    <row r="45" spans="2:47">
      <c r="B45" s="3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8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7"/>
    </row>
    <row r="46" spans="2:47">
      <c r="B46" s="31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8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7"/>
    </row>
    <row r="47" spans="2:47">
      <c r="B47" s="3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8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7"/>
    </row>
    <row r="48" spans="2:47">
      <c r="B48" s="3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8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7"/>
    </row>
    <row r="49" spans="2:47">
      <c r="B49" s="3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8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7"/>
    </row>
    <row r="50" spans="2:47">
      <c r="B50" s="3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8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7"/>
    </row>
    <row r="51" spans="2:47">
      <c r="B51" s="3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7"/>
    </row>
    <row r="52" spans="2:47">
      <c r="B52" s="3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8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7"/>
    </row>
    <row r="53" spans="2:47">
      <c r="B53" s="3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8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7"/>
    </row>
    <row r="54" spans="2:47">
      <c r="B54" s="3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8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7"/>
    </row>
    <row r="55" spans="2:47">
      <c r="B55" s="3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8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7"/>
    </row>
    <row r="56" spans="2:47">
      <c r="B56" s="3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8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7"/>
    </row>
    <row r="57" spans="2:47">
      <c r="B57" s="3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8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7"/>
    </row>
    <row r="58" spans="2:47">
      <c r="B58" s="3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8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7"/>
    </row>
    <row r="59" spans="2:47">
      <c r="B59" s="3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8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7"/>
    </row>
    <row r="60" spans="2:47">
      <c r="B60" s="3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8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7"/>
    </row>
    <row r="61" spans="2:47">
      <c r="B61" s="3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8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7"/>
    </row>
    <row r="62" spans="2:47">
      <c r="B62" s="3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8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7"/>
    </row>
    <row r="63" spans="2:47">
      <c r="B63" s="3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8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7"/>
    </row>
    <row r="64" spans="2:47">
      <c r="B64" s="3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8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7"/>
    </row>
    <row r="65" spans="2:47">
      <c r="B65" s="3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8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7"/>
    </row>
    <row r="66" spans="2:47">
      <c r="B66" s="3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8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7"/>
    </row>
    <row r="67" spans="2:47">
      <c r="B67" s="3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8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7"/>
    </row>
    <row r="68" spans="2:47" ht="15" thickBot="1">
      <c r="B68" s="32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33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30"/>
    </row>
    <row r="69" spans="2:47">
      <c r="B69" s="138" t="s">
        <v>18</v>
      </c>
      <c r="C69" s="139"/>
      <c r="D69" s="139"/>
      <c r="E69" s="139"/>
      <c r="F69" s="139"/>
      <c r="G69" s="139"/>
      <c r="H69" s="139"/>
      <c r="I69" s="139"/>
      <c r="J69" s="139"/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  <c r="Z69" s="139"/>
      <c r="AA69" s="139"/>
      <c r="AB69" s="139"/>
      <c r="AC69" s="139"/>
      <c r="AD69" s="139"/>
      <c r="AE69" s="139"/>
      <c r="AF69" s="139"/>
      <c r="AG69" s="139"/>
      <c r="AH69" s="139"/>
      <c r="AI69" s="139"/>
      <c r="AJ69" s="139"/>
      <c r="AK69" s="139"/>
      <c r="AL69" s="139"/>
      <c r="AM69" s="139"/>
      <c r="AN69" s="139"/>
      <c r="AO69" s="139"/>
      <c r="AP69" s="139"/>
      <c r="AQ69" s="139"/>
      <c r="AR69" s="139"/>
      <c r="AS69" s="139"/>
      <c r="AT69" s="139"/>
      <c r="AU69" s="140"/>
    </row>
    <row r="70" spans="2:47">
      <c r="B70" s="3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8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7"/>
    </row>
    <row r="71" spans="2:47">
      <c r="B71" s="3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8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7"/>
    </row>
    <row r="72" spans="2:47">
      <c r="B72" s="3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8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7"/>
    </row>
    <row r="73" spans="2:47">
      <c r="B73" s="3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8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7"/>
    </row>
    <row r="74" spans="2:47">
      <c r="B74" s="3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8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7"/>
    </row>
    <row r="75" spans="2:47" ht="15" thickBot="1">
      <c r="B75" s="35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36"/>
      <c r="U75" s="36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33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30"/>
    </row>
  </sheetData>
  <mergeCells count="20">
    <mergeCell ref="S1:AI3"/>
    <mergeCell ref="B5:F6"/>
    <mergeCell ref="S5:W6"/>
    <mergeCell ref="S7:W9"/>
    <mergeCell ref="X6:AI6"/>
    <mergeCell ref="X5:AI5"/>
    <mergeCell ref="BB14:BC15"/>
    <mergeCell ref="B15:F21"/>
    <mergeCell ref="B7:F9"/>
    <mergeCell ref="B11:F14"/>
    <mergeCell ref="Y11:AC14"/>
    <mergeCell ref="B69:AU69"/>
    <mergeCell ref="H7:J9"/>
    <mergeCell ref="L7:N9"/>
    <mergeCell ref="G5:Q6"/>
    <mergeCell ref="G11:X14"/>
    <mergeCell ref="B22:AU22"/>
    <mergeCell ref="X7:AI7"/>
    <mergeCell ref="X8:AI8"/>
    <mergeCell ref="X9:AI9"/>
  </mergeCells>
  <printOptions horizontalCentered="1" verticalCentered="1"/>
  <pageMargins left="0.39370078740157483" right="0.39370078740157483" top="0.19685039370078741" bottom="0.31496062992125984" header="0.31496062992125984" footer="0"/>
  <pageSetup paperSize="9" scale="80" fitToHeight="2" orientation="portrait" r:id="rId1"/>
  <headerFooter>
    <oddFooter>&amp;C&amp;P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B1:N60"/>
  <sheetViews>
    <sheetView zoomScale="91" zoomScaleNormal="91" workbookViewId="0">
      <pane xSplit="2" ySplit="4" topLeftCell="C35" activePane="bottomRight" state="frozen"/>
      <selection pane="topRight" activeCell="B1" sqref="B1"/>
      <selection pane="bottomLeft" activeCell="A6" sqref="A6"/>
      <selection pane="bottomRight" activeCell="K51" sqref="K51"/>
    </sheetView>
  </sheetViews>
  <sheetFormatPr defaultRowHeight="17.25"/>
  <cols>
    <col min="1" max="1" width="1" style="46" customWidth="1"/>
    <col min="2" max="2" width="12.7109375" style="44" customWidth="1"/>
    <col min="3" max="3" width="14.85546875" style="44" customWidth="1"/>
    <col min="4" max="4" width="8.42578125" style="44" customWidth="1"/>
    <col min="5" max="5" width="8" style="44" bestFit="1" customWidth="1"/>
    <col min="6" max="7" width="9.140625" style="44"/>
    <col min="8" max="9" width="10.7109375" style="44" customWidth="1"/>
    <col min="10" max="10" width="16.140625" style="44" customWidth="1"/>
    <col min="11" max="14" width="10.7109375" style="46" customWidth="1"/>
    <col min="15" max="16384" width="9.140625" style="46"/>
  </cols>
  <sheetData>
    <row r="1" spans="2:14">
      <c r="B1" s="43" t="s">
        <v>138</v>
      </c>
      <c r="I1" s="45" t="s">
        <v>82</v>
      </c>
      <c r="N1" s="47" t="s">
        <v>25</v>
      </c>
    </row>
    <row r="2" spans="2:14" ht="18" thickBot="1">
      <c r="B2" s="43"/>
      <c r="I2" s="48"/>
      <c r="N2" s="47"/>
    </row>
    <row r="3" spans="2:14">
      <c r="B3" s="170" t="s">
        <v>26</v>
      </c>
      <c r="C3" s="172" t="s">
        <v>27</v>
      </c>
      <c r="D3" s="172" t="s">
        <v>84</v>
      </c>
      <c r="E3" s="180"/>
      <c r="F3" s="172" t="s">
        <v>28</v>
      </c>
      <c r="G3" s="186" t="s">
        <v>29</v>
      </c>
      <c r="H3" s="172" t="s">
        <v>140</v>
      </c>
      <c r="I3" s="172" t="s">
        <v>121</v>
      </c>
      <c r="J3" s="172" t="s">
        <v>30</v>
      </c>
      <c r="K3" s="174" t="s">
        <v>137</v>
      </c>
      <c r="L3" s="175"/>
      <c r="M3" s="175"/>
      <c r="N3" s="176"/>
    </row>
    <row r="4" spans="2:14" ht="18" thickBot="1">
      <c r="B4" s="171"/>
      <c r="C4" s="173"/>
      <c r="D4" s="173"/>
      <c r="E4" s="181"/>
      <c r="F4" s="173"/>
      <c r="G4" s="187"/>
      <c r="H4" s="173"/>
      <c r="I4" s="173"/>
      <c r="J4" s="173"/>
      <c r="K4" s="49" t="s">
        <v>32</v>
      </c>
      <c r="L4" s="50" t="s">
        <v>77</v>
      </c>
      <c r="M4" s="50" t="s">
        <v>76</v>
      </c>
      <c r="N4" s="51" t="s">
        <v>33</v>
      </c>
    </row>
    <row r="5" spans="2:14">
      <c r="B5" s="52" t="s">
        <v>34</v>
      </c>
      <c r="C5" s="53" t="s">
        <v>35</v>
      </c>
      <c r="D5" s="54" t="s">
        <v>98</v>
      </c>
      <c r="E5" s="55" t="s">
        <v>81</v>
      </c>
      <c r="F5" s="53">
        <v>88</v>
      </c>
      <c r="G5" s="56" t="s">
        <v>36</v>
      </c>
      <c r="H5" s="57">
        <v>960</v>
      </c>
      <c r="I5" s="177" t="s">
        <v>37</v>
      </c>
      <c r="J5" s="58">
        <v>42886</v>
      </c>
      <c r="K5" s="59">
        <f>H5-(L5+M5)</f>
        <v>960</v>
      </c>
      <c r="L5" s="60">
        <v>0</v>
      </c>
      <c r="M5" s="60">
        <v>0</v>
      </c>
      <c r="N5" s="61">
        <f t="shared" ref="N5:N7" si="0">(L5+M5)/H5</f>
        <v>0</v>
      </c>
    </row>
    <row r="6" spans="2:14">
      <c r="B6" s="62" t="s">
        <v>34</v>
      </c>
      <c r="C6" s="63" t="s">
        <v>38</v>
      </c>
      <c r="D6" s="64" t="s">
        <v>97</v>
      </c>
      <c r="E6" s="65" t="s">
        <v>78</v>
      </c>
      <c r="F6" s="63">
        <v>88</v>
      </c>
      <c r="G6" s="66" t="s">
        <v>36</v>
      </c>
      <c r="H6" s="67">
        <v>960</v>
      </c>
      <c r="I6" s="178"/>
      <c r="J6" s="68">
        <v>42886</v>
      </c>
      <c r="K6" s="59">
        <f t="shared" ref="K6:K16" si="1">H6-(L6+M6)</f>
        <v>960</v>
      </c>
      <c r="L6" s="60">
        <v>0</v>
      </c>
      <c r="M6" s="60">
        <v>0</v>
      </c>
      <c r="N6" s="69">
        <f t="shared" si="0"/>
        <v>0</v>
      </c>
    </row>
    <row r="7" spans="2:14">
      <c r="B7" s="62" t="s">
        <v>34</v>
      </c>
      <c r="C7" s="63" t="s">
        <v>39</v>
      </c>
      <c r="D7" s="64" t="s">
        <v>87</v>
      </c>
      <c r="E7" s="65" t="s">
        <v>80</v>
      </c>
      <c r="F7" s="63">
        <v>88</v>
      </c>
      <c r="G7" s="66" t="s">
        <v>36</v>
      </c>
      <c r="H7" s="67">
        <v>690</v>
      </c>
      <c r="I7" s="178"/>
      <c r="J7" s="68">
        <v>42886</v>
      </c>
      <c r="K7" s="59">
        <f t="shared" si="1"/>
        <v>690</v>
      </c>
      <c r="L7" s="60">
        <v>0</v>
      </c>
      <c r="M7" s="60">
        <v>0</v>
      </c>
      <c r="N7" s="69">
        <f t="shared" si="0"/>
        <v>0</v>
      </c>
    </row>
    <row r="8" spans="2:14">
      <c r="B8" s="62" t="s">
        <v>34</v>
      </c>
      <c r="C8" s="70" t="s">
        <v>40</v>
      </c>
      <c r="D8" s="64" t="s">
        <v>100</v>
      </c>
      <c r="E8" s="65" t="s">
        <v>80</v>
      </c>
      <c r="F8" s="63">
        <v>88</v>
      </c>
      <c r="G8" s="66" t="s">
        <v>36</v>
      </c>
      <c r="H8" s="67">
        <v>960</v>
      </c>
      <c r="I8" s="178"/>
      <c r="J8" s="68">
        <v>42886</v>
      </c>
      <c r="K8" s="59">
        <f t="shared" si="1"/>
        <v>918</v>
      </c>
      <c r="L8" s="60">
        <v>41</v>
      </c>
      <c r="M8" s="60">
        <v>1</v>
      </c>
      <c r="N8" s="69">
        <f>(L8+M8)/H8</f>
        <v>4.3749999999999997E-2</v>
      </c>
    </row>
    <row r="9" spans="2:14">
      <c r="B9" s="62" t="s">
        <v>34</v>
      </c>
      <c r="C9" s="63" t="s">
        <v>41</v>
      </c>
      <c r="D9" s="64" t="s">
        <v>102</v>
      </c>
      <c r="E9" s="65" t="s">
        <v>80</v>
      </c>
      <c r="F9" s="63">
        <v>88</v>
      </c>
      <c r="G9" s="66" t="s">
        <v>36</v>
      </c>
      <c r="H9" s="67">
        <v>960</v>
      </c>
      <c r="I9" s="178"/>
      <c r="J9" s="68">
        <v>42886</v>
      </c>
      <c r="K9" s="59">
        <f t="shared" si="1"/>
        <v>960</v>
      </c>
      <c r="L9" s="60">
        <v>0</v>
      </c>
      <c r="M9" s="60">
        <v>0</v>
      </c>
      <c r="N9" s="69">
        <f t="shared" ref="N9:N29" si="2">(L9+M9)/H9</f>
        <v>0</v>
      </c>
    </row>
    <row r="10" spans="2:14">
      <c r="B10" s="62" t="s">
        <v>34</v>
      </c>
      <c r="C10" s="63" t="s">
        <v>42</v>
      </c>
      <c r="D10" s="64" t="s">
        <v>94</v>
      </c>
      <c r="E10" s="65" t="s">
        <v>78</v>
      </c>
      <c r="F10" s="63">
        <v>88</v>
      </c>
      <c r="G10" s="66" t="s">
        <v>36</v>
      </c>
      <c r="H10" s="67">
        <v>960</v>
      </c>
      <c r="I10" s="178"/>
      <c r="J10" s="68">
        <v>42886</v>
      </c>
      <c r="K10" s="59">
        <f t="shared" si="1"/>
        <v>960</v>
      </c>
      <c r="L10" s="60">
        <v>0</v>
      </c>
      <c r="M10" s="60">
        <v>0</v>
      </c>
      <c r="N10" s="69">
        <f t="shared" si="2"/>
        <v>0</v>
      </c>
    </row>
    <row r="11" spans="2:14">
      <c r="B11" s="62" t="s">
        <v>34</v>
      </c>
      <c r="C11" s="63" t="s">
        <v>43</v>
      </c>
      <c r="D11" s="64" t="s">
        <v>92</v>
      </c>
      <c r="E11" s="65" t="s">
        <v>78</v>
      </c>
      <c r="F11" s="63">
        <v>88</v>
      </c>
      <c r="G11" s="66" t="s">
        <v>36</v>
      </c>
      <c r="H11" s="67">
        <v>960</v>
      </c>
      <c r="I11" s="178"/>
      <c r="J11" s="68">
        <v>42886</v>
      </c>
      <c r="K11" s="59">
        <f t="shared" si="1"/>
        <v>957</v>
      </c>
      <c r="L11" s="60">
        <v>0</v>
      </c>
      <c r="M11" s="60">
        <v>3</v>
      </c>
      <c r="N11" s="69">
        <f t="shared" si="2"/>
        <v>3.1250000000000002E-3</v>
      </c>
    </row>
    <row r="12" spans="2:14">
      <c r="B12" s="62" t="s">
        <v>34</v>
      </c>
      <c r="C12" s="63" t="s">
        <v>44</v>
      </c>
      <c r="D12" s="64" t="s">
        <v>89</v>
      </c>
      <c r="E12" s="65" t="s">
        <v>78</v>
      </c>
      <c r="F12" s="63">
        <v>88</v>
      </c>
      <c r="G12" s="66" t="s">
        <v>36</v>
      </c>
      <c r="H12" s="67">
        <v>960</v>
      </c>
      <c r="I12" s="178"/>
      <c r="J12" s="68">
        <v>42886</v>
      </c>
      <c r="K12" s="59">
        <f t="shared" si="1"/>
        <v>958</v>
      </c>
      <c r="L12" s="60">
        <v>2</v>
      </c>
      <c r="M12" s="60">
        <v>0</v>
      </c>
      <c r="N12" s="69">
        <f t="shared" si="2"/>
        <v>2.0833333333333333E-3</v>
      </c>
    </row>
    <row r="13" spans="2:14">
      <c r="B13" s="62" t="s">
        <v>34</v>
      </c>
      <c r="C13" s="63" t="s">
        <v>45</v>
      </c>
      <c r="D13" s="64" t="s">
        <v>95</v>
      </c>
      <c r="E13" s="65" t="s">
        <v>78</v>
      </c>
      <c r="F13" s="63">
        <v>88</v>
      </c>
      <c r="G13" s="66" t="s">
        <v>36</v>
      </c>
      <c r="H13" s="67">
        <v>960</v>
      </c>
      <c r="I13" s="178"/>
      <c r="J13" s="68">
        <v>42886</v>
      </c>
      <c r="K13" s="59">
        <f t="shared" si="1"/>
        <v>958</v>
      </c>
      <c r="L13" s="60">
        <v>2</v>
      </c>
      <c r="M13" s="60">
        <v>0</v>
      </c>
      <c r="N13" s="69">
        <f t="shared" si="2"/>
        <v>2.0833333333333333E-3</v>
      </c>
    </row>
    <row r="14" spans="2:14">
      <c r="B14" s="62" t="s">
        <v>34</v>
      </c>
      <c r="C14" s="63" t="s">
        <v>46</v>
      </c>
      <c r="D14" s="64" t="s">
        <v>93</v>
      </c>
      <c r="E14" s="65" t="s">
        <v>78</v>
      </c>
      <c r="F14" s="63">
        <v>88</v>
      </c>
      <c r="G14" s="66" t="s">
        <v>36</v>
      </c>
      <c r="H14" s="67">
        <v>960</v>
      </c>
      <c r="I14" s="178"/>
      <c r="J14" s="68">
        <v>42886</v>
      </c>
      <c r="K14" s="59">
        <f t="shared" si="1"/>
        <v>959</v>
      </c>
      <c r="L14" s="60">
        <v>1</v>
      </c>
      <c r="M14" s="60">
        <v>0</v>
      </c>
      <c r="N14" s="69">
        <f t="shared" si="2"/>
        <v>1.0416666666666667E-3</v>
      </c>
    </row>
    <row r="15" spans="2:14">
      <c r="B15" s="62" t="s">
        <v>34</v>
      </c>
      <c r="C15" s="63" t="s">
        <v>47</v>
      </c>
      <c r="D15" s="64" t="s">
        <v>91</v>
      </c>
      <c r="E15" s="65" t="s">
        <v>78</v>
      </c>
      <c r="F15" s="63">
        <v>88</v>
      </c>
      <c r="G15" s="66" t="s">
        <v>36</v>
      </c>
      <c r="H15" s="67">
        <v>960</v>
      </c>
      <c r="I15" s="178"/>
      <c r="J15" s="68">
        <v>42886</v>
      </c>
      <c r="K15" s="59">
        <f t="shared" si="1"/>
        <v>960</v>
      </c>
      <c r="L15" s="60">
        <v>0</v>
      </c>
      <c r="M15" s="60">
        <v>0</v>
      </c>
      <c r="N15" s="69">
        <f t="shared" si="2"/>
        <v>0</v>
      </c>
    </row>
    <row r="16" spans="2:14">
      <c r="B16" s="62" t="s">
        <v>34</v>
      </c>
      <c r="C16" s="63" t="s">
        <v>48</v>
      </c>
      <c r="D16" s="64" t="s">
        <v>96</v>
      </c>
      <c r="E16" s="65" t="s">
        <v>78</v>
      </c>
      <c r="F16" s="63">
        <v>88</v>
      </c>
      <c r="G16" s="66" t="s">
        <v>36</v>
      </c>
      <c r="H16" s="67">
        <v>960</v>
      </c>
      <c r="I16" s="178"/>
      <c r="J16" s="68">
        <v>42886</v>
      </c>
      <c r="K16" s="59">
        <f t="shared" si="1"/>
        <v>958</v>
      </c>
      <c r="L16" s="60">
        <v>2</v>
      </c>
      <c r="M16" s="60">
        <v>0</v>
      </c>
      <c r="N16" s="69">
        <f t="shared" si="2"/>
        <v>2.0833333333333333E-3</v>
      </c>
    </row>
    <row r="17" spans="2:14">
      <c r="B17" s="62" t="s">
        <v>34</v>
      </c>
      <c r="C17" s="63" t="s">
        <v>49</v>
      </c>
      <c r="D17" s="64" t="s">
        <v>85</v>
      </c>
      <c r="E17" s="65" t="s">
        <v>78</v>
      </c>
      <c r="F17" s="63">
        <v>88</v>
      </c>
      <c r="G17" s="66" t="s">
        <v>36</v>
      </c>
      <c r="H17" s="71">
        <v>630</v>
      </c>
      <c r="I17" s="178"/>
      <c r="J17" s="68">
        <v>42886</v>
      </c>
      <c r="K17" s="72">
        <v>480</v>
      </c>
      <c r="L17" s="60">
        <v>0</v>
      </c>
      <c r="M17" s="60">
        <v>14</v>
      </c>
      <c r="N17" s="69">
        <f t="shared" si="2"/>
        <v>2.2222222222222223E-2</v>
      </c>
    </row>
    <row r="18" spans="2:14" ht="18" thickBot="1">
      <c r="B18" s="73" t="s">
        <v>34</v>
      </c>
      <c r="C18" s="74" t="s">
        <v>50</v>
      </c>
      <c r="D18" s="75" t="s">
        <v>90</v>
      </c>
      <c r="E18" s="76" t="s">
        <v>78</v>
      </c>
      <c r="F18" s="74">
        <v>88</v>
      </c>
      <c r="G18" s="77" t="s">
        <v>36</v>
      </c>
      <c r="H18" s="78">
        <v>960</v>
      </c>
      <c r="I18" s="179"/>
      <c r="J18" s="79">
        <v>42886</v>
      </c>
      <c r="K18" s="80">
        <f t="shared" ref="K18:K29" si="3">H18-(L18+M18)</f>
        <v>960</v>
      </c>
      <c r="L18" s="81">
        <v>0</v>
      </c>
      <c r="M18" s="81">
        <v>0</v>
      </c>
      <c r="N18" s="82">
        <f t="shared" si="2"/>
        <v>0</v>
      </c>
    </row>
    <row r="19" spans="2:14">
      <c r="B19" s="62" t="s">
        <v>34</v>
      </c>
      <c r="C19" s="63" t="s">
        <v>70</v>
      </c>
      <c r="D19" s="83" t="s">
        <v>120</v>
      </c>
      <c r="E19" s="65" t="s">
        <v>78</v>
      </c>
      <c r="F19" s="63">
        <v>88</v>
      </c>
      <c r="G19" s="66" t="s">
        <v>36</v>
      </c>
      <c r="H19" s="67">
        <v>960</v>
      </c>
      <c r="I19" s="182" t="s">
        <v>104</v>
      </c>
      <c r="J19" s="68">
        <v>42902</v>
      </c>
      <c r="K19" s="59">
        <f t="shared" si="3"/>
        <v>960</v>
      </c>
      <c r="L19" s="60">
        <v>0</v>
      </c>
      <c r="M19" s="60">
        <v>0</v>
      </c>
      <c r="N19" s="61">
        <f t="shared" si="2"/>
        <v>0</v>
      </c>
    </row>
    <row r="20" spans="2:14">
      <c r="B20" s="62" t="s">
        <v>34</v>
      </c>
      <c r="C20" s="63" t="s">
        <v>71</v>
      </c>
      <c r="D20" s="83" t="s">
        <v>120</v>
      </c>
      <c r="E20" s="65" t="s">
        <v>78</v>
      </c>
      <c r="F20" s="63">
        <v>88</v>
      </c>
      <c r="G20" s="66" t="s">
        <v>36</v>
      </c>
      <c r="H20" s="67">
        <v>960</v>
      </c>
      <c r="I20" s="183"/>
      <c r="J20" s="68">
        <v>42902</v>
      </c>
      <c r="K20" s="59">
        <f t="shared" si="3"/>
        <v>960</v>
      </c>
      <c r="L20" s="60">
        <v>0</v>
      </c>
      <c r="M20" s="60">
        <v>0</v>
      </c>
      <c r="N20" s="69">
        <f t="shared" si="2"/>
        <v>0</v>
      </c>
    </row>
    <row r="21" spans="2:14">
      <c r="B21" s="62" t="s">
        <v>34</v>
      </c>
      <c r="C21" s="63" t="s">
        <v>72</v>
      </c>
      <c r="D21" s="83" t="s">
        <v>120</v>
      </c>
      <c r="E21" s="65" t="s">
        <v>78</v>
      </c>
      <c r="F21" s="63">
        <v>88</v>
      </c>
      <c r="G21" s="66" t="s">
        <v>36</v>
      </c>
      <c r="H21" s="67">
        <v>930</v>
      </c>
      <c r="I21" s="183"/>
      <c r="J21" s="68">
        <v>42902</v>
      </c>
      <c r="K21" s="59">
        <f t="shared" si="3"/>
        <v>929</v>
      </c>
      <c r="L21" s="60">
        <v>1</v>
      </c>
      <c r="M21" s="60">
        <v>0</v>
      </c>
      <c r="N21" s="69">
        <f t="shared" si="2"/>
        <v>1.0752688172043011E-3</v>
      </c>
    </row>
    <row r="22" spans="2:14">
      <c r="B22" s="62" t="s">
        <v>34</v>
      </c>
      <c r="C22" s="63" t="s">
        <v>73</v>
      </c>
      <c r="D22" s="83" t="s">
        <v>120</v>
      </c>
      <c r="E22" s="65" t="s">
        <v>78</v>
      </c>
      <c r="F22" s="63">
        <v>88</v>
      </c>
      <c r="G22" s="66" t="s">
        <v>36</v>
      </c>
      <c r="H22" s="67">
        <v>960</v>
      </c>
      <c r="I22" s="183"/>
      <c r="J22" s="68">
        <v>42902</v>
      </c>
      <c r="K22" s="59">
        <f t="shared" si="3"/>
        <v>960</v>
      </c>
      <c r="L22" s="60">
        <v>0</v>
      </c>
      <c r="M22" s="60">
        <v>0</v>
      </c>
      <c r="N22" s="69">
        <f t="shared" si="2"/>
        <v>0</v>
      </c>
    </row>
    <row r="23" spans="2:14">
      <c r="B23" s="62" t="s">
        <v>34</v>
      </c>
      <c r="C23" s="63" t="s">
        <v>74</v>
      </c>
      <c r="D23" s="83" t="s">
        <v>120</v>
      </c>
      <c r="E23" s="65" t="s">
        <v>78</v>
      </c>
      <c r="F23" s="63">
        <v>88</v>
      </c>
      <c r="G23" s="66" t="s">
        <v>36</v>
      </c>
      <c r="H23" s="67">
        <v>960</v>
      </c>
      <c r="I23" s="183"/>
      <c r="J23" s="68">
        <v>42902</v>
      </c>
      <c r="K23" s="59">
        <f t="shared" si="3"/>
        <v>960</v>
      </c>
      <c r="L23" s="60">
        <v>0</v>
      </c>
      <c r="M23" s="60">
        <v>0</v>
      </c>
      <c r="N23" s="69">
        <f t="shared" si="2"/>
        <v>0</v>
      </c>
    </row>
    <row r="24" spans="2:14" ht="18" thickBot="1">
      <c r="B24" s="62" t="s">
        <v>34</v>
      </c>
      <c r="C24" s="63" t="s">
        <v>75</v>
      </c>
      <c r="D24" s="83" t="s">
        <v>120</v>
      </c>
      <c r="E24" s="65" t="s">
        <v>78</v>
      </c>
      <c r="F24" s="63">
        <v>88</v>
      </c>
      <c r="G24" s="66" t="s">
        <v>36</v>
      </c>
      <c r="H24" s="67">
        <v>960</v>
      </c>
      <c r="I24" s="184"/>
      <c r="J24" s="68">
        <v>42902</v>
      </c>
      <c r="K24" s="59">
        <f t="shared" si="3"/>
        <v>960</v>
      </c>
      <c r="L24" s="60">
        <v>0</v>
      </c>
      <c r="M24" s="60">
        <v>0</v>
      </c>
      <c r="N24" s="82">
        <f t="shared" si="2"/>
        <v>0</v>
      </c>
    </row>
    <row r="25" spans="2:14">
      <c r="B25" s="84" t="s">
        <v>34</v>
      </c>
      <c r="C25" s="85" t="s">
        <v>51</v>
      </c>
      <c r="D25" s="86" t="s">
        <v>86</v>
      </c>
      <c r="E25" s="87" t="s">
        <v>79</v>
      </c>
      <c r="F25" s="85">
        <v>88</v>
      </c>
      <c r="G25" s="88" t="s">
        <v>36</v>
      </c>
      <c r="H25" s="89">
        <v>960</v>
      </c>
      <c r="I25" s="185" t="s">
        <v>52</v>
      </c>
      <c r="J25" s="90">
        <v>42909</v>
      </c>
      <c r="K25" s="91">
        <f t="shared" si="3"/>
        <v>958</v>
      </c>
      <c r="L25" s="92">
        <v>1</v>
      </c>
      <c r="M25" s="92">
        <v>1</v>
      </c>
      <c r="N25" s="93">
        <f t="shared" si="2"/>
        <v>2.0833333333333333E-3</v>
      </c>
    </row>
    <row r="26" spans="2:14">
      <c r="B26" s="62" t="s">
        <v>34</v>
      </c>
      <c r="C26" s="63" t="s">
        <v>53</v>
      </c>
      <c r="D26" s="64" t="s">
        <v>103</v>
      </c>
      <c r="E26" s="65" t="s">
        <v>79</v>
      </c>
      <c r="F26" s="63">
        <v>88</v>
      </c>
      <c r="G26" s="66" t="s">
        <v>36</v>
      </c>
      <c r="H26" s="67">
        <v>960</v>
      </c>
      <c r="I26" s="178"/>
      <c r="J26" s="68">
        <v>42909</v>
      </c>
      <c r="K26" s="59">
        <f t="shared" si="3"/>
        <v>960</v>
      </c>
      <c r="L26" s="60">
        <v>0</v>
      </c>
      <c r="M26" s="60">
        <v>0</v>
      </c>
      <c r="N26" s="69">
        <f t="shared" si="2"/>
        <v>0</v>
      </c>
    </row>
    <row r="27" spans="2:14">
      <c r="B27" s="62" t="s">
        <v>34</v>
      </c>
      <c r="C27" s="63" t="s">
        <v>54</v>
      </c>
      <c r="D27" s="64" t="s">
        <v>101</v>
      </c>
      <c r="E27" s="65" t="s">
        <v>79</v>
      </c>
      <c r="F27" s="63">
        <v>88</v>
      </c>
      <c r="G27" s="66" t="s">
        <v>36</v>
      </c>
      <c r="H27" s="67">
        <v>960</v>
      </c>
      <c r="I27" s="178"/>
      <c r="J27" s="68">
        <v>42909</v>
      </c>
      <c r="K27" s="59">
        <f t="shared" si="3"/>
        <v>960</v>
      </c>
      <c r="L27" s="60">
        <v>0</v>
      </c>
      <c r="M27" s="60">
        <v>0</v>
      </c>
      <c r="N27" s="69">
        <f t="shared" si="2"/>
        <v>0</v>
      </c>
    </row>
    <row r="28" spans="2:14">
      <c r="B28" s="62" t="s">
        <v>34</v>
      </c>
      <c r="C28" s="63" t="s">
        <v>55</v>
      </c>
      <c r="D28" s="64" t="s">
        <v>88</v>
      </c>
      <c r="E28" s="65" t="s">
        <v>79</v>
      </c>
      <c r="F28" s="63">
        <v>88</v>
      </c>
      <c r="G28" s="66" t="s">
        <v>36</v>
      </c>
      <c r="H28" s="67">
        <v>960</v>
      </c>
      <c r="I28" s="178"/>
      <c r="J28" s="68">
        <v>42909</v>
      </c>
      <c r="K28" s="59">
        <f t="shared" si="3"/>
        <v>960</v>
      </c>
      <c r="L28" s="60">
        <v>0</v>
      </c>
      <c r="M28" s="60">
        <v>0</v>
      </c>
      <c r="N28" s="69">
        <f t="shared" si="2"/>
        <v>0</v>
      </c>
    </row>
    <row r="29" spans="2:14" ht="18" thickBot="1">
      <c r="B29" s="73" t="s">
        <v>34</v>
      </c>
      <c r="C29" s="94" t="s">
        <v>56</v>
      </c>
      <c r="D29" s="75" t="s">
        <v>99</v>
      </c>
      <c r="E29" s="76" t="s">
        <v>79</v>
      </c>
      <c r="F29" s="74">
        <v>88</v>
      </c>
      <c r="G29" s="95" t="s">
        <v>36</v>
      </c>
      <c r="H29" s="96">
        <v>630</v>
      </c>
      <c r="I29" s="179"/>
      <c r="J29" s="79">
        <v>42909</v>
      </c>
      <c r="K29" s="97">
        <f t="shared" si="3"/>
        <v>616</v>
      </c>
      <c r="L29" s="98">
        <v>14</v>
      </c>
      <c r="M29" s="98">
        <v>0</v>
      </c>
      <c r="N29" s="99">
        <f t="shared" si="2"/>
        <v>2.2222222222222223E-2</v>
      </c>
    </row>
    <row r="30" spans="2:14" ht="18" thickBot="1">
      <c r="B30" s="100"/>
      <c r="C30" s="101"/>
      <c r="D30" s="102"/>
      <c r="E30" s="100"/>
      <c r="F30" s="100"/>
      <c r="G30" s="103" t="s">
        <v>31</v>
      </c>
      <c r="H30" s="104">
        <f>SUM(H5:H29)</f>
        <v>23040</v>
      </c>
      <c r="I30" s="105"/>
      <c r="J30" s="106"/>
      <c r="K30" s="107">
        <f t="shared" ref="K30:M30" si="4">SUM(K5:K29)</f>
        <v>22821</v>
      </c>
      <c r="L30" s="108">
        <f t="shared" si="4"/>
        <v>64</v>
      </c>
      <c r="M30" s="108">
        <f t="shared" si="4"/>
        <v>19</v>
      </c>
      <c r="N30" s="109">
        <f>(L30+M30)/H30</f>
        <v>3.6024305555555558E-3</v>
      </c>
    </row>
    <row r="31" spans="2:14">
      <c r="B31" s="100"/>
      <c r="C31" s="101"/>
      <c r="D31" s="102"/>
      <c r="E31" s="100"/>
      <c r="F31" s="100"/>
      <c r="G31" s="100"/>
      <c r="H31" s="105"/>
      <c r="I31" s="105"/>
      <c r="J31" s="106"/>
      <c r="K31" s="110" t="s">
        <v>33</v>
      </c>
      <c r="L31" s="111">
        <f>L30/H30</f>
        <v>2.7777777777777779E-3</v>
      </c>
      <c r="M31" s="111">
        <f>M30/H30</f>
        <v>8.2465277777777778E-4</v>
      </c>
      <c r="N31" s="112"/>
    </row>
    <row r="32" spans="2:14">
      <c r="B32" s="100"/>
      <c r="C32" s="101"/>
      <c r="D32" s="102"/>
      <c r="E32" s="100"/>
      <c r="F32" s="100"/>
      <c r="G32" s="100"/>
      <c r="H32" s="105"/>
      <c r="I32" s="105"/>
      <c r="J32" s="106"/>
      <c r="K32" s="105"/>
      <c r="L32" s="113"/>
      <c r="M32" s="113">
        <f>SUM(K30:M30)-H30</f>
        <v>-136</v>
      </c>
      <c r="N32" s="112"/>
    </row>
    <row r="33" spans="2:14" ht="18" thickBot="1">
      <c r="B33" s="114"/>
      <c r="C33" s="115"/>
      <c r="D33" s="116"/>
      <c r="E33" s="114"/>
      <c r="F33" s="114"/>
      <c r="G33" s="114"/>
      <c r="H33" s="117"/>
      <c r="I33" s="117"/>
      <c r="J33" s="118"/>
      <c r="K33" s="117"/>
      <c r="L33" s="119"/>
      <c r="M33" s="119"/>
      <c r="N33" s="120"/>
    </row>
    <row r="34" spans="2:14">
      <c r="B34" s="170" t="s">
        <v>26</v>
      </c>
      <c r="C34" s="172" t="s">
        <v>27</v>
      </c>
      <c r="D34" s="172" t="s">
        <v>84</v>
      </c>
      <c r="E34" s="180"/>
      <c r="F34" s="172" t="s">
        <v>28</v>
      </c>
      <c r="G34" s="186" t="s">
        <v>29</v>
      </c>
      <c r="H34" s="172" t="s">
        <v>140</v>
      </c>
      <c r="I34" s="172" t="s">
        <v>121</v>
      </c>
      <c r="J34" s="172" t="s">
        <v>30</v>
      </c>
      <c r="K34" s="174" t="s">
        <v>137</v>
      </c>
      <c r="L34" s="175"/>
      <c r="M34" s="175"/>
      <c r="N34" s="176"/>
    </row>
    <row r="35" spans="2:14" ht="18" thickBot="1">
      <c r="B35" s="171"/>
      <c r="C35" s="173"/>
      <c r="D35" s="173"/>
      <c r="E35" s="181"/>
      <c r="F35" s="173"/>
      <c r="G35" s="187"/>
      <c r="H35" s="173"/>
      <c r="I35" s="173"/>
      <c r="J35" s="173"/>
      <c r="K35" s="49" t="s">
        <v>32</v>
      </c>
      <c r="L35" s="50" t="s">
        <v>77</v>
      </c>
      <c r="M35" s="50" t="s">
        <v>76</v>
      </c>
      <c r="N35" s="51" t="s">
        <v>33</v>
      </c>
    </row>
    <row r="36" spans="2:14">
      <c r="B36" s="52" t="s">
        <v>34</v>
      </c>
      <c r="C36" s="121" t="s">
        <v>105</v>
      </c>
      <c r="D36" s="122" t="s">
        <v>120</v>
      </c>
      <c r="E36" s="55" t="s">
        <v>79</v>
      </c>
      <c r="F36" s="53">
        <v>88</v>
      </c>
      <c r="G36" s="56" t="s">
        <v>36</v>
      </c>
      <c r="H36" s="57">
        <v>960</v>
      </c>
      <c r="I36" s="188" t="s">
        <v>139</v>
      </c>
      <c r="J36" s="58">
        <v>42916</v>
      </c>
      <c r="K36" s="123">
        <f t="shared" ref="K36:K50" si="5">H36-(L36+M36)</f>
        <v>953</v>
      </c>
      <c r="L36" s="124">
        <v>7</v>
      </c>
      <c r="M36" s="124">
        <v>0</v>
      </c>
      <c r="N36" s="61">
        <f t="shared" ref="N36:N50" si="6">(L36+M36)/H36</f>
        <v>7.2916666666666668E-3</v>
      </c>
    </row>
    <row r="37" spans="2:14">
      <c r="B37" s="52" t="s">
        <v>34</v>
      </c>
      <c r="C37" s="121" t="s">
        <v>106</v>
      </c>
      <c r="D37" s="122" t="s">
        <v>120</v>
      </c>
      <c r="E37" s="55" t="s">
        <v>79</v>
      </c>
      <c r="F37" s="63">
        <v>88</v>
      </c>
      <c r="G37" s="66" t="s">
        <v>36</v>
      </c>
      <c r="H37" s="57">
        <v>960</v>
      </c>
      <c r="I37" s="188"/>
      <c r="J37" s="58">
        <v>42916</v>
      </c>
      <c r="K37" s="123">
        <f t="shared" si="5"/>
        <v>955</v>
      </c>
      <c r="L37" s="124">
        <v>5</v>
      </c>
      <c r="M37" s="124">
        <v>0</v>
      </c>
      <c r="N37" s="69">
        <f t="shared" si="6"/>
        <v>5.208333333333333E-3</v>
      </c>
    </row>
    <row r="38" spans="2:14">
      <c r="B38" s="52" t="s">
        <v>34</v>
      </c>
      <c r="C38" s="121" t="s">
        <v>107</v>
      </c>
      <c r="D38" s="122" t="s">
        <v>120</v>
      </c>
      <c r="E38" s="55" t="s">
        <v>79</v>
      </c>
      <c r="F38" s="63">
        <v>88</v>
      </c>
      <c r="G38" s="66" t="s">
        <v>36</v>
      </c>
      <c r="H38" s="57">
        <v>960</v>
      </c>
      <c r="I38" s="188"/>
      <c r="J38" s="58">
        <v>42916</v>
      </c>
      <c r="K38" s="123">
        <f t="shared" si="5"/>
        <v>960</v>
      </c>
      <c r="L38" s="124">
        <v>0</v>
      </c>
      <c r="M38" s="124">
        <v>0</v>
      </c>
      <c r="N38" s="69">
        <f t="shared" si="6"/>
        <v>0</v>
      </c>
    </row>
    <row r="39" spans="2:14">
      <c r="B39" s="52" t="s">
        <v>34</v>
      </c>
      <c r="C39" s="121" t="s">
        <v>108</v>
      </c>
      <c r="D39" s="122" t="s">
        <v>120</v>
      </c>
      <c r="E39" s="55" t="s">
        <v>79</v>
      </c>
      <c r="F39" s="63">
        <v>88</v>
      </c>
      <c r="G39" s="66" t="s">
        <v>36</v>
      </c>
      <c r="H39" s="57">
        <v>960</v>
      </c>
      <c r="I39" s="188"/>
      <c r="J39" s="58">
        <v>42916</v>
      </c>
      <c r="K39" s="123">
        <f t="shared" si="5"/>
        <v>960</v>
      </c>
      <c r="L39" s="124">
        <v>0</v>
      </c>
      <c r="M39" s="124">
        <v>0</v>
      </c>
      <c r="N39" s="69">
        <f t="shared" si="6"/>
        <v>0</v>
      </c>
    </row>
    <row r="40" spans="2:14">
      <c r="B40" s="52" t="s">
        <v>34</v>
      </c>
      <c r="C40" s="121" t="s">
        <v>109</v>
      </c>
      <c r="D40" s="122" t="s">
        <v>120</v>
      </c>
      <c r="E40" s="55" t="s">
        <v>141</v>
      </c>
      <c r="F40" s="63">
        <v>88</v>
      </c>
      <c r="G40" s="66" t="s">
        <v>36</v>
      </c>
      <c r="H40" s="57">
        <v>330</v>
      </c>
      <c r="I40" s="188"/>
      <c r="J40" s="58">
        <v>42916</v>
      </c>
      <c r="K40" s="72">
        <v>240</v>
      </c>
      <c r="L40" s="124">
        <v>14</v>
      </c>
      <c r="M40" s="124">
        <f>5+22</f>
        <v>27</v>
      </c>
      <c r="N40" s="69">
        <f t="shared" si="6"/>
        <v>0.12424242424242424</v>
      </c>
    </row>
    <row r="41" spans="2:14">
      <c r="B41" s="52" t="s">
        <v>34</v>
      </c>
      <c r="C41" s="121" t="s">
        <v>110</v>
      </c>
      <c r="D41" s="122" t="s">
        <v>120</v>
      </c>
      <c r="E41" s="55" t="s">
        <v>79</v>
      </c>
      <c r="F41" s="63">
        <v>88</v>
      </c>
      <c r="G41" s="66" t="s">
        <v>36</v>
      </c>
      <c r="H41" s="57">
        <v>960</v>
      </c>
      <c r="I41" s="188"/>
      <c r="J41" s="58">
        <v>42916</v>
      </c>
      <c r="K41" s="123">
        <f t="shared" si="5"/>
        <v>960</v>
      </c>
      <c r="L41" s="124">
        <v>0</v>
      </c>
      <c r="M41" s="124">
        <v>0</v>
      </c>
      <c r="N41" s="69">
        <f t="shared" si="6"/>
        <v>0</v>
      </c>
    </row>
    <row r="42" spans="2:14">
      <c r="B42" s="52" t="s">
        <v>34</v>
      </c>
      <c r="C42" s="121" t="s">
        <v>119</v>
      </c>
      <c r="D42" s="122" t="s">
        <v>120</v>
      </c>
      <c r="E42" s="55" t="s">
        <v>79</v>
      </c>
      <c r="F42" s="63">
        <v>88</v>
      </c>
      <c r="G42" s="66" t="s">
        <v>36</v>
      </c>
      <c r="H42" s="57">
        <v>960</v>
      </c>
      <c r="I42" s="188"/>
      <c r="J42" s="58">
        <v>42916</v>
      </c>
      <c r="K42" s="123">
        <f t="shared" si="5"/>
        <v>960</v>
      </c>
      <c r="L42" s="124">
        <v>0</v>
      </c>
      <c r="M42" s="124">
        <v>0</v>
      </c>
      <c r="N42" s="69">
        <f t="shared" si="6"/>
        <v>0</v>
      </c>
    </row>
    <row r="43" spans="2:14">
      <c r="B43" s="52" t="s">
        <v>34</v>
      </c>
      <c r="C43" s="53" t="s">
        <v>111</v>
      </c>
      <c r="D43" s="122" t="s">
        <v>120</v>
      </c>
      <c r="E43" s="55" t="s">
        <v>78</v>
      </c>
      <c r="F43" s="63">
        <v>88</v>
      </c>
      <c r="G43" s="66" t="s">
        <v>36</v>
      </c>
      <c r="H43" s="57">
        <v>960</v>
      </c>
      <c r="I43" s="188"/>
      <c r="J43" s="58">
        <v>42916</v>
      </c>
      <c r="K43" s="123">
        <f t="shared" si="5"/>
        <v>952</v>
      </c>
      <c r="L43" s="124">
        <v>8</v>
      </c>
      <c r="M43" s="124">
        <v>0</v>
      </c>
      <c r="N43" s="69">
        <f t="shared" si="6"/>
        <v>8.3333333333333332E-3</v>
      </c>
    </row>
    <row r="44" spans="2:14">
      <c r="B44" s="52" t="s">
        <v>34</v>
      </c>
      <c r="C44" s="53" t="s">
        <v>112</v>
      </c>
      <c r="D44" s="122" t="s">
        <v>120</v>
      </c>
      <c r="E44" s="55" t="s">
        <v>78</v>
      </c>
      <c r="F44" s="63">
        <v>88</v>
      </c>
      <c r="G44" s="66" t="s">
        <v>36</v>
      </c>
      <c r="H44" s="57">
        <v>960</v>
      </c>
      <c r="I44" s="188"/>
      <c r="J44" s="58">
        <v>42916</v>
      </c>
      <c r="K44" s="123">
        <f t="shared" si="5"/>
        <v>959</v>
      </c>
      <c r="L44" s="124">
        <v>0</v>
      </c>
      <c r="M44" s="124">
        <v>1</v>
      </c>
      <c r="N44" s="69">
        <f t="shared" si="6"/>
        <v>1.0416666666666667E-3</v>
      </c>
    </row>
    <row r="45" spans="2:14">
      <c r="B45" s="52" t="s">
        <v>34</v>
      </c>
      <c r="C45" s="53" t="s">
        <v>113</v>
      </c>
      <c r="D45" s="122" t="s">
        <v>120</v>
      </c>
      <c r="E45" s="55" t="s">
        <v>78</v>
      </c>
      <c r="F45" s="63">
        <v>88</v>
      </c>
      <c r="G45" s="66" t="s">
        <v>36</v>
      </c>
      <c r="H45" s="57">
        <v>960</v>
      </c>
      <c r="I45" s="188"/>
      <c r="J45" s="58">
        <v>42916</v>
      </c>
      <c r="K45" s="123">
        <f t="shared" si="5"/>
        <v>960</v>
      </c>
      <c r="L45" s="124">
        <v>0</v>
      </c>
      <c r="M45" s="124">
        <v>0</v>
      </c>
      <c r="N45" s="69">
        <f t="shared" si="6"/>
        <v>0</v>
      </c>
    </row>
    <row r="46" spans="2:14">
      <c r="B46" s="52" t="s">
        <v>34</v>
      </c>
      <c r="C46" s="121" t="s">
        <v>114</v>
      </c>
      <c r="D46" s="122" t="s">
        <v>120</v>
      </c>
      <c r="E46" s="55" t="s">
        <v>80</v>
      </c>
      <c r="F46" s="63">
        <v>88</v>
      </c>
      <c r="G46" s="66" t="s">
        <v>36</v>
      </c>
      <c r="H46" s="57">
        <v>960</v>
      </c>
      <c r="I46" s="188"/>
      <c r="J46" s="58">
        <v>42916</v>
      </c>
      <c r="K46" s="123">
        <f t="shared" si="5"/>
        <v>956</v>
      </c>
      <c r="L46" s="124">
        <v>4</v>
      </c>
      <c r="M46" s="124">
        <v>0</v>
      </c>
      <c r="N46" s="69">
        <f t="shared" si="6"/>
        <v>4.1666666666666666E-3</v>
      </c>
    </row>
    <row r="47" spans="2:14">
      <c r="B47" s="62" t="s">
        <v>34</v>
      </c>
      <c r="C47" s="63" t="s">
        <v>115</v>
      </c>
      <c r="D47" s="125" t="s">
        <v>120</v>
      </c>
      <c r="E47" s="65" t="s">
        <v>78</v>
      </c>
      <c r="F47" s="63">
        <v>88</v>
      </c>
      <c r="G47" s="66" t="s">
        <v>36</v>
      </c>
      <c r="H47" s="67">
        <v>960</v>
      </c>
      <c r="I47" s="189"/>
      <c r="J47" s="68">
        <v>42916</v>
      </c>
      <c r="K47" s="59">
        <f t="shared" si="5"/>
        <v>960</v>
      </c>
      <c r="L47" s="60">
        <v>0</v>
      </c>
      <c r="M47" s="60">
        <v>0</v>
      </c>
      <c r="N47" s="69">
        <f t="shared" si="6"/>
        <v>0</v>
      </c>
    </row>
    <row r="48" spans="2:14">
      <c r="B48" s="62" t="s">
        <v>34</v>
      </c>
      <c r="C48" s="63" t="s">
        <v>116</v>
      </c>
      <c r="D48" s="125" t="s">
        <v>120</v>
      </c>
      <c r="E48" s="65" t="s">
        <v>78</v>
      </c>
      <c r="F48" s="63">
        <v>88</v>
      </c>
      <c r="G48" s="66" t="s">
        <v>36</v>
      </c>
      <c r="H48" s="67">
        <v>960</v>
      </c>
      <c r="I48" s="189"/>
      <c r="J48" s="68">
        <v>42916</v>
      </c>
      <c r="K48" s="59">
        <f t="shared" si="5"/>
        <v>959</v>
      </c>
      <c r="L48" s="60">
        <v>1</v>
      </c>
      <c r="M48" s="60">
        <v>0</v>
      </c>
      <c r="N48" s="69">
        <f t="shared" si="6"/>
        <v>1.0416666666666667E-3</v>
      </c>
    </row>
    <row r="49" spans="2:14">
      <c r="B49" s="62" t="s">
        <v>34</v>
      </c>
      <c r="C49" s="63" t="s">
        <v>117</v>
      </c>
      <c r="D49" s="125" t="s">
        <v>120</v>
      </c>
      <c r="E49" s="65" t="s">
        <v>78</v>
      </c>
      <c r="F49" s="63">
        <v>88</v>
      </c>
      <c r="G49" s="66" t="s">
        <v>36</v>
      </c>
      <c r="H49" s="67">
        <v>960</v>
      </c>
      <c r="I49" s="189"/>
      <c r="J49" s="68">
        <v>42916</v>
      </c>
      <c r="K49" s="59">
        <f t="shared" si="5"/>
        <v>960</v>
      </c>
      <c r="L49" s="60">
        <v>0</v>
      </c>
      <c r="M49" s="60">
        <v>0</v>
      </c>
      <c r="N49" s="69">
        <f t="shared" si="6"/>
        <v>0</v>
      </c>
    </row>
    <row r="50" spans="2:14" ht="18" thickBot="1">
      <c r="B50" s="73" t="s">
        <v>34</v>
      </c>
      <c r="C50" s="94" t="s">
        <v>118</v>
      </c>
      <c r="D50" s="126" t="s">
        <v>120</v>
      </c>
      <c r="E50" s="76" t="s">
        <v>79</v>
      </c>
      <c r="F50" s="74">
        <v>88</v>
      </c>
      <c r="G50" s="77" t="s">
        <v>36</v>
      </c>
      <c r="H50" s="78">
        <v>750</v>
      </c>
      <c r="I50" s="190"/>
      <c r="J50" s="79">
        <v>42916</v>
      </c>
      <c r="K50" s="80">
        <f t="shared" si="5"/>
        <v>750</v>
      </c>
      <c r="L50" s="81">
        <v>0</v>
      </c>
      <c r="M50" s="81">
        <v>0</v>
      </c>
      <c r="N50" s="82">
        <f t="shared" si="6"/>
        <v>0</v>
      </c>
    </row>
    <row r="51" spans="2:14" ht="18" thickBot="1">
      <c r="H51" s="127">
        <f>SUM(H36:H50)</f>
        <v>13560</v>
      </c>
      <c r="I51" s="105"/>
      <c r="K51" s="128">
        <f>SUM(K36:K50)</f>
        <v>13444</v>
      </c>
      <c r="L51" s="129">
        <f t="shared" ref="L51:M51" si="7">SUM(L36:L50)</f>
        <v>39</v>
      </c>
      <c r="M51" s="129">
        <f t="shared" si="7"/>
        <v>28</v>
      </c>
      <c r="N51" s="130">
        <f>(M51+L51)/H51</f>
        <v>4.9410029498525073E-3</v>
      </c>
    </row>
    <row r="52" spans="2:14">
      <c r="K52" s="131" t="s">
        <v>33</v>
      </c>
      <c r="L52" s="132">
        <f>L51/H51</f>
        <v>2.8761061946902654E-3</v>
      </c>
      <c r="M52" s="133">
        <f>M51/H51</f>
        <v>2.0648967551622419E-3</v>
      </c>
    </row>
    <row r="53" spans="2:14">
      <c r="K53" s="137">
        <f>SUM(K51:M51)-H51</f>
        <v>-49</v>
      </c>
      <c r="L53" s="134"/>
      <c r="M53" s="135"/>
    </row>
    <row r="54" spans="2:14">
      <c r="K54" s="44"/>
      <c r="L54" s="134"/>
      <c r="M54" s="135"/>
    </row>
    <row r="55" spans="2:14">
      <c r="B55" s="48" t="s">
        <v>57</v>
      </c>
      <c r="K55" s="48" t="s">
        <v>58</v>
      </c>
    </row>
    <row r="56" spans="2:14">
      <c r="B56" s="48" t="s">
        <v>59</v>
      </c>
      <c r="J56" s="136"/>
      <c r="K56" s="48" t="s">
        <v>60</v>
      </c>
    </row>
    <row r="57" spans="2:14">
      <c r="B57" s="48" t="s">
        <v>61</v>
      </c>
      <c r="K57" s="48" t="s">
        <v>83</v>
      </c>
    </row>
    <row r="58" spans="2:14">
      <c r="B58" s="48" t="s">
        <v>62</v>
      </c>
    </row>
    <row r="59" spans="2:14">
      <c r="B59" s="48" t="s">
        <v>63</v>
      </c>
    </row>
    <row r="60" spans="2:14">
      <c r="B60" s="48"/>
    </row>
  </sheetData>
  <mergeCells count="24">
    <mergeCell ref="C3:C4"/>
    <mergeCell ref="F3:F4"/>
    <mergeCell ref="G3:G4"/>
    <mergeCell ref="I36:I50"/>
    <mergeCell ref="I3:I4"/>
    <mergeCell ref="G34:G35"/>
    <mergeCell ref="H34:H35"/>
    <mergeCell ref="I34:I35"/>
    <mergeCell ref="B3:B4"/>
    <mergeCell ref="J34:J35"/>
    <mergeCell ref="K34:N34"/>
    <mergeCell ref="I5:I18"/>
    <mergeCell ref="E3:E4"/>
    <mergeCell ref="D3:D4"/>
    <mergeCell ref="B34:B35"/>
    <mergeCell ref="C34:C35"/>
    <mergeCell ref="D34:D35"/>
    <mergeCell ref="E34:E35"/>
    <mergeCell ref="F34:F35"/>
    <mergeCell ref="J3:J4"/>
    <mergeCell ref="I19:I24"/>
    <mergeCell ref="I25:I29"/>
    <mergeCell ref="H3:H4"/>
    <mergeCell ref="K3:N3"/>
  </mergeCells>
  <printOptions horizontalCentered="1"/>
  <pageMargins left="0.31496062992125984" right="0.31496062992125984" top="0.59055118110236227" bottom="0.39370078740157483" header="0.31496062992125984" footer="0.19685039370078741"/>
  <pageSetup paperSize="9" scale="68" orientation="portrait" r:id="rId1"/>
  <headerFooter>
    <oddFooter>Page &amp;P of &amp;N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BTF</vt:lpstr>
      <vt:lpstr>SA-18A Rework </vt:lpstr>
      <vt:lpstr>Sheet1</vt:lpstr>
      <vt:lpstr>BTF!Print_Area</vt:lpstr>
      <vt:lpstr>'SA-18A Rework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2017-07-19T00:59:47Z</cp:lastPrinted>
  <dcterms:created xsi:type="dcterms:W3CDTF">2016-09-01T00:00:56Z</dcterms:created>
  <dcterms:modified xsi:type="dcterms:W3CDTF">2017-07-19T07:44:02Z</dcterms:modified>
</cp:coreProperties>
</file>