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マイドキュメント２\ローム\"/>
    </mc:Choice>
  </mc:AlternateContent>
  <bookViews>
    <workbookView xWindow="0" yWindow="0" windowWidth="19470" windowHeight="9015"/>
  </bookViews>
  <sheets>
    <sheet name="報告書" sheetId="3" r:id="rId1"/>
    <sheet name="選別結果" sheetId="1" r:id="rId2"/>
    <sheet name="すり合わせ" sheetId="2" r:id="rId3"/>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1" i="3" l="1"/>
  <c r="J50" i="3"/>
  <c r="J49" i="3"/>
  <c r="J48" i="3"/>
  <c r="J47" i="3"/>
  <c r="J46" i="3"/>
  <c r="J45" i="3"/>
  <c r="J44" i="3"/>
  <c r="M11" i="1" l="1"/>
  <c r="L11" i="1"/>
  <c r="K11" i="1"/>
  <c r="J11" i="1"/>
  <c r="I11" i="1"/>
  <c r="H11" i="1"/>
  <c r="H26" i="3" l="1"/>
  <c r="F8" i="1"/>
  <c r="E8" i="1"/>
  <c r="D8" i="1"/>
  <c r="G8" i="1"/>
  <c r="C27" i="3"/>
  <c r="L7" i="1" l="1"/>
  <c r="K7" i="1"/>
  <c r="J7" i="1"/>
  <c r="I7" i="1"/>
  <c r="H7" i="1"/>
  <c r="M7" i="1" s="1"/>
  <c r="G27" i="3"/>
  <c r="F27" i="3"/>
  <c r="E27" i="3"/>
  <c r="D27" i="3"/>
  <c r="H25" i="3"/>
  <c r="H24" i="3"/>
  <c r="H23" i="3"/>
  <c r="H22" i="3"/>
  <c r="H21" i="3"/>
  <c r="L8" i="1"/>
  <c r="J8" i="1"/>
  <c r="I8" i="1"/>
  <c r="C8" i="1"/>
  <c r="K8" i="1" s="1"/>
  <c r="L6" i="1"/>
  <c r="K6" i="1"/>
  <c r="J6" i="1"/>
  <c r="I6" i="1"/>
  <c r="H6" i="1"/>
  <c r="M6" i="1" s="1"/>
  <c r="H27" i="3" l="1"/>
  <c r="H70" i="3"/>
  <c r="D12" i="2" l="1"/>
  <c r="D11" i="2"/>
  <c r="D10" i="2"/>
  <c r="D9" i="2"/>
  <c r="D8" i="2"/>
  <c r="D7" i="2"/>
  <c r="D6" i="2"/>
  <c r="D5" i="2"/>
  <c r="D4" i="2"/>
  <c r="D3" i="2"/>
  <c r="L5" i="1" l="1"/>
  <c r="K5" i="1"/>
  <c r="J5" i="1"/>
  <c r="I5" i="1"/>
  <c r="H5" i="1"/>
  <c r="M5" i="1" s="1"/>
  <c r="L4" i="1" l="1"/>
  <c r="K4" i="1"/>
  <c r="J4" i="1"/>
  <c r="I4" i="1"/>
  <c r="H4" i="1"/>
  <c r="M4" i="1" s="1"/>
  <c r="L3" i="1"/>
  <c r="K3" i="1"/>
  <c r="J3" i="1"/>
  <c r="I3" i="1"/>
  <c r="H3" i="1"/>
  <c r="M3" i="1" s="1"/>
  <c r="L2" i="1" l="1"/>
  <c r="K2" i="1"/>
  <c r="J2" i="1"/>
  <c r="I2" i="1"/>
  <c r="H2" i="1"/>
  <c r="M2" i="1" l="1"/>
  <c r="H8" i="1"/>
  <c r="M8" i="1" s="1"/>
</calcChain>
</file>

<file path=xl/sharedStrings.xml><?xml version="1.0" encoding="utf-8"?>
<sst xmlns="http://schemas.openxmlformats.org/spreadsheetml/2006/main" count="167" uniqueCount="95">
  <si>
    <t>Lot</t>
    <phoneticPr fontId="3"/>
  </si>
  <si>
    <t>QTY</t>
    <phoneticPr fontId="3"/>
  </si>
  <si>
    <t>Others</t>
    <phoneticPr fontId="3"/>
  </si>
  <si>
    <t>NG total</t>
    <phoneticPr fontId="3"/>
  </si>
  <si>
    <t>YR762BR</t>
    <phoneticPr fontId="3"/>
  </si>
  <si>
    <t>LF86</t>
    <phoneticPr fontId="3"/>
  </si>
  <si>
    <t>Crack</t>
    <phoneticPr fontId="3"/>
  </si>
  <si>
    <t>Deep</t>
    <phoneticPr fontId="3"/>
  </si>
  <si>
    <t>Tear</t>
    <phoneticPr fontId="3"/>
  </si>
  <si>
    <t>Product</t>
    <phoneticPr fontId="3"/>
  </si>
  <si>
    <t>PJ75</t>
    <phoneticPr fontId="3"/>
  </si>
  <si>
    <t>DB63</t>
    <phoneticPr fontId="3"/>
  </si>
  <si>
    <t>MN63</t>
    <phoneticPr fontId="3"/>
  </si>
  <si>
    <t>GM50</t>
    <phoneticPr fontId="3"/>
  </si>
  <si>
    <t>①RIST殿</t>
    <rPh sb="5" eb="6">
      <t>ドノ</t>
    </rPh>
    <phoneticPr fontId="2"/>
  </si>
  <si>
    <t>②MARUWA</t>
    <phoneticPr fontId="2"/>
  </si>
  <si>
    <t>①-②差異</t>
    <rPh sb="3" eb="5">
      <t>サイ</t>
    </rPh>
    <phoneticPr fontId="2"/>
  </si>
  <si>
    <t>R1020KRW WD残り代</t>
    <rPh sb="11" eb="12">
      <t>ノコ</t>
    </rPh>
    <rPh sb="13" eb="14">
      <t>シロ</t>
    </rPh>
    <phoneticPr fontId="2"/>
  </si>
  <si>
    <t>平均差異</t>
    <rPh sb="0" eb="2">
      <t>ヘイキン</t>
    </rPh>
    <rPh sb="2" eb="4">
      <t>サイ</t>
    </rPh>
    <phoneticPr fontId="2"/>
  </si>
  <si>
    <t>報告先</t>
    <rPh sb="0" eb="2">
      <t>ホウコク</t>
    </rPh>
    <rPh sb="2" eb="3">
      <t>サキ</t>
    </rPh>
    <phoneticPr fontId="3"/>
  </si>
  <si>
    <t>小川MD</t>
    <rPh sb="0" eb="2">
      <t>オガワ</t>
    </rPh>
    <phoneticPr fontId="3"/>
  </si>
  <si>
    <t>　出張計画　及び　出張報告書　</t>
    <rPh sb="1" eb="3">
      <t>シュッチョウ</t>
    </rPh>
    <rPh sb="3" eb="5">
      <t>ケイカク</t>
    </rPh>
    <rPh sb="6" eb="7">
      <t>オヨ</t>
    </rPh>
    <rPh sb="9" eb="11">
      <t>シュッチョウ</t>
    </rPh>
    <rPh sb="11" eb="14">
      <t>ホウコクショ</t>
    </rPh>
    <phoneticPr fontId="3"/>
  </si>
  <si>
    <t>写し配付先</t>
    <rPh sb="0" eb="1">
      <t>ウツ</t>
    </rPh>
    <rPh sb="2" eb="4">
      <t>ハイフ</t>
    </rPh>
    <rPh sb="4" eb="5">
      <t>サキ</t>
    </rPh>
    <phoneticPr fontId="3"/>
  </si>
  <si>
    <t>ﾁｯﾌﾟP各位</t>
    <rPh sb="5" eb="7">
      <t>カクイ</t>
    </rPh>
    <phoneticPr fontId="3"/>
  </si>
  <si>
    <t>出張者</t>
    <rPh sb="0" eb="3">
      <t>シュッチョウシャ</t>
    </rPh>
    <phoneticPr fontId="3"/>
  </si>
  <si>
    <t>稲垣</t>
    <rPh sb="0" eb="2">
      <t>イナガキ</t>
    </rPh>
    <phoneticPr fontId="3"/>
  </si>
  <si>
    <t>期間</t>
    <rPh sb="0" eb="2">
      <t>キカン</t>
    </rPh>
    <phoneticPr fontId="3"/>
  </si>
  <si>
    <t>同行者</t>
    <rPh sb="0" eb="3">
      <t>ドウコウシャ</t>
    </rPh>
    <phoneticPr fontId="3"/>
  </si>
  <si>
    <t>添付資料</t>
    <rPh sb="0" eb="2">
      <t>テンプ</t>
    </rPh>
    <rPh sb="2" eb="4">
      <t>シリョウ</t>
    </rPh>
    <phoneticPr fontId="3"/>
  </si>
  <si>
    <t>有</t>
    <rPh sb="0" eb="1">
      <t>ア</t>
    </rPh>
    <phoneticPr fontId="3"/>
  </si>
  <si>
    <t>無</t>
    <rPh sb="0" eb="1">
      <t>ナ</t>
    </rPh>
    <phoneticPr fontId="3"/>
  </si>
  <si>
    <t>出張先</t>
    <rPh sb="0" eb="2">
      <t>シュッチョウ</t>
    </rPh>
    <rPh sb="2" eb="3">
      <t>サキ</t>
    </rPh>
    <phoneticPr fontId="3"/>
  </si>
  <si>
    <t>相手先　　　　面談者</t>
    <rPh sb="0" eb="3">
      <t>アイテサキ</t>
    </rPh>
    <rPh sb="7" eb="9">
      <t>メンダン</t>
    </rPh>
    <rPh sb="9" eb="10">
      <t>シャ</t>
    </rPh>
    <phoneticPr fontId="3"/>
  </si>
  <si>
    <t>出張目的</t>
    <rPh sb="0" eb="2">
      <t>シュッチョウ</t>
    </rPh>
    <rPh sb="2" eb="4">
      <t>モクテキ</t>
    </rPh>
    <phoneticPr fontId="3"/>
  </si>
  <si>
    <t>報告内容</t>
    <rPh sb="0" eb="2">
      <t>ホウコク</t>
    </rPh>
    <rPh sb="2" eb="4">
      <t>ナイヨウ</t>
    </rPh>
    <phoneticPr fontId="3"/>
  </si>
  <si>
    <t>意見/考え</t>
    <rPh sb="0" eb="2">
      <t>イケン</t>
    </rPh>
    <rPh sb="3" eb="4">
      <t>カンガ</t>
    </rPh>
    <phoneticPr fontId="3"/>
  </si>
  <si>
    <t>MARUWA（M)作業者3名</t>
    <rPh sb="9" eb="12">
      <t>サギョウシャ</t>
    </rPh>
    <rPh sb="13" eb="14">
      <t>メイ</t>
    </rPh>
    <phoneticPr fontId="3"/>
  </si>
  <si>
    <t>報告2015年04月03日</t>
    <rPh sb="0" eb="2">
      <t>ホウコク</t>
    </rPh>
    <rPh sb="6" eb="7">
      <t>ネン</t>
    </rPh>
    <rPh sb="9" eb="10">
      <t>ツキ</t>
    </rPh>
    <rPh sb="12" eb="13">
      <t>ヒ</t>
    </rPh>
    <phoneticPr fontId="3"/>
  </si>
  <si>
    <t>2015,03,30～04,03</t>
    <phoneticPr fontId="3"/>
  </si>
  <si>
    <t>RIST</t>
    <phoneticPr fontId="3"/>
  </si>
  <si>
    <t>MCR　大城　プロダクションアドバイザー, MCR　後藤　技術アドバイザー
グループデパートメント　三小田　マネージャー
購買　Ms.Jinda　マネージャー, 購買　Ms.Pimpawee　チーフ
QC　　Ms.Warunee Ms.Natnicha</t>
    <phoneticPr fontId="3"/>
  </si>
  <si>
    <t>YR762BRクラック現地選別作業</t>
    <rPh sb="11" eb="13">
      <t>ゲンチ</t>
    </rPh>
    <rPh sb="13" eb="15">
      <t>センベツ</t>
    </rPh>
    <rPh sb="15" eb="17">
      <t>サギョウ</t>
    </rPh>
    <phoneticPr fontId="2"/>
  </si>
  <si>
    <t>RIST殿への検査方法説明</t>
  </si>
  <si>
    <t>・1枚づつ裏面を検査</t>
  </si>
  <si>
    <t>・検査ライトを使用しているので基板を1枚づつ送る際に光が透過してディープスリットも検出可能です</t>
  </si>
  <si>
    <t>・検査結果NG欄の数字はその他NGも含まれています</t>
  </si>
  <si>
    <t>発生率の差異について</t>
  </si>
  <si>
    <t>RIST殿の受け入れ検査方法</t>
  </si>
  <si>
    <t>1、抜き取り数量　120枚/Lot</t>
  </si>
  <si>
    <t>2、卓上スタンドで目視検査する</t>
  </si>
  <si>
    <t>3、着色はしない</t>
  </si>
  <si>
    <t>4、不明確な基板のみを着色して確認する</t>
  </si>
  <si>
    <t>RIST殿QCより、受け入れ合格して流した製品が製造部から戻ってくる事に対し困惑している苦情を受けました。</t>
  </si>
  <si>
    <t>選別を行っているとバンダル120枚に着色されたものが出て来るのは製造部が再着色クラック検査を行ったものでした。</t>
  </si>
  <si>
    <t>RIST殿QC　＞　-20μm　MARUWAが浅い</t>
  </si>
  <si>
    <t>R1020KRWスリット深さ測定差異について</t>
  </si>
  <si>
    <t>ローム京都殿QCからR1020KRWのスリット測定値にRIST殿QCとMARUWAに相違がある為、双方の測定すり合わせを行う様に</t>
    <phoneticPr fontId="2"/>
  </si>
  <si>
    <t>指示がありました。</t>
    <phoneticPr fontId="2"/>
  </si>
  <si>
    <t>インク浸透が波状やかすれがあった場合の注意点を双方で再確認しましたので今後の動向に注意する様にします。</t>
  </si>
  <si>
    <t>傾向的な差異はありませんでした。（測定値別紙参照）</t>
    <rPh sb="17" eb="19">
      <t>ソクテイ</t>
    </rPh>
    <rPh sb="19" eb="20">
      <t>アタイ</t>
    </rPh>
    <rPh sb="20" eb="22">
      <t>ベッシ</t>
    </rPh>
    <rPh sb="22" eb="24">
      <t>サンショウ</t>
    </rPh>
    <phoneticPr fontId="2"/>
  </si>
  <si>
    <t>R1020KRWの現地選別作業</t>
  </si>
  <si>
    <t>1/23に発生したR1020KRWクラック該当ロット12,000枚が返品処理扱いになっていましたがまだ返品されていませんでしたので</t>
    <phoneticPr fontId="2"/>
  </si>
  <si>
    <t>現地で選別処理を行いました。</t>
    <phoneticPr fontId="2"/>
  </si>
  <si>
    <t>R1020KRW</t>
    <phoneticPr fontId="3"/>
  </si>
  <si>
    <t>再着色によって検出されるクラック</t>
    <rPh sb="0" eb="1">
      <t>サイ</t>
    </rPh>
    <rPh sb="1" eb="3">
      <t>チャクショク</t>
    </rPh>
    <rPh sb="7" eb="9">
      <t>ケンシュツ</t>
    </rPh>
    <phoneticPr fontId="2"/>
  </si>
  <si>
    <t>・着色濃度のアップ</t>
    <rPh sb="1" eb="3">
      <t>チャクショク</t>
    </rPh>
    <rPh sb="3" eb="5">
      <t>ノウド</t>
    </rPh>
    <phoneticPr fontId="2"/>
  </si>
  <si>
    <t>・検査工程以降のクラック発生対策</t>
    <rPh sb="1" eb="3">
      <t>ケンサ</t>
    </rPh>
    <rPh sb="3" eb="5">
      <t>コウテイ</t>
    </rPh>
    <rPh sb="5" eb="7">
      <t>イコウ</t>
    </rPh>
    <rPh sb="12" eb="14">
      <t>ハッセイ</t>
    </rPh>
    <rPh sb="14" eb="16">
      <t>タイサク</t>
    </rPh>
    <phoneticPr fontId="2"/>
  </si>
  <si>
    <t>Total</t>
    <phoneticPr fontId="2"/>
  </si>
  <si>
    <t>4R75</t>
    <phoneticPr fontId="2"/>
  </si>
  <si>
    <t>FG04</t>
    <phoneticPr fontId="2"/>
  </si>
  <si>
    <t>FG04</t>
    <phoneticPr fontId="3"/>
  </si>
  <si>
    <t>500g→検査→洗浄→検査</t>
    <rPh sb="5" eb="7">
      <t>ケンサ</t>
    </rPh>
    <rPh sb="8" eb="10">
      <t>センジョウ</t>
    </rPh>
    <rPh sb="11" eb="13">
      <t>ケンサ</t>
    </rPh>
    <phoneticPr fontId="2"/>
  </si>
  <si>
    <t>着色方法</t>
    <rPh sb="0" eb="2">
      <t>チャクショク</t>
    </rPh>
    <rPh sb="2" eb="4">
      <t>ホウホウ</t>
    </rPh>
    <phoneticPr fontId="2"/>
  </si>
  <si>
    <t>500g→検査</t>
    <rPh sb="5" eb="7">
      <t>ケンサ</t>
    </rPh>
    <phoneticPr fontId="2"/>
  </si>
  <si>
    <t>MN36</t>
    <phoneticPr fontId="2"/>
  </si>
  <si>
    <t>MN63</t>
    <phoneticPr fontId="2"/>
  </si>
  <si>
    <t>RIST</t>
    <phoneticPr fontId="2"/>
  </si>
  <si>
    <t>By off</t>
    <phoneticPr fontId="2"/>
  </si>
  <si>
    <t>再着色</t>
    <rPh sb="0" eb="1">
      <t>サイ</t>
    </rPh>
    <rPh sb="1" eb="3">
      <t>チャクショク</t>
    </rPh>
    <phoneticPr fontId="2"/>
  </si>
  <si>
    <t>有り</t>
    <rPh sb="0" eb="1">
      <t>ア</t>
    </rPh>
    <phoneticPr fontId="2"/>
  </si>
  <si>
    <t>無し</t>
    <rPh sb="0" eb="1">
      <t>ナ</t>
    </rPh>
    <phoneticPr fontId="2"/>
  </si>
  <si>
    <t>抜取数量</t>
    <rPh sb="0" eb="1">
      <t>ヌ</t>
    </rPh>
    <rPh sb="1" eb="2">
      <t>トリ</t>
    </rPh>
    <rPh sb="2" eb="4">
      <t>スウリョウ</t>
    </rPh>
    <phoneticPr fontId="2"/>
  </si>
  <si>
    <t>MARUWA</t>
    <phoneticPr fontId="2"/>
  </si>
  <si>
    <t>RIST殿QCはこの受け入れ検査から再着色を開始されるとの事です。</t>
    <rPh sb="4" eb="5">
      <t>ドノ</t>
    </rPh>
    <rPh sb="10" eb="11">
      <t>ウ</t>
    </rPh>
    <rPh sb="12" eb="13">
      <t>イ</t>
    </rPh>
    <rPh sb="14" eb="16">
      <t>ケンサ</t>
    </rPh>
    <rPh sb="18" eb="19">
      <t>サイ</t>
    </rPh>
    <rPh sb="19" eb="21">
      <t>チャクショク</t>
    </rPh>
    <rPh sb="22" eb="24">
      <t>カイシ</t>
    </rPh>
    <rPh sb="29" eb="30">
      <t>コト</t>
    </rPh>
    <phoneticPr fontId="2"/>
  </si>
  <si>
    <t>GM50</t>
    <phoneticPr fontId="2"/>
  </si>
  <si>
    <t>％</t>
    <phoneticPr fontId="2"/>
  </si>
  <si>
    <t>選別結果と同様に再着色無しではクラックは検出されませんが再着色するとクラックが検出されます。</t>
    <rPh sb="0" eb="2">
      <t>センベツ</t>
    </rPh>
    <rPh sb="2" eb="4">
      <t>ケッカ</t>
    </rPh>
    <rPh sb="5" eb="7">
      <t>ドウヨウ</t>
    </rPh>
    <rPh sb="8" eb="9">
      <t>サイ</t>
    </rPh>
    <rPh sb="9" eb="11">
      <t>チャクショク</t>
    </rPh>
    <rPh sb="11" eb="12">
      <t>ナ</t>
    </rPh>
    <rPh sb="20" eb="22">
      <t>ケンシュツ</t>
    </rPh>
    <rPh sb="28" eb="29">
      <t>サイ</t>
    </rPh>
    <rPh sb="29" eb="31">
      <t>チャクショク</t>
    </rPh>
    <rPh sb="39" eb="41">
      <t>ケンシュツ</t>
    </rPh>
    <phoneticPr fontId="2"/>
  </si>
  <si>
    <t>見えないクラックが検査漏れしているのではなく、着色後工程でクラックが発生しているものと考えられます。</t>
    <rPh sb="0" eb="1">
      <t>ミ</t>
    </rPh>
    <rPh sb="9" eb="11">
      <t>ケンサ</t>
    </rPh>
    <rPh sb="11" eb="12">
      <t>モ</t>
    </rPh>
    <rPh sb="23" eb="25">
      <t>チャクショク</t>
    </rPh>
    <rPh sb="25" eb="26">
      <t>ゴ</t>
    </rPh>
    <rPh sb="26" eb="28">
      <t>コウテイ</t>
    </rPh>
    <rPh sb="34" eb="36">
      <t>ハッセイ</t>
    </rPh>
    <rPh sb="43" eb="44">
      <t>カンガ</t>
    </rPh>
    <phoneticPr fontId="2"/>
  </si>
  <si>
    <t>現地選別</t>
    <rPh sb="0" eb="2">
      <t>ゲンチ</t>
    </rPh>
    <rPh sb="2" eb="4">
      <t>センベツ</t>
    </rPh>
    <phoneticPr fontId="2"/>
  </si>
  <si>
    <t>ID524 808</t>
    <phoneticPr fontId="2"/>
  </si>
  <si>
    <t>Re color</t>
    <phoneticPr fontId="2"/>
  </si>
  <si>
    <t>着色工程以降のクラック発生要因を確認します。</t>
    <rPh sb="0" eb="2">
      <t>チャクショク</t>
    </rPh>
    <rPh sb="2" eb="4">
      <t>コウテイ</t>
    </rPh>
    <rPh sb="4" eb="6">
      <t>イコウ</t>
    </rPh>
    <rPh sb="11" eb="13">
      <t>ハッセイ</t>
    </rPh>
    <rPh sb="13" eb="15">
      <t>ヨウイン</t>
    </rPh>
    <rPh sb="16" eb="18">
      <t>カクニン</t>
    </rPh>
    <phoneticPr fontId="2"/>
  </si>
  <si>
    <t>着色変更品の現地受け入れ検査</t>
    <phoneticPr fontId="2"/>
  </si>
  <si>
    <t>着色濃度を濃くする件については今まで見えなかったクラックの流出低減効果があると思われます。</t>
    <rPh sb="0" eb="2">
      <t>チャクショク</t>
    </rPh>
    <rPh sb="2" eb="4">
      <t>ノウド</t>
    </rPh>
    <rPh sb="5" eb="6">
      <t>コ</t>
    </rPh>
    <rPh sb="9" eb="10">
      <t>ケン</t>
    </rPh>
    <rPh sb="15" eb="16">
      <t>イマ</t>
    </rPh>
    <rPh sb="18" eb="19">
      <t>ミ</t>
    </rPh>
    <rPh sb="29" eb="31">
      <t>リュウシュツ</t>
    </rPh>
    <rPh sb="31" eb="33">
      <t>テイゲン</t>
    </rPh>
    <rPh sb="33" eb="35">
      <t>コウカ</t>
    </rPh>
    <rPh sb="39" eb="40">
      <t>オモ</t>
    </rPh>
    <phoneticPr fontId="2"/>
  </si>
  <si>
    <t>変更する場合はローム京都に変更申請を行ってほしいとの事でした。</t>
    <rPh sb="0" eb="2">
      <t>ヘンコウ</t>
    </rPh>
    <rPh sb="4" eb="6">
      <t>バアイ</t>
    </rPh>
    <rPh sb="10" eb="12">
      <t>キョウト</t>
    </rPh>
    <rPh sb="13" eb="15">
      <t>ヘンコウ</t>
    </rPh>
    <rPh sb="15" eb="17">
      <t>シンセイ</t>
    </rPh>
    <rPh sb="18" eb="19">
      <t>オコナ</t>
    </rPh>
    <rPh sb="26" eb="27">
      <t>コト</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</si>
</sst>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
  </numFmts>
  <fonts count="12">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color theme="1"/>
      <name val="ＭＳ Ｐゴシック"/>
      <family val="3"/>
      <charset val="128"/>
      <scheme val="major"/>
    </font>
    <font>
      <sz val="11"/>
      <name val="ＭＳ Ｐゴシック"/>
      <family val="3"/>
      <charset val="128"/>
    </font>
    <font>
      <sz val="12"/>
      <name val="ＭＳ Ｐゴシック"/>
      <family val="3"/>
      <charset val="128"/>
    </font>
    <font>
      <sz val="14"/>
      <name val="ＭＳ Ｐゴシック"/>
      <family val="3"/>
      <charset val="128"/>
    </font>
    <font>
      <b/>
      <u val="double"/>
      <sz val="20"/>
      <name val="ＭＳ Ｐゴシック"/>
      <family val="3"/>
      <charset val="128"/>
    </font>
    <font>
      <sz val="10"/>
      <name val="ＭＳ Ｐゴシック"/>
      <family val="3"/>
      <charset val="128"/>
    </font>
    <font>
      <sz val="18"/>
      <name val="ＭＳ Ｐゴシック"/>
      <family val="3"/>
      <charset val="128"/>
    </font>
    <font>
      <sz val="11"/>
      <color rgb="FF000000"/>
      <name val="ＭＳ Ｐゴシック"/>
      <family val="3"/>
      <charset val="128"/>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s>
  <cellStyleXfs count="3">
    <xf numFmtId="0" fontId="0" fillId="0" borderId="0">
      <alignment vertical="center"/>
    </xf>
    <xf numFmtId="9" fontId="1" fillId="0" borderId="0" applyFont="0" applyFill="0" applyBorder="0" applyAlignment="0" applyProtection="0">
      <alignment vertical="center"/>
    </xf>
    <xf numFmtId="38" fontId="1" fillId="0" borderId="0" applyFont="0" applyFill="0" applyBorder="0" applyAlignment="0" applyProtection="0">
      <alignment vertical="center"/>
    </xf>
  </cellStyleXfs>
  <cellXfs count="94">
    <xf numFmtId="0" fontId="0" fillId="0" borderId="0" xfId="0">
      <alignment vertical="center"/>
    </xf>
    <xf numFmtId="0" fontId="0" fillId="0" borderId="1" xfId="0" applyFill="1" applyBorder="1">
      <alignment vertical="center"/>
    </xf>
    <xf numFmtId="0" fontId="0" fillId="0" borderId="1" xfId="0" applyBorder="1">
      <alignment vertical="center"/>
    </xf>
    <xf numFmtId="0" fontId="4" fillId="0" borderId="1" xfId="0" applyFont="1" applyFill="1" applyBorder="1">
      <alignment vertical="center"/>
    </xf>
    <xf numFmtId="0" fontId="5" fillId="0" borderId="1" xfId="0" applyFont="1" applyBorder="1" applyAlignment="1"/>
    <xf numFmtId="10" fontId="0" fillId="0" borderId="1" xfId="1" applyNumberFormat="1" applyFont="1" applyBorder="1">
      <alignment vertical="center"/>
    </xf>
    <xf numFmtId="0" fontId="5" fillId="0" borderId="1" xfId="0" applyFont="1" applyFill="1" applyBorder="1" applyAlignment="1"/>
    <xf numFmtId="10" fontId="0" fillId="0" borderId="1" xfId="1" applyNumberFormat="1" applyFont="1" applyFill="1" applyBorder="1">
      <alignment vertical="center"/>
    </xf>
    <xf numFmtId="176" fontId="0" fillId="0" borderId="1" xfId="0" applyNumberFormat="1" applyFill="1" applyBorder="1">
      <alignment vertical="center"/>
    </xf>
    <xf numFmtId="0" fontId="0" fillId="0" borderId="0" xfId="0" applyAlignment="1">
      <alignment vertical="center"/>
    </xf>
    <xf numFmtId="0" fontId="0" fillId="0" borderId="0" xfId="0" applyBorder="1" applyAlignment="1">
      <alignment vertical="center"/>
    </xf>
    <xf numFmtId="0" fontId="8" fillId="0" borderId="0" xfId="0" applyFont="1" applyBorder="1" applyAlignment="1">
      <alignment vertical="center"/>
    </xf>
    <xf numFmtId="0" fontId="8" fillId="0" borderId="0" xfId="0" quotePrefix="1" applyFont="1" applyAlignment="1">
      <alignment vertical="center"/>
    </xf>
    <xf numFmtId="0" fontId="8" fillId="0" borderId="0" xfId="0" applyFont="1" applyAlignment="1">
      <alignment vertical="center"/>
    </xf>
    <xf numFmtId="0" fontId="0" fillId="0" borderId="0" xfId="0" applyFill="1" applyBorder="1" applyAlignment="1">
      <alignment vertical="center"/>
    </xf>
    <xf numFmtId="0" fontId="10" fillId="0" borderId="0" xfId="0" applyFont="1" applyFill="1" applyBorder="1" applyAlignment="1">
      <alignment vertical="center" shrinkToFit="1"/>
    </xf>
    <xf numFmtId="0" fontId="0" fillId="0" borderId="2" xfId="0" applyBorder="1" applyAlignment="1">
      <alignment vertical="center"/>
    </xf>
    <xf numFmtId="0" fontId="7" fillId="0" borderId="0" xfId="0" applyFont="1" applyFill="1"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4" xfId="0" applyFont="1" applyBorder="1" applyAlignment="1">
      <alignment vertical="center"/>
    </xf>
    <xf numFmtId="0" fontId="0" fillId="0" borderId="0" xfId="0" applyBorder="1" applyAlignment="1">
      <alignment horizontal="center" vertical="center"/>
    </xf>
    <xf numFmtId="0" fontId="0" fillId="0" borderId="0" xfId="0" applyFill="1" applyBorder="1" applyAlignment="1">
      <alignment horizontal="center" vertical="center"/>
    </xf>
    <xf numFmtId="38" fontId="0" fillId="0" borderId="0" xfId="2" applyFont="1" applyBorder="1" applyAlignment="1">
      <alignment horizontal="center" vertical="center"/>
    </xf>
    <xf numFmtId="0" fontId="0" fillId="0" borderId="1" xfId="0" applyBorder="1" applyAlignment="1">
      <alignment vertical="center"/>
    </xf>
    <xf numFmtId="0" fontId="11" fillId="0" borderId="0" xfId="0" applyFont="1">
      <alignment vertical="center"/>
    </xf>
    <xf numFmtId="0" fontId="11" fillId="0" borderId="0" xfId="0" applyFont="1" applyAlignment="1">
      <alignment horizontal="left" vertical="center" indent="1"/>
    </xf>
    <xf numFmtId="0" fontId="11" fillId="0" borderId="6" xfId="0" applyFont="1" applyBorder="1">
      <alignment vertical="center"/>
    </xf>
    <xf numFmtId="0" fontId="11" fillId="0" borderId="6" xfId="0" applyFont="1" applyBorder="1" applyAlignment="1">
      <alignment horizontal="left" vertical="center" indent="1"/>
    </xf>
    <xf numFmtId="0" fontId="0" fillId="0" borderId="0" xfId="0" applyAlignment="1">
      <alignment horizontal="left" vertical="center" indent="1"/>
    </xf>
    <xf numFmtId="0" fontId="0" fillId="0" borderId="10" xfId="0" applyBorder="1" applyAlignment="1">
      <alignment vertical="center"/>
    </xf>
    <xf numFmtId="0" fontId="0" fillId="0" borderId="11" xfId="0" applyBorder="1" applyAlignment="1">
      <alignment vertical="center"/>
    </xf>
    <xf numFmtId="38" fontId="4" fillId="0" borderId="1" xfId="2" applyFont="1" applyFill="1" applyBorder="1">
      <alignment vertical="center"/>
    </xf>
    <xf numFmtId="38" fontId="0" fillId="0" borderId="1" xfId="2" applyFont="1" applyBorder="1">
      <alignment vertical="center"/>
    </xf>
    <xf numFmtId="0" fontId="0" fillId="0" borderId="0" xfId="0" applyFill="1" applyBorder="1">
      <alignment vertical="center"/>
    </xf>
    <xf numFmtId="0" fontId="0" fillId="0" borderId="1" xfId="0" applyFill="1" applyBorder="1" applyAlignment="1">
      <alignment vertical="center"/>
    </xf>
    <xf numFmtId="0" fontId="0" fillId="0" borderId="13" xfId="0" applyFill="1" applyBorder="1">
      <alignment vertical="center"/>
    </xf>
    <xf numFmtId="0" fontId="4" fillId="0" borderId="13" xfId="0" applyFont="1" applyFill="1" applyBorder="1">
      <alignment vertical="center"/>
    </xf>
    <xf numFmtId="0" fontId="0" fillId="0" borderId="13" xfId="0" applyBorder="1" applyAlignment="1">
      <alignment vertical="center"/>
    </xf>
    <xf numFmtId="0" fontId="0" fillId="0" borderId="12" xfId="0" applyBorder="1" applyAlignment="1">
      <alignment vertical="center"/>
    </xf>
    <xf numFmtId="0" fontId="0" fillId="0" borderId="14" xfId="0" applyFill="1" applyBorder="1">
      <alignment vertical="center"/>
    </xf>
    <xf numFmtId="0" fontId="0" fillId="0" borderId="15" xfId="0" applyBorder="1" applyAlignment="1">
      <alignment vertical="center"/>
    </xf>
    <xf numFmtId="0" fontId="0" fillId="0" borderId="5" xfId="0" applyBorder="1" applyAlignment="1">
      <alignment vertical="center"/>
    </xf>
    <xf numFmtId="0" fontId="0" fillId="0" borderId="15" xfId="0" applyFill="1" applyBorder="1">
      <alignment vertical="center"/>
    </xf>
    <xf numFmtId="0" fontId="4" fillId="0" borderId="15" xfId="0" applyFont="1" applyFill="1" applyBorder="1">
      <alignment vertical="center"/>
    </xf>
    <xf numFmtId="10" fontId="0" fillId="0" borderId="1" xfId="1" applyNumberFormat="1" applyFont="1" applyBorder="1" applyAlignment="1">
      <alignment vertical="center"/>
    </xf>
    <xf numFmtId="10" fontId="0" fillId="0" borderId="13" xfId="1" applyNumberFormat="1" applyFont="1" applyBorder="1" applyAlignment="1">
      <alignment vertical="center"/>
    </xf>
    <xf numFmtId="10" fontId="0" fillId="0" borderId="12" xfId="1" applyNumberFormat="1" applyFont="1" applyBorder="1" applyAlignment="1">
      <alignment vertical="center"/>
    </xf>
    <xf numFmtId="0" fontId="5" fillId="0" borderId="13" xfId="0" applyFont="1" applyBorder="1" applyAlignment="1"/>
    <xf numFmtId="0" fontId="0" fillId="0" borderId="17" xfId="0" applyBorder="1" applyAlignment="1">
      <alignment vertical="center"/>
    </xf>
    <xf numFmtId="0" fontId="0" fillId="0" borderId="18" xfId="0" applyBorder="1" applyAlignment="1">
      <alignment vertical="center"/>
    </xf>
    <xf numFmtId="0" fontId="0" fillId="0" borderId="16" xfId="0" applyBorder="1" applyAlignment="1">
      <alignment vertical="center"/>
    </xf>
    <xf numFmtId="0" fontId="6" fillId="0" borderId="0" xfId="0" applyFont="1" applyBorder="1" applyAlignment="1">
      <alignment horizontal="center"/>
    </xf>
    <xf numFmtId="0" fontId="6" fillId="0" borderId="2" xfId="0" applyFont="1" applyBorder="1" applyAlignment="1">
      <alignment horizontal="center"/>
    </xf>
    <xf numFmtId="0" fontId="0" fillId="0" borderId="0" xfId="0" applyBorder="1" applyAlignment="1">
      <alignment horizontal="center" vertical="center"/>
    </xf>
    <xf numFmtId="0" fontId="0" fillId="0" borderId="2" xfId="0" applyBorder="1" applyAlignment="1">
      <alignment horizontal="center" vertical="center"/>
    </xf>
    <xf numFmtId="0" fontId="7" fillId="0" borderId="0" xfId="0" quotePrefix="1" applyFont="1" applyFill="1" applyBorder="1" applyAlignment="1">
      <alignment horizontal="center" vertical="center" shrinkToFit="1"/>
    </xf>
    <xf numFmtId="0" fontId="8" fillId="0" borderId="0" xfId="0" quotePrefix="1" applyFont="1" applyAlignment="1">
      <alignment horizontal="center" vertical="center"/>
    </xf>
    <xf numFmtId="0" fontId="9" fillId="0" borderId="0" xfId="0" quotePrefix="1" applyFont="1" applyFill="1" applyBorder="1" applyAlignment="1">
      <alignment horizontal="center" vertical="center"/>
    </xf>
    <xf numFmtId="0" fontId="9" fillId="0" borderId="2" xfId="0" quotePrefix="1" applyFont="1" applyFill="1" applyBorder="1" applyAlignment="1">
      <alignment horizontal="center" vertical="center"/>
    </xf>
    <xf numFmtId="0" fontId="7" fillId="0" borderId="0" xfId="0" applyFont="1" applyFill="1" applyBorder="1" applyAlignment="1">
      <alignment vertical="center"/>
    </xf>
    <xf numFmtId="0" fontId="7" fillId="0" borderId="2" xfId="0" applyFont="1" applyFill="1" applyBorder="1" applyAlignment="1">
      <alignment vertical="center"/>
    </xf>
    <xf numFmtId="0" fontId="7" fillId="0" borderId="0" xfId="0" applyFont="1" applyFill="1" applyBorder="1" applyAlignment="1">
      <alignment horizontal="center" vertical="center"/>
    </xf>
    <xf numFmtId="0" fontId="7" fillId="0"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7" fillId="0" borderId="3" xfId="0" applyFont="1" applyFill="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4" xfId="0" quotePrefix="1" applyBorder="1" applyAlignment="1">
      <alignment horizontal="center" vertical="center" wrapText="1"/>
    </xf>
    <xf numFmtId="0" fontId="0" fillId="0" borderId="6" xfId="0" quotePrefix="1" applyBorder="1" applyAlignment="1">
      <alignment horizontal="center" vertical="center" wrapText="1"/>
    </xf>
    <xf numFmtId="0" fontId="0" fillId="0" borderId="8" xfId="0" quotePrefix="1" applyBorder="1" applyAlignment="1">
      <alignment horizontal="center" vertical="center" wrapText="1"/>
    </xf>
    <xf numFmtId="0" fontId="0" fillId="0" borderId="4" xfId="0" applyBorder="1" applyAlignment="1">
      <alignment vertical="center" wrapText="1" shrinkToFit="1"/>
    </xf>
    <xf numFmtId="0" fontId="0" fillId="0" borderId="3" xfId="0" applyBorder="1" applyAlignment="1">
      <alignment vertical="center" wrapText="1" shrinkToFit="1"/>
    </xf>
    <xf numFmtId="0" fontId="0" fillId="0" borderId="5" xfId="0" applyBorder="1" applyAlignment="1">
      <alignment vertical="center" wrapText="1" shrinkToFit="1"/>
    </xf>
    <xf numFmtId="0" fontId="0" fillId="0" borderId="6" xfId="0" applyBorder="1" applyAlignment="1">
      <alignment vertical="center" wrapText="1" shrinkToFit="1"/>
    </xf>
    <xf numFmtId="0" fontId="0" fillId="0" borderId="0" xfId="0" applyBorder="1" applyAlignment="1">
      <alignment vertical="center" wrapText="1" shrinkToFit="1"/>
    </xf>
    <xf numFmtId="0" fontId="0" fillId="0" borderId="7" xfId="0" applyBorder="1" applyAlignment="1">
      <alignment vertical="center" wrapText="1" shrinkToFit="1"/>
    </xf>
    <xf numFmtId="0" fontId="0" fillId="0" borderId="8" xfId="0" applyBorder="1" applyAlignment="1">
      <alignment vertical="center" wrapText="1" shrinkToFit="1"/>
    </xf>
    <xf numFmtId="0" fontId="0" fillId="0" borderId="2" xfId="0" applyBorder="1" applyAlignment="1">
      <alignment vertical="center" wrapText="1" shrinkToFit="1"/>
    </xf>
    <xf numFmtId="0" fontId="0" fillId="0" borderId="9" xfId="0" applyBorder="1" applyAlignment="1">
      <alignment vertical="center" wrapText="1" shrinkToFit="1"/>
    </xf>
    <xf numFmtId="0" fontId="0" fillId="0" borderId="1" xfId="0" quotePrefix="1" applyBorder="1" applyAlignment="1">
      <alignment horizontal="center" vertical="center"/>
    </xf>
    <xf numFmtId="0" fontId="6" fillId="0" borderId="3" xfId="0" applyFont="1" applyFill="1" applyBorder="1" applyAlignment="1">
      <alignment horizontal="center" vertical="center"/>
    </xf>
    <xf numFmtId="0" fontId="6" fillId="0" borderId="2" xfId="0" applyFont="1" applyFill="1" applyBorder="1" applyAlignment="1">
      <alignment horizontal="center" vertical="center"/>
    </xf>
    <xf numFmtId="0" fontId="0" fillId="0" borderId="3" xfId="0" applyFill="1" applyBorder="1" applyAlignment="1">
      <alignment horizontal="center" vertical="center"/>
    </xf>
  </cellXfs>
  <cellStyles count="3">
    <cellStyle name="パーセント" xfId="1" builtinId="5"/>
    <cellStyle name="桁区切り" xfId="2"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47625</xdr:colOff>
      <xdr:row>12</xdr:row>
      <xdr:rowOff>57150</xdr:rowOff>
    </xdr:from>
    <xdr:to>
      <xdr:col>11</xdr:col>
      <xdr:colOff>590550</xdr:colOff>
      <xdr:row>17</xdr:row>
      <xdr:rowOff>114300</xdr:rowOff>
    </xdr:to>
    <xdr:sp macro="" textlink="">
      <xdr:nvSpPr>
        <xdr:cNvPr id="2" name="AutoShape 1"/>
        <xdr:cNvSpPr>
          <a:spLocks noChangeArrowheads="1"/>
        </xdr:cNvSpPr>
      </xdr:nvSpPr>
      <xdr:spPr bwMode="auto">
        <a:xfrm>
          <a:off x="6219825" y="2219325"/>
          <a:ext cx="1914525" cy="914400"/>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報告の注意点！！</a:t>
          </a:r>
        </a:p>
        <a:p>
          <a:pPr algn="l" rtl="0">
            <a:defRPr sz="1000"/>
          </a:pPr>
          <a:r>
            <a:rPr lang="ja-JP" altLang="en-US" sz="800" b="0" i="0" u="none" strike="noStrike" baseline="0">
              <a:solidFill>
                <a:srgbClr val="000000"/>
              </a:solidFill>
              <a:latin typeface="ＭＳ Ｐゴシック"/>
              <a:ea typeface="ＭＳ Ｐゴシック"/>
            </a:rPr>
            <a:t>　1.　悪い報告から先に</a:t>
          </a:r>
        </a:p>
        <a:p>
          <a:pPr algn="l" rtl="0">
            <a:defRPr sz="1000"/>
          </a:pPr>
          <a:r>
            <a:rPr lang="ja-JP" altLang="en-US" sz="800" b="0" i="0" u="none" strike="noStrike" baseline="0">
              <a:solidFill>
                <a:srgbClr val="000000"/>
              </a:solidFill>
              <a:latin typeface="ＭＳ Ｐゴシック"/>
              <a:ea typeface="ＭＳ Ｐゴシック"/>
            </a:rPr>
            <a:t>　2.　事実を</a:t>
          </a:r>
        </a:p>
        <a:p>
          <a:pPr algn="l" rtl="0">
            <a:defRPr sz="1000"/>
          </a:pPr>
          <a:r>
            <a:rPr lang="ja-JP" altLang="en-US" sz="800" b="0" i="0" u="none" strike="noStrike" baseline="0">
              <a:solidFill>
                <a:srgbClr val="000000"/>
              </a:solidFill>
              <a:latin typeface="ＭＳ Ｐゴシック"/>
              <a:ea typeface="ＭＳ Ｐゴシック"/>
            </a:rPr>
            <a:t>　3.　結論から</a:t>
          </a:r>
        </a:p>
        <a:p>
          <a:pPr algn="l" rtl="0">
            <a:defRPr sz="1000"/>
          </a:pPr>
          <a:r>
            <a:rPr lang="ja-JP" altLang="en-US" sz="800" b="0" i="0" u="none" strike="noStrike" baseline="0">
              <a:solidFill>
                <a:srgbClr val="000000"/>
              </a:solidFill>
              <a:latin typeface="ＭＳ Ｐゴシック"/>
              <a:ea typeface="ＭＳ Ｐゴシック"/>
            </a:rPr>
            <a:t>　4.　簡潔明瞭に具体的に</a:t>
          </a:r>
        </a:p>
        <a:p>
          <a:pPr algn="l" rtl="0">
            <a:defRPr sz="1000"/>
          </a:pPr>
          <a:r>
            <a:rPr lang="ja-JP" altLang="en-US" sz="800" b="0" i="0" u="none" strike="noStrike" baseline="0">
              <a:solidFill>
                <a:srgbClr val="000000"/>
              </a:solidFill>
              <a:latin typeface="ＭＳ Ｐゴシック"/>
              <a:ea typeface="ＭＳ Ｐゴシック"/>
            </a:rPr>
            <a:t>　5.　そして最後に自分の考えを言う</a:t>
          </a:r>
        </a:p>
      </xdr:txBody>
    </xdr:sp>
    <xdr:clientData/>
  </xdr:twoCellAnchor>
  <xdr:twoCellAnchor>
    <xdr:from>
      <xdr:col>10</xdr:col>
      <xdr:colOff>209550</xdr:colOff>
      <xdr:row>6</xdr:row>
      <xdr:rowOff>85725</xdr:rowOff>
    </xdr:from>
    <xdr:to>
      <xdr:col>10</xdr:col>
      <xdr:colOff>495300</xdr:colOff>
      <xdr:row>7</xdr:row>
      <xdr:rowOff>152400</xdr:rowOff>
    </xdr:to>
    <xdr:sp macro="" textlink="">
      <xdr:nvSpPr>
        <xdr:cNvPr id="3" name="Oval 2"/>
        <xdr:cNvSpPr>
          <a:spLocks noChangeArrowheads="1"/>
        </xdr:cNvSpPr>
      </xdr:nvSpPr>
      <xdr:spPr bwMode="auto">
        <a:xfrm>
          <a:off x="7067550" y="1171575"/>
          <a:ext cx="285750" cy="24765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75"/>
  <sheetViews>
    <sheetView tabSelected="1" workbookViewId="0">
      <selection sqref="A1:A2"/>
    </sheetView>
  </sheetViews>
  <sheetFormatPr defaultRowHeight="13.5"/>
  <cols>
    <col min="1" max="1" width="9.625" style="9" customWidth="1"/>
    <col min="2" max="2" width="10.125" style="9" customWidth="1"/>
    <col min="3" max="3" width="11.25" style="9" customWidth="1"/>
    <col min="4" max="16384" width="9" style="9"/>
  </cols>
  <sheetData>
    <row r="1" spans="1:12" ht="14.25" customHeight="1">
      <c r="A1" s="56" t="s">
        <v>19</v>
      </c>
      <c r="B1" s="58" t="s">
        <v>20</v>
      </c>
      <c r="C1" s="58"/>
      <c r="J1" s="60" t="s">
        <v>37</v>
      </c>
      <c r="K1" s="60"/>
      <c r="L1" s="60"/>
    </row>
    <row r="2" spans="1:12" ht="14.25" customHeight="1">
      <c r="A2" s="57"/>
      <c r="B2" s="59"/>
      <c r="C2" s="59"/>
      <c r="D2" s="61" t="s">
        <v>21</v>
      </c>
      <c r="E2" s="61"/>
      <c r="F2" s="61"/>
      <c r="G2" s="61"/>
      <c r="H2" s="61"/>
      <c r="I2" s="61"/>
      <c r="J2" s="60"/>
      <c r="K2" s="60"/>
      <c r="L2" s="60"/>
    </row>
    <row r="3" spans="1:12" ht="14.25" customHeight="1">
      <c r="A3" s="10"/>
      <c r="B3" s="11"/>
      <c r="C3" s="12"/>
      <c r="D3" s="61"/>
      <c r="E3" s="61"/>
      <c r="F3" s="61"/>
      <c r="G3" s="61"/>
      <c r="H3" s="61"/>
      <c r="I3" s="61"/>
      <c r="J3" s="13"/>
      <c r="K3" s="13"/>
      <c r="L3" s="13"/>
    </row>
    <row r="4" spans="1:12" ht="14.25" customHeight="1">
      <c r="A4" s="11"/>
      <c r="B4" s="11"/>
      <c r="D4" s="13"/>
      <c r="E4" s="13"/>
      <c r="F4" s="13"/>
      <c r="G4" s="13"/>
      <c r="H4" s="13"/>
      <c r="I4" s="13"/>
      <c r="K4" s="13"/>
      <c r="L4" s="13"/>
    </row>
    <row r="5" spans="1:12" ht="14.25" customHeight="1">
      <c r="A5" s="62" t="s">
        <v>22</v>
      </c>
      <c r="B5" s="64" t="s">
        <v>23</v>
      </c>
      <c r="C5" s="64"/>
      <c r="D5" s="66" t="s">
        <v>24</v>
      </c>
      <c r="E5" s="58" t="s">
        <v>25</v>
      </c>
      <c r="F5" s="58"/>
      <c r="G5" s="58"/>
      <c r="H5" s="14"/>
      <c r="I5" s="68" t="s">
        <v>26</v>
      </c>
      <c r="J5" s="68" t="s">
        <v>38</v>
      </c>
      <c r="K5" s="68"/>
      <c r="L5" s="68"/>
    </row>
    <row r="6" spans="1:12" ht="14.25" customHeight="1">
      <c r="A6" s="63"/>
      <c r="B6" s="65"/>
      <c r="C6" s="65"/>
      <c r="D6" s="67"/>
      <c r="E6" s="59"/>
      <c r="F6" s="59"/>
      <c r="G6" s="59"/>
      <c r="H6" s="14"/>
      <c r="I6" s="69"/>
      <c r="J6" s="69"/>
      <c r="K6" s="69"/>
      <c r="L6" s="69"/>
    </row>
    <row r="7" spans="1:12" ht="14.25" customHeight="1">
      <c r="A7" s="15"/>
      <c r="B7" s="15"/>
      <c r="D7" s="91" t="s">
        <v>27</v>
      </c>
      <c r="E7" s="93" t="s">
        <v>36</v>
      </c>
      <c r="F7" s="93"/>
      <c r="G7" s="93"/>
      <c r="I7" s="91" t="s">
        <v>28</v>
      </c>
      <c r="J7" s="70" t="s">
        <v>29</v>
      </c>
      <c r="K7" s="70" t="s">
        <v>30</v>
      </c>
    </row>
    <row r="8" spans="1:12" ht="14.25" customHeight="1">
      <c r="A8" s="15"/>
      <c r="B8" s="15"/>
      <c r="D8" s="92"/>
      <c r="E8" s="69"/>
      <c r="F8" s="69"/>
      <c r="G8" s="69"/>
      <c r="I8" s="92"/>
      <c r="J8" s="67"/>
      <c r="K8" s="67"/>
      <c r="L8" s="16"/>
    </row>
    <row r="9" spans="1:12" ht="15" customHeight="1">
      <c r="A9" s="10"/>
      <c r="B9" s="10"/>
      <c r="C9" s="10"/>
      <c r="D9" s="10"/>
      <c r="E9" s="10"/>
      <c r="F9" s="10"/>
      <c r="G9" s="10"/>
      <c r="H9" s="10"/>
      <c r="I9" s="17"/>
      <c r="J9" s="17"/>
      <c r="K9" s="17"/>
      <c r="L9" s="10"/>
    </row>
    <row r="10" spans="1:12" ht="14.25" customHeight="1">
      <c r="A10" s="71" t="s">
        <v>31</v>
      </c>
      <c r="B10" s="74" t="s">
        <v>39</v>
      </c>
      <c r="C10" s="75"/>
      <c r="D10" s="78" t="s">
        <v>32</v>
      </c>
      <c r="E10" s="81" t="s">
        <v>40</v>
      </c>
      <c r="F10" s="82"/>
      <c r="G10" s="82"/>
      <c r="H10" s="82"/>
      <c r="I10" s="82"/>
      <c r="J10" s="82"/>
      <c r="K10" s="82"/>
      <c r="L10" s="83"/>
    </row>
    <row r="11" spans="1:12">
      <c r="A11" s="72"/>
      <c r="B11" s="72"/>
      <c r="C11" s="76"/>
      <c r="D11" s="79"/>
      <c r="E11" s="84"/>
      <c r="F11" s="85"/>
      <c r="G11" s="85"/>
      <c r="H11" s="85"/>
      <c r="I11" s="85"/>
      <c r="J11" s="85"/>
      <c r="K11" s="85"/>
      <c r="L11" s="86"/>
    </row>
    <row r="12" spans="1:12" ht="26.25" customHeight="1">
      <c r="A12" s="73"/>
      <c r="B12" s="73"/>
      <c r="C12" s="77"/>
      <c r="D12" s="80"/>
      <c r="E12" s="87"/>
      <c r="F12" s="88"/>
      <c r="G12" s="88"/>
      <c r="H12" s="88"/>
      <c r="I12" s="88"/>
      <c r="J12" s="88"/>
      <c r="K12" s="88"/>
      <c r="L12" s="89"/>
    </row>
    <row r="13" spans="1:12">
      <c r="A13" s="18" t="s">
        <v>33</v>
      </c>
      <c r="B13" s="19"/>
      <c r="C13" s="10"/>
      <c r="D13" s="10"/>
      <c r="E13" s="10"/>
      <c r="F13" s="10"/>
      <c r="G13" s="10"/>
      <c r="H13" s="10"/>
      <c r="I13" s="10"/>
      <c r="J13" s="10"/>
      <c r="K13" s="10"/>
      <c r="L13" s="20"/>
    </row>
    <row r="14" spans="1:12">
      <c r="A14" s="21"/>
      <c r="B14" s="10"/>
      <c r="C14" s="10"/>
      <c r="D14" s="10"/>
      <c r="E14" s="10"/>
      <c r="F14" s="10"/>
      <c r="G14" s="10"/>
      <c r="H14" s="10"/>
      <c r="I14" s="10"/>
      <c r="J14" s="10"/>
      <c r="K14" s="10"/>
      <c r="L14" s="20"/>
    </row>
    <row r="15" spans="1:12">
      <c r="A15" s="21" t="s">
        <v>41</v>
      </c>
      <c r="B15" s="10"/>
      <c r="C15" s="10"/>
      <c r="D15" s="10"/>
      <c r="E15" s="10"/>
      <c r="F15" s="10"/>
      <c r="G15" s="10"/>
      <c r="H15" s="10"/>
      <c r="I15" s="10"/>
      <c r="J15" s="10"/>
      <c r="K15" s="10"/>
      <c r="L15" s="20"/>
    </row>
    <row r="16" spans="1:12">
      <c r="A16" s="21"/>
      <c r="B16" s="10"/>
      <c r="C16" s="10"/>
      <c r="D16" s="10"/>
      <c r="E16" s="10"/>
      <c r="F16" s="10"/>
      <c r="G16" s="10"/>
      <c r="H16" s="10"/>
      <c r="I16" s="10"/>
      <c r="J16" s="10"/>
      <c r="K16" s="10"/>
      <c r="L16" s="20"/>
    </row>
    <row r="17" spans="1:12">
      <c r="A17" s="21"/>
      <c r="B17" s="10"/>
      <c r="C17" s="10"/>
      <c r="D17" s="10"/>
      <c r="E17" s="10"/>
      <c r="F17" s="10"/>
      <c r="G17" s="10"/>
      <c r="H17" s="10"/>
      <c r="I17" s="10"/>
      <c r="J17" s="10"/>
      <c r="K17" s="10"/>
      <c r="L17" s="20"/>
    </row>
    <row r="18" spans="1:12">
      <c r="A18" s="22"/>
      <c r="B18" s="16"/>
      <c r="C18" s="16"/>
      <c r="D18" s="16"/>
      <c r="E18" s="16"/>
      <c r="F18" s="16"/>
      <c r="G18" s="16"/>
      <c r="H18" s="16"/>
      <c r="I18" s="16"/>
      <c r="J18" s="16"/>
      <c r="K18" s="16"/>
      <c r="L18" s="23"/>
    </row>
    <row r="19" spans="1:12">
      <c r="A19" s="24" t="s">
        <v>34</v>
      </c>
      <c r="B19" s="19"/>
      <c r="C19" s="10"/>
      <c r="D19" s="10"/>
      <c r="E19" s="10"/>
      <c r="F19" s="10"/>
      <c r="G19" s="10"/>
      <c r="H19" s="10"/>
      <c r="I19" s="10"/>
      <c r="J19" s="10"/>
      <c r="K19" s="10"/>
      <c r="L19" s="20"/>
    </row>
    <row r="20" spans="1:12">
      <c r="A20" s="1" t="s">
        <v>9</v>
      </c>
      <c r="B20" s="1" t="s">
        <v>0</v>
      </c>
      <c r="C20" s="1" t="s">
        <v>1</v>
      </c>
      <c r="D20" s="1" t="s">
        <v>6</v>
      </c>
      <c r="E20" s="1" t="s">
        <v>7</v>
      </c>
      <c r="F20" s="1" t="s">
        <v>8</v>
      </c>
      <c r="G20" s="1" t="s">
        <v>2</v>
      </c>
      <c r="H20" s="1" t="s">
        <v>3</v>
      </c>
      <c r="I20" s="10"/>
      <c r="J20" s="10"/>
      <c r="K20" s="10"/>
      <c r="L20" s="20"/>
    </row>
    <row r="21" spans="1:12">
      <c r="A21" s="1" t="s">
        <v>4</v>
      </c>
      <c r="B21" s="1" t="s">
        <v>5</v>
      </c>
      <c r="C21" s="36">
        <v>39539</v>
      </c>
      <c r="D21" s="4">
        <v>4</v>
      </c>
      <c r="E21" s="4">
        <v>4</v>
      </c>
      <c r="F21" s="4">
        <v>3</v>
      </c>
      <c r="G21" s="4">
        <v>67</v>
      </c>
      <c r="H21" s="1">
        <f t="shared" ref="H21:H26" si="0">SUM(D21:G21)</f>
        <v>78</v>
      </c>
      <c r="I21" s="10"/>
      <c r="J21" s="10"/>
      <c r="K21" s="10"/>
      <c r="L21" s="20"/>
    </row>
    <row r="22" spans="1:12">
      <c r="A22" s="1" t="s">
        <v>4</v>
      </c>
      <c r="B22" s="1" t="s">
        <v>10</v>
      </c>
      <c r="C22" s="36">
        <v>41151</v>
      </c>
      <c r="D22" s="4">
        <v>4</v>
      </c>
      <c r="E22" s="4">
        <v>3</v>
      </c>
      <c r="F22" s="4">
        <v>5</v>
      </c>
      <c r="G22" s="4">
        <v>12</v>
      </c>
      <c r="H22" s="1">
        <f t="shared" si="0"/>
        <v>24</v>
      </c>
      <c r="I22" s="10"/>
      <c r="J22" s="10"/>
      <c r="K22" s="10"/>
      <c r="L22" s="20"/>
    </row>
    <row r="23" spans="1:12">
      <c r="A23" s="1" t="s">
        <v>4</v>
      </c>
      <c r="B23" s="1" t="s">
        <v>11</v>
      </c>
      <c r="C23" s="36">
        <v>152695</v>
      </c>
      <c r="D23" s="2">
        <v>40</v>
      </c>
      <c r="E23" s="2">
        <v>6</v>
      </c>
      <c r="F23" s="2">
        <v>9</v>
      </c>
      <c r="G23" s="2">
        <v>53</v>
      </c>
      <c r="H23" s="1">
        <f t="shared" si="0"/>
        <v>108</v>
      </c>
      <c r="I23" s="10"/>
      <c r="J23" s="10"/>
      <c r="K23" s="10"/>
      <c r="L23" s="20"/>
    </row>
    <row r="24" spans="1:12">
      <c r="A24" s="1" t="s">
        <v>4</v>
      </c>
      <c r="B24" s="1" t="s">
        <v>12</v>
      </c>
      <c r="C24" s="36">
        <v>155035</v>
      </c>
      <c r="D24" s="6">
        <v>16</v>
      </c>
      <c r="E24" s="6">
        <v>3</v>
      </c>
      <c r="F24" s="6">
        <v>13</v>
      </c>
      <c r="G24" s="6">
        <v>29</v>
      </c>
      <c r="H24" s="1">
        <f t="shared" si="0"/>
        <v>61</v>
      </c>
      <c r="I24" s="10"/>
      <c r="J24" s="10"/>
      <c r="K24" s="10"/>
      <c r="L24" s="20"/>
    </row>
    <row r="25" spans="1:12">
      <c r="A25" s="1" t="s">
        <v>4</v>
      </c>
      <c r="B25" s="1" t="s">
        <v>13</v>
      </c>
      <c r="C25" s="36">
        <v>248469</v>
      </c>
      <c r="D25" s="2">
        <v>16</v>
      </c>
      <c r="E25" s="2">
        <v>8</v>
      </c>
      <c r="F25" s="2">
        <v>13</v>
      </c>
      <c r="G25" s="2">
        <v>68</v>
      </c>
      <c r="H25" s="2">
        <f t="shared" si="0"/>
        <v>105</v>
      </c>
      <c r="I25" s="25"/>
      <c r="J25" s="10"/>
      <c r="K25" s="10"/>
      <c r="L25" s="20"/>
    </row>
    <row r="26" spans="1:12">
      <c r="A26" s="1" t="s">
        <v>4</v>
      </c>
      <c r="B26" s="1" t="s">
        <v>69</v>
      </c>
      <c r="C26" s="37">
        <v>4317</v>
      </c>
      <c r="D26" s="2">
        <v>1</v>
      </c>
      <c r="E26" s="2">
        <v>0</v>
      </c>
      <c r="F26" s="2">
        <v>0</v>
      </c>
      <c r="G26" s="2">
        <v>5</v>
      </c>
      <c r="H26" s="2">
        <f t="shared" si="0"/>
        <v>6</v>
      </c>
      <c r="I26" s="25"/>
      <c r="J26" s="10"/>
      <c r="K26" s="10"/>
      <c r="L26" s="20"/>
    </row>
    <row r="27" spans="1:12">
      <c r="A27"/>
      <c r="B27" s="1" t="s">
        <v>67</v>
      </c>
      <c r="C27" s="37">
        <f>SUM(C21:C26)</f>
        <v>641206</v>
      </c>
      <c r="D27" s="2">
        <f t="shared" ref="D27:H27" si="1">SUM(D21:D25)</f>
        <v>80</v>
      </c>
      <c r="E27" s="2">
        <f t="shared" si="1"/>
        <v>24</v>
      </c>
      <c r="F27" s="2">
        <f t="shared" si="1"/>
        <v>43</v>
      </c>
      <c r="G27" s="2">
        <f t="shared" si="1"/>
        <v>229</v>
      </c>
      <c r="H27" s="2">
        <f t="shared" si="1"/>
        <v>376</v>
      </c>
      <c r="I27" s="26"/>
      <c r="J27" s="10"/>
      <c r="K27" s="10"/>
      <c r="L27" s="20"/>
    </row>
    <row r="28" spans="1:12">
      <c r="A28" s="29" t="s">
        <v>42</v>
      </c>
      <c r="B28" s="10"/>
      <c r="C28" s="26"/>
      <c r="D28" s="26"/>
      <c r="I28" s="10"/>
      <c r="J28" s="10"/>
      <c r="K28" s="10"/>
      <c r="L28" s="20"/>
    </row>
    <row r="29" spans="1:12">
      <c r="A29" s="30" t="s">
        <v>43</v>
      </c>
      <c r="B29" s="10"/>
      <c r="C29" s="25"/>
      <c r="D29" s="27"/>
      <c r="I29" s="10"/>
      <c r="J29" s="10"/>
      <c r="K29" s="10"/>
      <c r="L29" s="20"/>
    </row>
    <row r="30" spans="1:12">
      <c r="A30" s="30" t="s">
        <v>44</v>
      </c>
      <c r="B30" s="10"/>
      <c r="C30" s="10"/>
      <c r="D30" s="10"/>
      <c r="I30" s="10"/>
      <c r="J30" s="10"/>
      <c r="K30" s="10"/>
      <c r="L30" s="20"/>
    </row>
    <row r="31" spans="1:12">
      <c r="A31" s="30" t="s">
        <v>45</v>
      </c>
      <c r="B31" s="10"/>
      <c r="C31" s="10"/>
      <c r="D31" s="10"/>
      <c r="I31" s="10"/>
      <c r="J31" s="10"/>
      <c r="K31" s="10"/>
      <c r="L31" s="20"/>
    </row>
    <row r="32" spans="1:12">
      <c r="B32" s="10"/>
      <c r="C32" s="10"/>
      <c r="D32" s="10"/>
      <c r="I32" s="10"/>
      <c r="J32" s="10"/>
      <c r="K32" s="10"/>
      <c r="L32" s="20"/>
    </row>
    <row r="33" spans="1:14">
      <c r="A33" s="29" t="s">
        <v>46</v>
      </c>
      <c r="C33" s="10"/>
      <c r="D33" s="10"/>
      <c r="I33" s="10"/>
      <c r="J33" s="10"/>
      <c r="K33" s="10"/>
      <c r="L33" s="20"/>
    </row>
    <row r="34" spans="1:14">
      <c r="A34" s="30" t="s">
        <v>47</v>
      </c>
      <c r="C34" s="10"/>
      <c r="D34" s="10"/>
      <c r="I34" s="10"/>
      <c r="J34" s="10"/>
      <c r="K34" s="10"/>
      <c r="L34" s="20"/>
    </row>
    <row r="35" spans="1:14">
      <c r="A35" s="30" t="s">
        <v>48</v>
      </c>
      <c r="C35" s="10"/>
      <c r="D35" s="10"/>
      <c r="I35" s="10"/>
      <c r="J35" s="10"/>
      <c r="K35" s="10"/>
      <c r="L35" s="20"/>
    </row>
    <row r="36" spans="1:14">
      <c r="A36" s="30" t="s">
        <v>49</v>
      </c>
      <c r="C36" s="10"/>
      <c r="D36" s="10"/>
      <c r="I36" s="10"/>
      <c r="J36" s="10"/>
      <c r="K36" s="10"/>
      <c r="L36" s="20"/>
    </row>
    <row r="37" spans="1:14">
      <c r="A37" s="30" t="s">
        <v>50</v>
      </c>
      <c r="C37" s="10"/>
      <c r="D37" s="10"/>
      <c r="I37" s="10"/>
      <c r="J37" s="10"/>
      <c r="K37" s="10"/>
      <c r="L37" s="20"/>
    </row>
    <row r="38" spans="1:14">
      <c r="A38" s="30" t="s">
        <v>51</v>
      </c>
      <c r="B38" s="10"/>
      <c r="C38" s="10"/>
      <c r="D38" s="10"/>
      <c r="I38" s="10"/>
      <c r="J38" s="10"/>
      <c r="K38" s="10"/>
      <c r="L38" s="20"/>
    </row>
    <row r="39" spans="1:14">
      <c r="A39" s="30" t="s">
        <v>53</v>
      </c>
      <c r="B39" s="10"/>
      <c r="C39" s="10"/>
      <c r="D39" s="10"/>
      <c r="I39" s="10"/>
      <c r="J39" s="10"/>
      <c r="K39" s="10"/>
      <c r="L39" s="20"/>
    </row>
    <row r="40" spans="1:14">
      <c r="A40" s="32" t="s">
        <v>52</v>
      </c>
      <c r="B40" s="10"/>
      <c r="C40" s="10"/>
      <c r="D40" s="10"/>
      <c r="I40" s="10"/>
      <c r="J40" s="10"/>
      <c r="K40" s="10"/>
      <c r="L40" s="20"/>
    </row>
    <row r="41" spans="1:14">
      <c r="C41" s="10"/>
      <c r="D41" s="10"/>
      <c r="I41" s="10"/>
      <c r="J41" s="10"/>
      <c r="K41" s="10"/>
      <c r="L41" s="20"/>
    </row>
    <row r="42" spans="1:14">
      <c r="A42" s="31" t="s">
        <v>92</v>
      </c>
      <c r="B42" s="10"/>
      <c r="C42" s="10"/>
      <c r="D42" s="10"/>
      <c r="I42" s="10"/>
      <c r="J42" s="10"/>
      <c r="K42" s="10" t="s">
        <v>89</v>
      </c>
      <c r="L42" s="20"/>
    </row>
    <row r="43" spans="1:14">
      <c r="A43" s="44" t="s">
        <v>9</v>
      </c>
      <c r="B43" s="34" t="s">
        <v>72</v>
      </c>
      <c r="C43" s="35"/>
      <c r="D43" s="1" t="s">
        <v>0</v>
      </c>
      <c r="E43" s="1" t="s">
        <v>1</v>
      </c>
      <c r="F43" s="34" t="s">
        <v>77</v>
      </c>
      <c r="G43" s="39" t="s">
        <v>78</v>
      </c>
      <c r="H43" s="28" t="s">
        <v>81</v>
      </c>
      <c r="I43" s="1" t="s">
        <v>6</v>
      </c>
      <c r="J43" s="28" t="s">
        <v>85</v>
      </c>
      <c r="K43" s="38"/>
      <c r="L43" s="20"/>
      <c r="N43" s="33"/>
    </row>
    <row r="44" spans="1:14">
      <c r="A44" s="44" t="s">
        <v>4</v>
      </c>
      <c r="B44" s="18" t="s">
        <v>71</v>
      </c>
      <c r="C44" s="46"/>
      <c r="D44" s="1" t="s">
        <v>75</v>
      </c>
      <c r="E44" s="3">
        <v>1920</v>
      </c>
      <c r="F44" s="34" t="s">
        <v>76</v>
      </c>
      <c r="G44" s="4" t="s">
        <v>90</v>
      </c>
      <c r="H44" s="28">
        <v>360</v>
      </c>
      <c r="I44" s="4">
        <v>2</v>
      </c>
      <c r="J44" s="49">
        <f>+I44/H44</f>
        <v>5.5555555555555558E-3</v>
      </c>
      <c r="K44" s="38" t="s">
        <v>88</v>
      </c>
      <c r="L44" s="20"/>
    </row>
    <row r="45" spans="1:14">
      <c r="A45" s="45"/>
      <c r="B45" s="10"/>
      <c r="C45" s="10"/>
      <c r="D45" s="28" t="s">
        <v>74</v>
      </c>
      <c r="E45" s="28">
        <v>8400</v>
      </c>
      <c r="F45" s="34" t="s">
        <v>76</v>
      </c>
      <c r="G45" s="4" t="s">
        <v>79</v>
      </c>
      <c r="H45" s="28">
        <v>120</v>
      </c>
      <c r="I45" s="28">
        <v>2</v>
      </c>
      <c r="J45" s="49">
        <f t="shared" ref="J45:J51" si="2">+I45/H45</f>
        <v>1.6666666666666666E-2</v>
      </c>
      <c r="K45" s="38" t="s">
        <v>88</v>
      </c>
      <c r="L45" s="20"/>
    </row>
    <row r="46" spans="1:14">
      <c r="A46" s="45"/>
      <c r="B46" s="10"/>
      <c r="C46" s="10"/>
      <c r="D46" s="28" t="s">
        <v>84</v>
      </c>
      <c r="E46" s="28">
        <v>1920</v>
      </c>
      <c r="F46" s="34" t="s">
        <v>76</v>
      </c>
      <c r="G46" s="4" t="s">
        <v>79</v>
      </c>
      <c r="H46" s="28">
        <v>120</v>
      </c>
      <c r="I46" s="28">
        <v>0</v>
      </c>
      <c r="J46" s="49">
        <f t="shared" si="2"/>
        <v>0</v>
      </c>
      <c r="L46" s="20"/>
    </row>
    <row r="47" spans="1:14">
      <c r="A47" s="45"/>
      <c r="B47" s="10"/>
      <c r="C47" s="10"/>
      <c r="D47" s="47"/>
      <c r="E47" s="48"/>
      <c r="F47" s="42" t="s">
        <v>82</v>
      </c>
      <c r="G47" s="42" t="s">
        <v>80</v>
      </c>
      <c r="H47" s="42">
        <v>720</v>
      </c>
      <c r="I47" s="42">
        <v>0</v>
      </c>
      <c r="J47" s="50">
        <f t="shared" si="2"/>
        <v>0</v>
      </c>
      <c r="L47" s="20"/>
    </row>
    <row r="48" spans="1:14">
      <c r="A48" s="45"/>
      <c r="B48" s="10"/>
      <c r="C48" s="10"/>
      <c r="D48" s="45"/>
      <c r="E48" s="45"/>
      <c r="F48" s="28" t="s">
        <v>82</v>
      </c>
      <c r="G48" s="28" t="s">
        <v>80</v>
      </c>
      <c r="H48" s="28">
        <v>1320</v>
      </c>
      <c r="I48" s="28">
        <v>0</v>
      </c>
      <c r="J48" s="49">
        <f t="shared" si="2"/>
        <v>0</v>
      </c>
      <c r="L48" s="20"/>
    </row>
    <row r="49" spans="1:12" ht="14.25" thickBot="1">
      <c r="A49" s="45"/>
      <c r="B49" s="53"/>
      <c r="C49" s="54"/>
      <c r="D49" s="55"/>
      <c r="E49" s="55"/>
      <c r="F49" s="43" t="s">
        <v>82</v>
      </c>
      <c r="G49" s="43" t="s">
        <v>80</v>
      </c>
      <c r="H49" s="43">
        <v>720</v>
      </c>
      <c r="I49" s="43">
        <v>0</v>
      </c>
      <c r="J49" s="51">
        <f t="shared" si="2"/>
        <v>0</v>
      </c>
      <c r="K49" s="10"/>
      <c r="L49" s="20"/>
    </row>
    <row r="50" spans="1:12">
      <c r="A50" s="47"/>
      <c r="B50" s="10" t="s">
        <v>73</v>
      </c>
      <c r="C50" s="20"/>
      <c r="D50" s="40" t="s">
        <v>74</v>
      </c>
      <c r="E50" s="41">
        <v>1920</v>
      </c>
      <c r="F50" s="22" t="s">
        <v>76</v>
      </c>
      <c r="G50" s="52" t="s">
        <v>79</v>
      </c>
      <c r="H50" s="52">
        <v>360</v>
      </c>
      <c r="I50" s="52">
        <v>2</v>
      </c>
      <c r="J50" s="50">
        <f t="shared" si="2"/>
        <v>5.5555555555555558E-3</v>
      </c>
      <c r="K50" s="38" t="s">
        <v>88</v>
      </c>
      <c r="L50" s="20"/>
    </row>
    <row r="51" spans="1:12">
      <c r="A51" s="22"/>
      <c r="B51" s="22"/>
      <c r="C51" s="16"/>
      <c r="D51" s="40"/>
      <c r="E51" s="41"/>
      <c r="F51" s="42" t="s">
        <v>82</v>
      </c>
      <c r="G51" s="42" t="s">
        <v>80</v>
      </c>
      <c r="H51" s="16">
        <v>720</v>
      </c>
      <c r="I51" s="42">
        <v>0</v>
      </c>
      <c r="J51" s="50">
        <f t="shared" si="2"/>
        <v>0</v>
      </c>
      <c r="K51" s="10"/>
      <c r="L51" s="20"/>
    </row>
    <row r="52" spans="1:12">
      <c r="A52" s="33" t="s">
        <v>83</v>
      </c>
      <c r="B52" s="10"/>
      <c r="C52" s="10"/>
      <c r="D52" s="10"/>
      <c r="E52" s="10"/>
      <c r="F52" s="10"/>
      <c r="G52" s="10"/>
      <c r="H52" s="10"/>
      <c r="I52" s="10"/>
      <c r="J52" s="10"/>
      <c r="K52" s="10"/>
      <c r="L52" s="20"/>
    </row>
    <row r="53" spans="1:12">
      <c r="A53" s="33" t="s">
        <v>86</v>
      </c>
      <c r="B53" s="10"/>
      <c r="C53" s="10"/>
      <c r="D53" s="10"/>
      <c r="E53" s="10"/>
      <c r="F53" s="10"/>
      <c r="G53" s="10"/>
      <c r="H53" s="10"/>
      <c r="I53" s="10"/>
      <c r="J53" s="10"/>
      <c r="K53" s="10"/>
      <c r="L53" s="20"/>
    </row>
    <row r="54" spans="1:12">
      <c r="A54" s="33" t="s">
        <v>87</v>
      </c>
      <c r="B54" s="10"/>
      <c r="C54" s="10"/>
      <c r="D54" s="10"/>
      <c r="E54" s="10"/>
      <c r="F54" s="10"/>
      <c r="G54" s="10"/>
      <c r="H54" s="10"/>
      <c r="I54" s="10"/>
      <c r="J54" s="10"/>
      <c r="K54" s="10"/>
      <c r="L54" s="20"/>
    </row>
    <row r="55" spans="1:12">
      <c r="A55" s="33" t="s">
        <v>91</v>
      </c>
      <c r="B55" s="10"/>
      <c r="C55" s="10"/>
      <c r="D55" s="10"/>
      <c r="E55" s="10"/>
      <c r="F55" s="10"/>
      <c r="G55" s="10"/>
      <c r="H55" s="10"/>
      <c r="I55" s="10"/>
      <c r="J55" s="10"/>
      <c r="K55" s="10"/>
      <c r="L55" s="20"/>
    </row>
    <row r="56" spans="1:12">
      <c r="A56" s="33" t="s">
        <v>93</v>
      </c>
      <c r="B56" s="10"/>
      <c r="C56" s="10"/>
      <c r="D56" s="10"/>
      <c r="E56" s="10"/>
      <c r="F56" s="10"/>
      <c r="G56" s="10"/>
      <c r="H56" s="10"/>
      <c r="I56" s="10"/>
      <c r="J56" s="10"/>
      <c r="K56" s="10"/>
      <c r="L56" s="20"/>
    </row>
    <row r="57" spans="1:12">
      <c r="A57" s="33" t="s">
        <v>94</v>
      </c>
      <c r="B57" s="10"/>
      <c r="C57" s="10"/>
      <c r="D57" s="10"/>
      <c r="E57" s="10"/>
      <c r="F57" s="10"/>
      <c r="G57" s="10"/>
      <c r="H57" s="10"/>
      <c r="I57" s="10"/>
      <c r="J57" s="10"/>
      <c r="K57" s="10"/>
      <c r="L57" s="20"/>
    </row>
    <row r="58" spans="1:12">
      <c r="A58" s="33"/>
      <c r="B58" s="10"/>
      <c r="C58" s="10"/>
      <c r="D58" s="10"/>
      <c r="E58" s="10"/>
      <c r="F58" s="10"/>
      <c r="G58" s="10"/>
      <c r="H58" s="10"/>
      <c r="I58" s="10"/>
      <c r="J58" s="10"/>
      <c r="K58" s="10"/>
      <c r="L58" s="20"/>
    </row>
    <row r="59" spans="1:12">
      <c r="A59" s="31" t="s">
        <v>55</v>
      </c>
      <c r="B59" s="10"/>
      <c r="C59" s="10"/>
      <c r="D59" s="10"/>
      <c r="E59" s="14"/>
      <c r="F59" s="10"/>
      <c r="G59" s="10"/>
      <c r="H59" s="10"/>
      <c r="I59" s="10"/>
      <c r="J59" s="10"/>
      <c r="K59" s="10"/>
      <c r="L59" s="20"/>
    </row>
    <row r="60" spans="1:12">
      <c r="A60" s="30" t="s">
        <v>54</v>
      </c>
      <c r="B60" s="10"/>
      <c r="C60" s="10"/>
      <c r="D60" s="10"/>
      <c r="E60" s="14"/>
      <c r="F60" s="10"/>
      <c r="G60" s="10"/>
      <c r="H60" s="10"/>
      <c r="I60" s="10"/>
      <c r="J60" s="10"/>
      <c r="K60" s="10"/>
      <c r="L60" s="20"/>
    </row>
    <row r="61" spans="1:12">
      <c r="A61" s="30" t="s">
        <v>56</v>
      </c>
      <c r="B61" s="10"/>
      <c r="C61" s="10"/>
      <c r="D61" s="10"/>
      <c r="E61" s="10"/>
      <c r="F61" s="10"/>
      <c r="G61" s="10"/>
      <c r="H61" s="10"/>
      <c r="I61" s="10"/>
      <c r="J61" s="10"/>
      <c r="K61" s="10"/>
      <c r="L61" s="20"/>
    </row>
    <row r="62" spans="1:12">
      <c r="A62" s="30" t="s">
        <v>57</v>
      </c>
      <c r="B62" s="10"/>
      <c r="C62" s="10"/>
      <c r="D62" s="10"/>
      <c r="E62" s="10"/>
      <c r="F62" s="10"/>
      <c r="G62" s="10"/>
      <c r="H62" s="10"/>
      <c r="I62" s="10"/>
      <c r="J62" s="10"/>
      <c r="K62" s="10"/>
      <c r="L62" s="20"/>
    </row>
    <row r="63" spans="1:12">
      <c r="A63" s="30" t="s">
        <v>59</v>
      </c>
      <c r="B63" s="10"/>
      <c r="C63" s="10"/>
      <c r="D63" s="10"/>
      <c r="E63" s="10"/>
      <c r="F63" s="10"/>
      <c r="G63" s="10"/>
      <c r="H63" s="10"/>
      <c r="I63" s="10"/>
      <c r="J63" s="10"/>
      <c r="K63" s="10"/>
      <c r="L63" s="20"/>
    </row>
    <row r="64" spans="1:12">
      <c r="A64" s="30" t="s">
        <v>58</v>
      </c>
      <c r="B64" s="10"/>
      <c r="C64" s="10"/>
      <c r="D64" s="10"/>
      <c r="E64" s="10"/>
      <c r="F64" s="10"/>
      <c r="G64" s="10"/>
      <c r="H64" s="10"/>
      <c r="I64" s="10"/>
      <c r="J64" s="10"/>
      <c r="K64" s="10"/>
      <c r="L64" s="20"/>
    </row>
    <row r="65" spans="1:12">
      <c r="I65" s="10"/>
      <c r="J65" s="10"/>
      <c r="K65" s="10"/>
      <c r="L65" s="20"/>
    </row>
    <row r="66" spans="1:12">
      <c r="A66" s="29" t="s">
        <v>60</v>
      </c>
      <c r="B66" s="10"/>
      <c r="C66" s="10"/>
      <c r="D66" s="10"/>
      <c r="E66" s="10"/>
      <c r="F66" s="10"/>
      <c r="G66" s="10"/>
      <c r="H66" s="10"/>
      <c r="I66" s="10"/>
      <c r="J66" s="10"/>
      <c r="K66" s="10"/>
      <c r="L66" s="20"/>
    </row>
    <row r="67" spans="1:12">
      <c r="A67" s="30" t="s">
        <v>61</v>
      </c>
      <c r="I67" s="10"/>
      <c r="J67" s="10"/>
      <c r="K67" s="10"/>
      <c r="L67" s="20"/>
    </row>
    <row r="68" spans="1:12">
      <c r="A68" s="30" t="s">
        <v>62</v>
      </c>
      <c r="I68" s="10"/>
      <c r="J68" s="10"/>
      <c r="K68" s="10"/>
      <c r="L68" s="20"/>
    </row>
    <row r="69" spans="1:12">
      <c r="A69" s="1" t="s">
        <v>9</v>
      </c>
      <c r="B69" s="1" t="s">
        <v>0</v>
      </c>
      <c r="C69" s="1" t="s">
        <v>1</v>
      </c>
      <c r="D69" s="1" t="s">
        <v>6</v>
      </c>
      <c r="E69" s="1" t="s">
        <v>7</v>
      </c>
      <c r="F69" s="1" t="s">
        <v>8</v>
      </c>
      <c r="G69" s="1" t="s">
        <v>2</v>
      </c>
      <c r="H69" s="1" t="s">
        <v>3</v>
      </c>
      <c r="I69" s="10"/>
      <c r="J69" s="10"/>
      <c r="K69" s="10"/>
      <c r="L69" s="20"/>
    </row>
    <row r="70" spans="1:12">
      <c r="A70" s="1" t="s">
        <v>63</v>
      </c>
      <c r="B70" s="1" t="s">
        <v>68</v>
      </c>
      <c r="C70" s="3">
        <v>11999</v>
      </c>
      <c r="D70" s="4">
        <v>82</v>
      </c>
      <c r="E70" s="4">
        <v>0</v>
      </c>
      <c r="F70" s="4">
        <v>19</v>
      </c>
      <c r="G70" s="4">
        <v>19</v>
      </c>
      <c r="H70" s="1">
        <f>SUM(D70:G70)</f>
        <v>120</v>
      </c>
      <c r="I70" s="16"/>
      <c r="J70" s="16"/>
      <c r="K70" s="16"/>
      <c r="L70" s="23"/>
    </row>
    <row r="71" spans="1:12">
      <c r="A71" s="90" t="s">
        <v>35</v>
      </c>
      <c r="B71" s="90"/>
      <c r="C71" s="10"/>
      <c r="D71" s="10"/>
      <c r="E71" s="10"/>
      <c r="F71" s="10"/>
      <c r="G71" s="10"/>
      <c r="H71" s="10"/>
      <c r="I71" s="10"/>
      <c r="J71" s="10"/>
      <c r="K71" s="10"/>
      <c r="L71" s="20"/>
    </row>
    <row r="72" spans="1:12">
      <c r="A72" s="90"/>
      <c r="B72" s="90"/>
      <c r="C72" s="10" t="s">
        <v>64</v>
      </c>
      <c r="D72" s="10"/>
      <c r="E72" s="10"/>
      <c r="F72" s="10"/>
      <c r="G72" s="10"/>
      <c r="H72" s="10"/>
      <c r="I72" s="10"/>
      <c r="J72" s="10"/>
      <c r="K72" s="10"/>
      <c r="L72" s="20"/>
    </row>
    <row r="73" spans="1:12">
      <c r="A73" s="90"/>
      <c r="B73" s="90"/>
      <c r="C73" s="10" t="s">
        <v>65</v>
      </c>
      <c r="D73" s="10"/>
      <c r="E73" s="10"/>
      <c r="F73" s="10"/>
      <c r="G73" s="10"/>
      <c r="H73" s="10"/>
      <c r="I73" s="10"/>
      <c r="J73" s="10"/>
      <c r="K73" s="10"/>
      <c r="L73" s="20"/>
    </row>
    <row r="74" spans="1:12">
      <c r="A74" s="21"/>
      <c r="B74" s="10"/>
      <c r="C74" s="10" t="s">
        <v>66</v>
      </c>
      <c r="D74" s="10"/>
      <c r="E74" s="10"/>
      <c r="F74" s="10"/>
      <c r="G74" s="10"/>
      <c r="H74" s="10"/>
      <c r="I74" s="10"/>
      <c r="J74" s="10"/>
      <c r="K74" s="10"/>
      <c r="L74" s="20"/>
    </row>
    <row r="75" spans="1:12">
      <c r="A75" s="22"/>
      <c r="B75" s="16"/>
      <c r="C75" s="16"/>
      <c r="D75" s="16"/>
      <c r="E75" s="16"/>
      <c r="F75" s="16"/>
      <c r="G75" s="16"/>
      <c r="H75" s="16"/>
      <c r="I75" s="16"/>
      <c r="J75" s="16"/>
      <c r="K75" s="16"/>
      <c r="L75" s="23"/>
    </row>
  </sheetData>
  <mergeCells count="20">
    <mergeCell ref="A71:B73"/>
    <mergeCell ref="D7:D8"/>
    <mergeCell ref="E7:G8"/>
    <mergeCell ref="I7:I8"/>
    <mergeCell ref="J7:J8"/>
    <mergeCell ref="K7:K8"/>
    <mergeCell ref="A10:A12"/>
    <mergeCell ref="B10:C12"/>
    <mergeCell ref="D10:D12"/>
    <mergeCell ref="E10:L12"/>
    <mergeCell ref="A1:A2"/>
    <mergeCell ref="B1:C2"/>
    <mergeCell ref="J1:L2"/>
    <mergeCell ref="D2:I3"/>
    <mergeCell ref="A5:A6"/>
    <mergeCell ref="B5:C6"/>
    <mergeCell ref="D5:D6"/>
    <mergeCell ref="E5:G6"/>
    <mergeCell ref="I5:I6"/>
    <mergeCell ref="J5:L6"/>
  </mergeCells>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11"/>
  <sheetViews>
    <sheetView workbookViewId="0"/>
  </sheetViews>
  <sheetFormatPr defaultRowHeight="13.5"/>
  <cols>
    <col min="1" max="1" width="11.25" customWidth="1"/>
  </cols>
  <sheetData>
    <row r="1" spans="1:13">
      <c r="A1" s="1" t="s">
        <v>9</v>
      </c>
      <c r="B1" s="1" t="s">
        <v>0</v>
      </c>
      <c r="C1" s="1" t="s">
        <v>1</v>
      </c>
      <c r="D1" s="1" t="s">
        <v>6</v>
      </c>
      <c r="E1" s="1" t="s">
        <v>7</v>
      </c>
      <c r="F1" s="1" t="s">
        <v>8</v>
      </c>
      <c r="G1" s="1" t="s">
        <v>2</v>
      </c>
      <c r="H1" s="1" t="s">
        <v>3</v>
      </c>
      <c r="I1" s="1" t="s">
        <v>6</v>
      </c>
      <c r="J1" s="1" t="s">
        <v>7</v>
      </c>
      <c r="K1" s="1" t="s">
        <v>8</v>
      </c>
      <c r="L1" s="1" t="s">
        <v>2</v>
      </c>
      <c r="M1" s="1" t="s">
        <v>3</v>
      </c>
    </row>
    <row r="2" spans="1:13">
      <c r="A2" s="1" t="s">
        <v>4</v>
      </c>
      <c r="B2" s="1" t="s">
        <v>5</v>
      </c>
      <c r="C2" s="3">
        <v>39539</v>
      </c>
      <c r="D2" s="4">
        <v>4</v>
      </c>
      <c r="E2" s="4">
        <v>4</v>
      </c>
      <c r="F2" s="4">
        <v>3</v>
      </c>
      <c r="G2" s="4">
        <v>67</v>
      </c>
      <c r="H2" s="1">
        <f t="shared" ref="H2:H7" si="0">SUM(D2:G2)</f>
        <v>78</v>
      </c>
      <c r="I2" s="5">
        <f t="shared" ref="I2:I8" si="1">+D2/C2</f>
        <v>1.011659374288677E-4</v>
      </c>
      <c r="J2" s="5">
        <f t="shared" ref="J2:J8" si="2">+E2/C2</f>
        <v>1.011659374288677E-4</v>
      </c>
      <c r="K2" s="5">
        <f t="shared" ref="K2:K8" si="3">+F2/C2</f>
        <v>7.5874453071650779E-5</v>
      </c>
      <c r="L2" s="5">
        <f t="shared" ref="L2:L8" si="4">+G2/C2</f>
        <v>1.694529451933534E-3</v>
      </c>
      <c r="M2" s="5">
        <f t="shared" ref="M2:M8" si="5">+H2/C2</f>
        <v>1.9727357798629201E-3</v>
      </c>
    </row>
    <row r="3" spans="1:13">
      <c r="A3" s="1" t="s">
        <v>4</v>
      </c>
      <c r="B3" s="1" t="s">
        <v>10</v>
      </c>
      <c r="C3" s="3">
        <v>41151</v>
      </c>
      <c r="D3" s="4">
        <v>4</v>
      </c>
      <c r="E3" s="4">
        <v>3</v>
      </c>
      <c r="F3" s="4">
        <v>5</v>
      </c>
      <c r="G3" s="4">
        <v>12</v>
      </c>
      <c r="H3" s="1">
        <f t="shared" si="0"/>
        <v>24</v>
      </c>
      <c r="I3" s="5">
        <f t="shared" si="1"/>
        <v>9.720298413161284E-5</v>
      </c>
      <c r="J3" s="5">
        <f t="shared" si="2"/>
        <v>7.2902238098709627E-5</v>
      </c>
      <c r="K3" s="5">
        <f t="shared" si="3"/>
        <v>1.2150373016451605E-4</v>
      </c>
      <c r="L3" s="5">
        <f t="shared" si="4"/>
        <v>2.9160895239483851E-4</v>
      </c>
      <c r="M3" s="5">
        <f t="shared" si="5"/>
        <v>5.8321790478967702E-4</v>
      </c>
    </row>
    <row r="4" spans="1:13">
      <c r="A4" s="1" t="s">
        <v>4</v>
      </c>
      <c r="B4" s="1" t="s">
        <v>11</v>
      </c>
      <c r="C4" s="3">
        <v>152695</v>
      </c>
      <c r="D4" s="2">
        <v>40</v>
      </c>
      <c r="E4" s="2">
        <v>6</v>
      </c>
      <c r="F4" s="2">
        <v>9</v>
      </c>
      <c r="G4" s="2">
        <v>53</v>
      </c>
      <c r="H4" s="1">
        <f t="shared" si="0"/>
        <v>108</v>
      </c>
      <c r="I4" s="5">
        <f t="shared" si="1"/>
        <v>2.619601165722519E-4</v>
      </c>
      <c r="J4" s="5">
        <f t="shared" si="2"/>
        <v>3.9294017485837783E-5</v>
      </c>
      <c r="K4" s="5">
        <f t="shared" si="3"/>
        <v>5.8941026228756672E-5</v>
      </c>
      <c r="L4" s="5">
        <f t="shared" si="4"/>
        <v>3.4709715445823373E-4</v>
      </c>
      <c r="M4" s="5">
        <f t="shared" si="5"/>
        <v>7.0729231474508003E-4</v>
      </c>
    </row>
    <row r="5" spans="1:13">
      <c r="A5" s="1" t="s">
        <v>4</v>
      </c>
      <c r="B5" s="1" t="s">
        <v>12</v>
      </c>
      <c r="C5" s="3">
        <v>155035</v>
      </c>
      <c r="D5" s="6">
        <v>16</v>
      </c>
      <c r="E5" s="6">
        <v>3</v>
      </c>
      <c r="F5" s="6">
        <v>13</v>
      </c>
      <c r="G5" s="6">
        <v>29</v>
      </c>
      <c r="H5" s="1">
        <f t="shared" si="0"/>
        <v>61</v>
      </c>
      <c r="I5" s="7">
        <f t="shared" si="1"/>
        <v>1.0320250266068953E-4</v>
      </c>
      <c r="J5" s="7">
        <f t="shared" si="2"/>
        <v>1.9350469248879285E-5</v>
      </c>
      <c r="K5" s="7">
        <f t="shared" si="3"/>
        <v>8.3852033411810234E-5</v>
      </c>
      <c r="L5" s="7">
        <f t="shared" si="4"/>
        <v>1.8705453607249976E-4</v>
      </c>
      <c r="M5" s="7">
        <f t="shared" si="5"/>
        <v>3.9345954139387881E-4</v>
      </c>
    </row>
    <row r="6" spans="1:13">
      <c r="A6" s="1" t="s">
        <v>4</v>
      </c>
      <c r="B6" s="1" t="s">
        <v>13</v>
      </c>
      <c r="C6" s="3">
        <v>248469</v>
      </c>
      <c r="D6" s="2">
        <v>16</v>
      </c>
      <c r="E6" s="2">
        <v>8</v>
      </c>
      <c r="F6" s="2">
        <v>13</v>
      </c>
      <c r="G6" s="2">
        <v>68</v>
      </c>
      <c r="H6" s="2">
        <f t="shared" si="0"/>
        <v>105</v>
      </c>
      <c r="I6" s="7">
        <f t="shared" si="1"/>
        <v>6.4394351005558041E-5</v>
      </c>
      <c r="J6" s="7">
        <f t="shared" si="2"/>
        <v>3.2197175502779021E-5</v>
      </c>
      <c r="K6" s="7">
        <f t="shared" si="3"/>
        <v>5.2320410192015907E-5</v>
      </c>
      <c r="L6" s="7">
        <f t="shared" si="4"/>
        <v>2.7367599177362164E-4</v>
      </c>
      <c r="M6" s="7">
        <f t="shared" si="5"/>
        <v>4.2258792847397461E-4</v>
      </c>
    </row>
    <row r="7" spans="1:13">
      <c r="A7" s="1" t="s">
        <v>4</v>
      </c>
      <c r="B7" s="1" t="s">
        <v>70</v>
      </c>
      <c r="C7" s="3">
        <v>4317</v>
      </c>
      <c r="D7" s="2">
        <v>1</v>
      </c>
      <c r="E7" s="2">
        <v>0</v>
      </c>
      <c r="F7" s="2">
        <v>0</v>
      </c>
      <c r="G7" s="2">
        <v>5</v>
      </c>
      <c r="H7" s="2">
        <f t="shared" si="0"/>
        <v>6</v>
      </c>
      <c r="I7" s="7">
        <f t="shared" si="1"/>
        <v>2.3164234422052351E-4</v>
      </c>
      <c r="J7" s="7">
        <f t="shared" si="2"/>
        <v>0</v>
      </c>
      <c r="K7" s="7">
        <f t="shared" si="3"/>
        <v>0</v>
      </c>
      <c r="L7" s="7">
        <f t="shared" si="4"/>
        <v>1.1582117211026176E-3</v>
      </c>
      <c r="M7" s="7">
        <f t="shared" si="5"/>
        <v>1.389854065323141E-3</v>
      </c>
    </row>
    <row r="8" spans="1:13">
      <c r="B8" s="1" t="s">
        <v>67</v>
      </c>
      <c r="C8" s="2">
        <f>SUM(C2:C6)</f>
        <v>636889</v>
      </c>
      <c r="D8" s="2">
        <f>SUM(D2:D7)</f>
        <v>81</v>
      </c>
      <c r="E8" s="2">
        <f>SUM(E2:E7)</f>
        <v>24</v>
      </c>
      <c r="F8" s="2">
        <f>SUM(F2:F7)</f>
        <v>43</v>
      </c>
      <c r="G8" s="2">
        <f>SUM(G2:G7)</f>
        <v>234</v>
      </c>
      <c r="H8" s="2">
        <f t="shared" ref="H8" si="6">SUM(H2:H6)</f>
        <v>376</v>
      </c>
      <c r="I8" s="7">
        <f t="shared" si="1"/>
        <v>1.2718071751906533E-4</v>
      </c>
      <c r="J8" s="7">
        <f t="shared" si="2"/>
        <v>3.7683175561204542E-5</v>
      </c>
      <c r="K8" s="7">
        <f t="shared" si="3"/>
        <v>6.7515689547158135E-5</v>
      </c>
      <c r="L8" s="7">
        <f t="shared" si="4"/>
        <v>3.6741096172174427E-4</v>
      </c>
      <c r="M8" s="7">
        <f t="shared" si="5"/>
        <v>5.9036975045887114E-4</v>
      </c>
    </row>
    <row r="10" spans="1:13">
      <c r="A10" s="1" t="s">
        <v>9</v>
      </c>
      <c r="B10" s="1" t="s">
        <v>0</v>
      </c>
      <c r="C10" s="1" t="s">
        <v>1</v>
      </c>
      <c r="D10" s="1" t="s">
        <v>6</v>
      </c>
      <c r="E10" s="1" t="s">
        <v>7</v>
      </c>
      <c r="F10" s="1" t="s">
        <v>8</v>
      </c>
      <c r="G10" s="1" t="s">
        <v>2</v>
      </c>
      <c r="H10" s="1" t="s">
        <v>3</v>
      </c>
      <c r="I10" s="1" t="s">
        <v>6</v>
      </c>
      <c r="J10" s="1" t="s">
        <v>7</v>
      </c>
      <c r="K10" s="1" t="s">
        <v>8</v>
      </c>
      <c r="L10" s="1" t="s">
        <v>2</v>
      </c>
      <c r="M10" s="1" t="s">
        <v>3</v>
      </c>
    </row>
    <row r="11" spans="1:13">
      <c r="A11" s="1" t="s">
        <v>63</v>
      </c>
      <c r="B11" s="1" t="s">
        <v>68</v>
      </c>
      <c r="C11" s="3">
        <v>11999</v>
      </c>
      <c r="D11" s="4">
        <v>82</v>
      </c>
      <c r="E11" s="4">
        <v>0</v>
      </c>
      <c r="F11" s="4">
        <v>19</v>
      </c>
      <c r="G11" s="4">
        <v>19</v>
      </c>
      <c r="H11" s="1">
        <f>SUM(D11:G11)</f>
        <v>120</v>
      </c>
      <c r="I11" s="5">
        <f t="shared" ref="I11" si="7">+D11/C11</f>
        <v>6.8339028252354366E-3</v>
      </c>
      <c r="J11" s="5">
        <f t="shared" ref="J11" si="8">+E11/C11</f>
        <v>0</v>
      </c>
      <c r="K11" s="5">
        <f t="shared" ref="K11" si="9">+F11/C11</f>
        <v>1.5834652887740646E-3</v>
      </c>
      <c r="L11" s="5">
        <f t="shared" ref="L11" si="10">+G11/C11</f>
        <v>1.5834652887740646E-3</v>
      </c>
      <c r="M11" s="5">
        <f t="shared" ref="M11" si="11">+H11/C11</f>
        <v>1.0000833402783566E-2</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D12"/>
  <sheetViews>
    <sheetView workbookViewId="0"/>
  </sheetViews>
  <sheetFormatPr defaultRowHeight="13.5"/>
  <cols>
    <col min="3" max="3" width="9.625" customWidth="1"/>
  </cols>
  <sheetData>
    <row r="1" spans="1:4">
      <c r="A1" t="s">
        <v>17</v>
      </c>
    </row>
    <row r="2" spans="1:4">
      <c r="A2" s="2"/>
      <c r="B2" s="2" t="s">
        <v>14</v>
      </c>
      <c r="C2" s="2" t="s">
        <v>15</v>
      </c>
      <c r="D2" s="2" t="s">
        <v>16</v>
      </c>
    </row>
    <row r="3" spans="1:4">
      <c r="A3" s="2">
        <v>1</v>
      </c>
      <c r="B3" s="2">
        <v>142</v>
      </c>
      <c r="C3" s="2">
        <v>147</v>
      </c>
      <c r="D3" s="2">
        <f>+B3-C3</f>
        <v>-5</v>
      </c>
    </row>
    <row r="4" spans="1:4">
      <c r="A4" s="2">
        <v>2</v>
      </c>
      <c r="B4" s="2">
        <v>164</v>
      </c>
      <c r="C4" s="2">
        <v>160</v>
      </c>
      <c r="D4" s="2">
        <f t="shared" ref="D4:D11" si="0">+B4-C4</f>
        <v>4</v>
      </c>
    </row>
    <row r="5" spans="1:4">
      <c r="A5" s="2">
        <v>3</v>
      </c>
      <c r="B5" s="2">
        <v>151</v>
      </c>
      <c r="C5" s="2">
        <v>156</v>
      </c>
      <c r="D5" s="2">
        <f t="shared" si="0"/>
        <v>-5</v>
      </c>
    </row>
    <row r="6" spans="1:4">
      <c r="A6" s="2">
        <v>4</v>
      </c>
      <c r="B6" s="2">
        <v>150</v>
      </c>
      <c r="C6" s="2">
        <v>149</v>
      </c>
      <c r="D6" s="2">
        <f t="shared" si="0"/>
        <v>1</v>
      </c>
    </row>
    <row r="7" spans="1:4">
      <c r="A7" s="2">
        <v>5</v>
      </c>
      <c r="B7" s="2">
        <v>160</v>
      </c>
      <c r="C7" s="2">
        <v>166</v>
      </c>
      <c r="D7" s="2">
        <f t="shared" si="0"/>
        <v>-6</v>
      </c>
    </row>
    <row r="8" spans="1:4">
      <c r="A8" s="2">
        <v>6</v>
      </c>
      <c r="B8" s="2">
        <v>153</v>
      </c>
      <c r="C8" s="2">
        <v>157</v>
      </c>
      <c r="D8" s="2">
        <f t="shared" si="0"/>
        <v>-4</v>
      </c>
    </row>
    <row r="9" spans="1:4">
      <c r="A9" s="2">
        <v>7</v>
      </c>
      <c r="B9" s="2">
        <v>144</v>
      </c>
      <c r="C9" s="2">
        <v>137</v>
      </c>
      <c r="D9" s="2">
        <f t="shared" si="0"/>
        <v>7</v>
      </c>
    </row>
    <row r="10" spans="1:4">
      <c r="A10" s="2">
        <v>8</v>
      </c>
      <c r="B10" s="2">
        <v>154</v>
      </c>
      <c r="C10" s="2">
        <v>165</v>
      </c>
      <c r="D10" s="2">
        <f t="shared" si="0"/>
        <v>-11</v>
      </c>
    </row>
    <row r="11" spans="1:4">
      <c r="A11" s="2">
        <v>9</v>
      </c>
      <c r="B11" s="2">
        <v>157</v>
      </c>
      <c r="C11" s="2">
        <v>150</v>
      </c>
      <c r="D11" s="2">
        <f t="shared" si="0"/>
        <v>7</v>
      </c>
    </row>
    <row r="12" spans="1:4">
      <c r="C12" s="2" t="s">
        <v>18</v>
      </c>
      <c r="D12" s="8">
        <f>AVERAGE(D3:D11)</f>
        <v>-1.3333333333333333</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報告書</vt:lpstr>
      <vt:lpstr>選別結果</vt:lpstr>
      <vt:lpstr>すり合わせ</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2015-03-30T13:27:28Z</dcterms:created>
  <dcterms:modified xsi:type="dcterms:W3CDTF">2015-04-03T08:43:44Z</dcterms:modified>
</cp:coreProperties>
</file>