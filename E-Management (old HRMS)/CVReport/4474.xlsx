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2" l="1"/>
  <c r="BF62" i="2" l="1"/>
  <c r="BC62" i="2"/>
  <c r="AZ62" i="2"/>
  <c r="Q62" i="2" l="1"/>
  <c r="T62" i="2"/>
  <c r="W62" i="2"/>
  <c r="Z62" i="2"/>
  <c r="AC62" i="2"/>
  <c r="AF62" i="2"/>
  <c r="AI62" i="2"/>
  <c r="AL62" i="2"/>
  <c r="AO62" i="2"/>
  <c r="AR62" i="2"/>
  <c r="AU62" i="2"/>
  <c r="N62" i="2"/>
</calcChain>
</file>

<file path=xl/comments1.xml><?xml version="1.0" encoding="utf-8"?>
<comments xmlns="http://schemas.openxmlformats.org/spreadsheetml/2006/main">
  <authors>
    <author>Rosli Ahmad</author>
  </authors>
  <commentList>
    <comment ref="H48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0402C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SA-28A</t>
        </r>
      </text>
    </comment>
    <comment ref="H50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HR75ARW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R1020KRW
</t>
        </r>
      </text>
    </comment>
    <comment ref="H52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R1532LRW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R1020MRW</t>
        </r>
      </text>
    </comment>
    <comment ref="I54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1 mold capacity=60K/mth</t>
        </r>
      </text>
    </comment>
  </commentList>
</comments>
</file>

<file path=xl/sharedStrings.xml><?xml version="1.0" encoding="utf-8"?>
<sst xmlns="http://schemas.openxmlformats.org/spreadsheetml/2006/main" count="158" uniqueCount="101">
  <si>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</si>
  <si>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</si>
  <si>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</si>
  <si>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</si>
  <si>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</si>
  <si>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</si>
  <si>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</si>
  <si>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</si>
  <si>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</si>
  <si>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</si>
  <si>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</si>
  <si>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</si>
  <si>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</si>
  <si>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</si>
  <si>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</si>
  <si>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</si>
  <si>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</si>
  <si>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</si>
  <si>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</si>
  <si>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</si>
  <si>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</si>
  <si>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</si>
  <si>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</si>
  <si>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</si>
  <si>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</si>
  <si>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</si>
  <si>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</si>
  <si>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Mr. Yasuhiro Ogawa [MD]</t>
  </si>
  <si>
    <t>Kamaya Electric [M] Sdn.Bhd</t>
  </si>
  <si>
    <t>Kamaya order forecast 2018</t>
  </si>
  <si>
    <t>Product</t>
  </si>
  <si>
    <t xml:space="preserve">1632AM </t>
  </si>
  <si>
    <t>T1005-4AMK</t>
  </si>
  <si>
    <t>T1608-4AML</t>
  </si>
  <si>
    <t xml:space="preserve">T1005-4AMM </t>
  </si>
  <si>
    <t>KA0201</t>
  </si>
  <si>
    <t>7910M</t>
  </si>
  <si>
    <t>3080M</t>
  </si>
  <si>
    <t>1598M</t>
  </si>
  <si>
    <t>874M</t>
  </si>
  <si>
    <t>YA1210</t>
  </si>
  <si>
    <t>YA2010</t>
  </si>
  <si>
    <t>YA2512</t>
  </si>
  <si>
    <t>60x49.5x0.10T</t>
  </si>
  <si>
    <t>60x70x0.28T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</si>
  <si>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</si>
  <si>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</si>
  <si>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</si>
  <si>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</si>
  <si>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</si>
  <si>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</si>
  <si>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</si>
  <si>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</si>
  <si>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</si>
  <si>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</si>
  <si>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</si>
  <si>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</si>
  <si>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1632AM [HR75ARW] 14K/mth "OK"</t>
  </si>
  <si>
    <t>60x49.5x0.10T 20K/mth "OK"</t>
  </si>
  <si>
    <t>Kpcs</t>
  </si>
  <si>
    <t>Mr. Miyashita</t>
  </si>
  <si>
    <t>Mr. Tony</t>
  </si>
  <si>
    <t>Ms. Emily</t>
  </si>
  <si>
    <t>KA0201 Feb order forecast [60K/mth=1 mold]</t>
  </si>
  <si>
    <t xml:space="preserve">3080M add rank32 requeired </t>
  </si>
  <si>
    <t>QDS submitted 60*49.5*0.10T &amp; 1632AM</t>
  </si>
  <si>
    <t>KAMAYA 2018 Forecast</t>
  </si>
  <si>
    <r>
      <t xml:space="preserve">Forecast given base on 2017 average order received. KAMAYA expected </t>
    </r>
    <r>
      <rPr>
        <sz val="12"/>
        <color theme="1"/>
        <rFont val="Calibri"/>
        <family val="2"/>
      </rPr>
      <t>±</t>
    </r>
    <r>
      <rPr>
        <sz val="12"/>
        <color theme="1"/>
        <rFont val="MS UI Gothic"/>
        <family val="2"/>
      </rPr>
      <t>10% fluctuation. Mr. Miyashita also expected that</t>
    </r>
  </si>
  <si>
    <t>order expected more stagnen or small increase for year 2018.</t>
  </si>
  <si>
    <t>Current production 7.5B will not much increase in 2018 year. New Sun Edison plant is an old plant [big as TEAC] and year 2018</t>
  </si>
  <si>
    <t xml:space="preserve">is audit approval from customer before production can run for automotive/KA0201 5B==&gt;12B as main production. KAMAYA </t>
  </si>
  <si>
    <t>is preparing investment buy new machine for Sun Edison plant. 2019 expected to run Sun Edison plant.</t>
  </si>
  <si>
    <t>New 4 stories building mainly not for production purpose, main office and canteen will move to new 4 stories building. Main office</t>
  </si>
  <si>
    <t>area will be convert to production area.</t>
  </si>
  <si>
    <t xml:space="preserve">Main production expension will be start year 2019. Year 2018 is preparation Sun Edison plant and audit approval by automotive </t>
  </si>
  <si>
    <t>customer. KAMAYA run 20% for automotive product.</t>
  </si>
  <si>
    <t>3080M add rank32</t>
  </si>
  <si>
    <t>I had once again strongly required KAMAYA to approve additional rank32 to solve partial delivery issue. Current 9 ranks are</t>
  </si>
  <si>
    <t>quite difficult to accumulate quantity for shipment which sharing shipment rank with all others customers. As Ms. Emily once</t>
  </si>
  <si>
    <t>again complaint partial shipment for 3080M. If KAMAYA refuse to approve additional rank MARUWA have no choice to reduce</t>
  </si>
  <si>
    <t>shipment quantity by Mar. Current shipment quantity is 240K/mth</t>
  </si>
  <si>
    <t>Looking at Mr. Miyashita feedback, he is willing to accept additional rank. If KAMAYA have all marking mask for all customer rank</t>
  </si>
  <si>
    <t>he said it can be done and not high cost. He will follow-up with Ms. Emily and Mr. Azman on this issue.</t>
  </si>
  <si>
    <t>RM PRICE REDUCTION</t>
  </si>
  <si>
    <t>Mr. Tony highlighted than MARUWA should review back price as RM is getting stronger. Last quotation on 30-Oct [Jan Price]</t>
  </si>
  <si>
    <t>RM rate was 4.2091 compare Jan 4.0780 which 3.2% lower. I reply, we will review in Apr. I mention that WALSIN and KAMAYA</t>
  </si>
  <si>
    <t>must have same price and always KAMAYA will lower 2% due to grey box packaging rebate. Jan price comparision shown that</t>
  </si>
  <si>
    <t>0402 type 9% lower [KAMAYA small quantity 30K/mth], M-type same price and YA-type 1% lower.</t>
  </si>
  <si>
    <t>TOTAL</t>
  </si>
  <si>
    <t>Capacity</t>
  </si>
  <si>
    <t>TBA</t>
  </si>
  <si>
    <t>KAMAYA FORECAST + 15% by MARUWA</t>
  </si>
  <si>
    <t>OTHERS</t>
  </si>
  <si>
    <t>QDS 60*49.5*0.10T&amp; 1632AM [HR75ARW] 3 sets give to Ms. Emily. KA0201 QDS send on 10-Jan together with shipment.</t>
  </si>
  <si>
    <t>Grey box cllection on 11-Jan Fri 3 pallets and 26-Jan 3 pallets.</t>
  </si>
  <si>
    <t>KA0201 QDS send on 10-Jan with shipment</t>
  </si>
  <si>
    <t>KAMAYA VDA audit on 22-Dec, MARUWA request</t>
  </si>
  <si>
    <t>to submit summary report ASAP.</t>
  </si>
  <si>
    <t>2 new plants &amp; production capacity</t>
  </si>
  <si>
    <t>3080M add rank32 reply by end Jan. If not reduce</t>
  </si>
  <si>
    <t>Mar shipment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</si>
</sst>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/d;@"/>
    <numFmt numFmtId="165" formatCode="#,##0.0"/>
  </numFmts>
  <fonts count="1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1"/>
      <name val="MS UI Gothic"/>
      <family val="2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  <font>
      <sz val="12"/>
      <color rgb="FF000000"/>
      <name val="MS UI Gothic"/>
      <family val="2"/>
    </font>
    <font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12">
    <xf numFmtId="0" fontId="0" fillId="0" borderId="0" xfId="0"/>
    <xf numFmtId="0" fontId="3" fillId="3" borderId="0" xfId="1" applyFont="1" applyFill="1" applyBorder="1" applyAlignment="1"/>
    <xf numFmtId="0" fontId="4" fillId="3" borderId="0" xfId="1" applyFont="1" applyFill="1" applyBorder="1">
      <alignment vertical="center"/>
    </xf>
    <xf numFmtId="0" fontId="6" fillId="3" borderId="0" xfId="1" applyFont="1" applyFill="1" applyBorder="1" applyAlignment="1"/>
    <xf numFmtId="0" fontId="4" fillId="3" borderId="0" xfId="1" applyFont="1" applyFill="1">
      <alignment vertical="center"/>
    </xf>
    <xf numFmtId="0" fontId="3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right" vertical="center"/>
    </xf>
    <xf numFmtId="0" fontId="3" fillId="3" borderId="0" xfId="1" applyFont="1" applyFill="1" applyBorder="1">
      <alignment vertical="center"/>
    </xf>
    <xf numFmtId="0" fontId="8" fillId="3" borderId="0" xfId="1" applyFont="1" applyFill="1" applyBorder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4" fillId="3" borderId="3" xfId="1" applyNumberFormat="1" applyFont="1" applyFill="1" applyBorder="1" applyAlignment="1">
      <alignment horizontal="left" vertical="center"/>
    </xf>
    <xf numFmtId="0" fontId="3" fillId="3" borderId="3" xfId="1" quotePrefix="1" applyNumberFormat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right" vertical="center"/>
    </xf>
    <xf numFmtId="0" fontId="4" fillId="3" borderId="4" xfId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left" vertical="center"/>
    </xf>
    <xf numFmtId="0" fontId="3" fillId="3" borderId="0" xfId="1" quotePrefix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right" vertical="center"/>
    </xf>
    <xf numFmtId="0" fontId="4" fillId="3" borderId="6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right" vertical="center"/>
    </xf>
    <xf numFmtId="0" fontId="4" fillId="3" borderId="8" xfId="1" applyNumberFormat="1" applyFont="1" applyFill="1" applyBorder="1" applyAlignment="1">
      <alignment horizontal="left" vertical="center"/>
    </xf>
    <xf numFmtId="0" fontId="4" fillId="3" borderId="3" xfId="1" quotePrefix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8" xfId="1" applyFont="1" applyFill="1" applyBorder="1">
      <alignment vertical="center"/>
    </xf>
    <xf numFmtId="0" fontId="4" fillId="3" borderId="5" xfId="1" applyFont="1" applyFill="1" applyBorder="1">
      <alignment vertical="center"/>
    </xf>
    <xf numFmtId="0" fontId="4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4" fillId="3" borderId="1" xfId="1" quotePrefix="1" applyFont="1" applyFill="1" applyBorder="1">
      <alignment vertical="center"/>
    </xf>
    <xf numFmtId="0" fontId="4" fillId="4" borderId="3" xfId="1" quotePrefix="1" applyFont="1" applyFill="1" applyBorder="1">
      <alignment vertical="center"/>
    </xf>
    <xf numFmtId="0" fontId="4" fillId="4" borderId="3" xfId="1" applyFont="1" applyFill="1" applyBorder="1">
      <alignment vertical="center"/>
    </xf>
    <xf numFmtId="0" fontId="4" fillId="4" borderId="4" xfId="1" applyFont="1" applyFill="1" applyBorder="1">
      <alignment vertical="center"/>
    </xf>
    <xf numFmtId="0" fontId="4" fillId="4" borderId="0" xfId="1" applyFont="1" applyFill="1" applyBorder="1">
      <alignment vertical="center"/>
    </xf>
    <xf numFmtId="0" fontId="4" fillId="4" borderId="6" xfId="1" applyFont="1" applyFill="1" applyBorder="1">
      <alignment vertical="center"/>
    </xf>
    <xf numFmtId="0" fontId="4" fillId="4" borderId="0" xfId="1" applyFont="1" applyFill="1" applyBorder="1" applyAlignment="1">
      <alignment horizontal="left" vertical="center"/>
    </xf>
    <xf numFmtId="0" fontId="4" fillId="4" borderId="0" xfId="1" applyFont="1" applyFill="1" applyBorder="1" applyAlignment="1">
      <alignment horizontal="center" vertical="center"/>
    </xf>
    <xf numFmtId="0" fontId="4" fillId="4" borderId="1" xfId="1" applyFont="1" applyFill="1" applyBorder="1">
      <alignment vertical="center"/>
    </xf>
    <xf numFmtId="0" fontId="4" fillId="4" borderId="1" xfId="1" applyFont="1" applyFill="1" applyBorder="1" applyAlignment="1">
      <alignment horizontal="left" vertical="center"/>
    </xf>
    <xf numFmtId="0" fontId="4" fillId="4" borderId="8" xfId="1" applyFont="1" applyFill="1" applyBorder="1">
      <alignment vertical="center"/>
    </xf>
    <xf numFmtId="0" fontId="4" fillId="3" borderId="11" xfId="1" applyFont="1" applyFill="1" applyBorder="1">
      <alignment vertical="center"/>
    </xf>
    <xf numFmtId="0" fontId="11" fillId="5" borderId="10" xfId="0" applyFont="1" applyFill="1" applyBorder="1" applyAlignment="1">
      <alignment vertical="center"/>
    </xf>
    <xf numFmtId="0" fontId="11" fillId="6" borderId="10" xfId="0" applyFont="1" applyFill="1" applyBorder="1" applyAlignment="1">
      <alignment vertical="center"/>
    </xf>
    <xf numFmtId="0" fontId="4" fillId="6" borderId="11" xfId="1" applyFont="1" applyFill="1" applyBorder="1">
      <alignment vertical="center"/>
    </xf>
    <xf numFmtId="0" fontId="4" fillId="3" borderId="5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2" fillId="3" borderId="5" xfId="1" applyFont="1" applyFill="1" applyBorder="1">
      <alignment vertical="center"/>
    </xf>
    <xf numFmtId="165" fontId="4" fillId="3" borderId="9" xfId="1" applyNumberFormat="1" applyFont="1" applyFill="1" applyBorder="1" applyAlignment="1">
      <alignment horizontal="right" vertical="center"/>
    </xf>
    <xf numFmtId="0" fontId="4" fillId="6" borderId="10" xfId="1" applyFont="1" applyFill="1" applyBorder="1" applyAlignment="1">
      <alignment horizontal="center" vertical="center"/>
    </xf>
    <xf numFmtId="0" fontId="4" fillId="6" borderId="11" xfId="1" applyFont="1" applyFill="1" applyBorder="1" applyAlignment="1">
      <alignment horizontal="center" vertical="center"/>
    </xf>
    <xf numFmtId="0" fontId="4" fillId="6" borderId="12" xfId="1" applyFont="1" applyFill="1" applyBorder="1" applyAlignment="1">
      <alignment horizontal="center" vertical="center"/>
    </xf>
    <xf numFmtId="0" fontId="7" fillId="3" borderId="0" xfId="1" quotePrefix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 shrinkToFit="1"/>
    </xf>
    <xf numFmtId="0" fontId="4" fillId="3" borderId="2" xfId="1" quotePrefix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0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164" fontId="3" fillId="3" borderId="0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0" xfId="1" quotePrefix="1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3" fontId="4" fillId="3" borderId="9" xfId="1" applyNumberFormat="1" applyFont="1" applyFill="1" applyBorder="1" applyAlignment="1">
      <alignment horizontal="right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3" fontId="11" fillId="5" borderId="10" xfId="0" applyNumberFormat="1" applyFont="1" applyFill="1" applyBorder="1" applyAlignment="1">
      <alignment horizontal="right" vertical="center"/>
    </xf>
    <xf numFmtId="3" fontId="11" fillId="5" borderId="11" xfId="0" applyNumberFormat="1" applyFont="1" applyFill="1" applyBorder="1" applyAlignment="1">
      <alignment horizontal="right" vertical="center"/>
    </xf>
    <xf numFmtId="3" fontId="11" fillId="5" borderId="12" xfId="0" applyNumberFormat="1" applyFont="1" applyFill="1" applyBorder="1" applyAlignment="1">
      <alignment horizontal="right" vertical="center"/>
    </xf>
    <xf numFmtId="3" fontId="4" fillId="3" borderId="10" xfId="1" applyNumberFormat="1" applyFont="1" applyFill="1" applyBorder="1" applyAlignment="1">
      <alignment horizontal="right" vertical="center"/>
    </xf>
    <xf numFmtId="3" fontId="4" fillId="3" borderId="11" xfId="1" applyNumberFormat="1" applyFont="1" applyFill="1" applyBorder="1" applyAlignment="1">
      <alignment horizontal="right" vertical="center"/>
    </xf>
    <xf numFmtId="3" fontId="4" fillId="3" borderId="12" xfId="1" applyNumberFormat="1" applyFont="1" applyFill="1" applyBorder="1" applyAlignment="1">
      <alignment horizontal="right" vertical="center"/>
    </xf>
    <xf numFmtId="0" fontId="11" fillId="5" borderId="0" xfId="0" applyFont="1" applyFill="1" applyBorder="1" applyAlignment="1">
      <alignment vertical="center"/>
    </xf>
    <xf numFmtId="3" fontId="11" fillId="5" borderId="0" xfId="0" applyNumberFormat="1" applyFont="1" applyFill="1" applyBorder="1" applyAlignment="1">
      <alignment horizontal="right" vertical="center"/>
    </xf>
    <xf numFmtId="3" fontId="4" fillId="3" borderId="0" xfId="1" applyNumberFormat="1" applyFont="1" applyFill="1" applyBorder="1" applyAlignment="1">
      <alignment horizontal="right" vertical="center"/>
    </xf>
    <xf numFmtId="165" fontId="4" fillId="3" borderId="0" xfId="1" applyNumberFormat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BN71"/>
  <sheetViews>
    <sheetView tabSelected="1" topLeftCell="A10" zoomScaleNormal="100" workbookViewId="0">
      <selection activeCell="AI21" sqref="AI21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 t="s">
        <v>9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2"/>
      <c r="AL1" s="3" t="s">
        <v>16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2"/>
      <c r="AL2" s="2" t="s">
        <v>8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2"/>
      <c r="AL3" s="2" t="s">
        <v>7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17</v>
      </c>
    </row>
    <row r="5" spans="2:66" ht="14.25" customHeight="1">
      <c r="B5" s="79" t="s">
        <v>12</v>
      </c>
      <c r="C5" s="79"/>
      <c r="D5" s="79"/>
      <c r="E5" s="79"/>
      <c r="F5" s="79"/>
      <c r="G5" s="82">
        <v>43109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2"/>
      <c r="S5" s="62" t="s">
        <v>10</v>
      </c>
      <c r="T5" s="62"/>
      <c r="U5" s="62"/>
      <c r="V5" s="62"/>
      <c r="W5" s="62"/>
      <c r="X5" s="62"/>
      <c r="Y5" s="81" t="s">
        <v>23</v>
      </c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79"/>
      <c r="C6" s="79"/>
      <c r="D6" s="79"/>
      <c r="E6" s="79"/>
      <c r="F6" s="79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2"/>
      <c r="S6" s="65"/>
      <c r="T6" s="65"/>
      <c r="U6" s="65"/>
      <c r="V6" s="65"/>
      <c r="W6" s="65"/>
      <c r="X6" s="65"/>
      <c r="Y6" s="80" t="s">
        <v>22</v>
      </c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2"/>
      <c r="AL6" s="8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2:66" ht="14.25" customHeight="1">
      <c r="B7" s="67" t="s">
        <v>3</v>
      </c>
      <c r="C7" s="67"/>
      <c r="D7" s="67"/>
      <c r="E7" s="67"/>
      <c r="F7" s="67"/>
      <c r="G7" s="2"/>
      <c r="H7" s="79" t="s">
        <v>19</v>
      </c>
      <c r="I7" s="79"/>
      <c r="J7" s="79"/>
      <c r="K7" s="2"/>
      <c r="L7" s="100" t="s">
        <v>20</v>
      </c>
      <c r="M7" s="100"/>
      <c r="N7" s="100"/>
      <c r="O7" s="2"/>
      <c r="P7" s="2"/>
      <c r="Q7" s="2"/>
      <c r="R7" s="2"/>
      <c r="S7" s="59" t="s">
        <v>11</v>
      </c>
      <c r="T7" s="59"/>
      <c r="U7" s="59"/>
      <c r="V7" s="59"/>
      <c r="W7" s="59"/>
      <c r="X7" s="59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2"/>
      <c r="AL7" s="8" t="s">
        <v>13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67"/>
      <c r="C8" s="67"/>
      <c r="D8" s="67"/>
      <c r="E8" s="67"/>
      <c r="F8" s="67"/>
      <c r="G8" s="2"/>
      <c r="H8" s="79"/>
      <c r="I8" s="79"/>
      <c r="J8" s="79"/>
      <c r="K8" s="12"/>
      <c r="L8" s="100"/>
      <c r="M8" s="100"/>
      <c r="N8" s="100"/>
      <c r="O8" s="2"/>
      <c r="P8" s="2"/>
      <c r="Q8" s="2"/>
      <c r="R8" s="2"/>
      <c r="S8" s="62"/>
      <c r="T8" s="62"/>
      <c r="U8" s="62"/>
      <c r="V8" s="62"/>
      <c r="W8" s="62"/>
      <c r="X8" s="62"/>
      <c r="Y8" s="93" t="s">
        <v>27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2"/>
      <c r="AL8" s="5" t="s">
        <v>21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67"/>
      <c r="C9" s="67"/>
      <c r="D9" s="67"/>
      <c r="E9" s="67"/>
      <c r="F9" s="67"/>
      <c r="G9" s="2"/>
      <c r="H9" s="79"/>
      <c r="I9" s="79"/>
      <c r="J9" s="79"/>
      <c r="K9" s="2"/>
      <c r="L9" s="100"/>
      <c r="M9" s="100"/>
      <c r="N9" s="100"/>
      <c r="O9" s="2"/>
      <c r="P9" s="2"/>
      <c r="Q9" s="2"/>
      <c r="R9" s="2"/>
      <c r="S9" s="65"/>
      <c r="T9" s="65"/>
      <c r="U9" s="65"/>
      <c r="V9" s="65"/>
      <c r="W9" s="65"/>
      <c r="X9" s="65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2"/>
      <c r="AL9" s="13" t="s">
        <v>14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15</v>
      </c>
      <c r="AY10" s="2"/>
      <c r="AZ10" s="2"/>
    </row>
    <row r="11" spans="2:66" ht="13.5" customHeight="1">
      <c r="B11" s="58" t="s">
        <v>0</v>
      </c>
      <c r="C11" s="59"/>
      <c r="D11" s="59"/>
      <c r="E11" s="59"/>
      <c r="F11" s="59"/>
      <c r="G11" s="83" t="s">
        <v>28</v>
      </c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5"/>
      <c r="Z11" s="68" t="s">
        <v>1</v>
      </c>
      <c r="AA11" s="59"/>
      <c r="AB11" s="59"/>
      <c r="AC11" s="59"/>
      <c r="AD11" s="60"/>
      <c r="AE11" s="15" t="s">
        <v>60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61"/>
      <c r="C12" s="62"/>
      <c r="D12" s="62"/>
      <c r="E12" s="62"/>
      <c r="F12" s="62"/>
      <c r="G12" s="86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8"/>
      <c r="Z12" s="61"/>
      <c r="AA12" s="62"/>
      <c r="AB12" s="62"/>
      <c r="AC12" s="62"/>
      <c r="AD12" s="63"/>
      <c r="AE12" s="19" t="s">
        <v>61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61"/>
      <c r="C13" s="62"/>
      <c r="D13" s="62"/>
      <c r="E13" s="62"/>
      <c r="F13" s="62"/>
      <c r="G13" s="86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8"/>
      <c r="Z13" s="61"/>
      <c r="AA13" s="62"/>
      <c r="AB13" s="62"/>
      <c r="AC13" s="62"/>
      <c r="AD13" s="63"/>
      <c r="AE13" s="19" t="s">
        <v>62</v>
      </c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64"/>
      <c r="C14" s="65"/>
      <c r="D14" s="65"/>
      <c r="E14" s="65"/>
      <c r="F14" s="65"/>
      <c r="G14" s="89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  <c r="Z14" s="64"/>
      <c r="AA14" s="65"/>
      <c r="AB14" s="65"/>
      <c r="AC14" s="65"/>
      <c r="AD14" s="66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57"/>
      <c r="BF14" s="57"/>
    </row>
    <row r="15" spans="2:66" ht="14.25" customHeight="1">
      <c r="B15" s="58" t="s">
        <v>24</v>
      </c>
      <c r="C15" s="59"/>
      <c r="D15" s="59"/>
      <c r="E15" s="59"/>
      <c r="F15" s="60"/>
      <c r="G15" s="26" t="s">
        <v>25</v>
      </c>
      <c r="H15" s="27" t="s">
        <v>29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9" t="s">
        <v>26</v>
      </c>
      <c r="AA15" s="70"/>
      <c r="AB15" s="70"/>
      <c r="AC15" s="70"/>
      <c r="AD15" s="71"/>
      <c r="AE15" s="36" t="s">
        <v>25</v>
      </c>
      <c r="AF15" s="37" t="s">
        <v>95</v>
      </c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8"/>
      <c r="BE15" s="57"/>
      <c r="BF15" s="57"/>
    </row>
    <row r="16" spans="2:66">
      <c r="B16" s="61"/>
      <c r="C16" s="62"/>
      <c r="D16" s="62"/>
      <c r="E16" s="62"/>
      <c r="F16" s="63"/>
      <c r="G16" s="2" t="s">
        <v>25</v>
      </c>
      <c r="H16" s="2" t="s">
        <v>98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2"/>
      <c r="AA16" s="73"/>
      <c r="AB16" s="73"/>
      <c r="AC16" s="73"/>
      <c r="AD16" s="74"/>
      <c r="AE16" s="39" t="s">
        <v>25</v>
      </c>
      <c r="AF16" s="39" t="s">
        <v>96</v>
      </c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40"/>
    </row>
    <row r="17" spans="2:50">
      <c r="B17" s="61"/>
      <c r="C17" s="62"/>
      <c r="D17" s="62"/>
      <c r="E17" s="62"/>
      <c r="F17" s="63"/>
      <c r="G17" s="2" t="s">
        <v>25</v>
      </c>
      <c r="H17" s="29" t="s">
        <v>63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2"/>
      <c r="AA17" s="73"/>
      <c r="AB17" s="73"/>
      <c r="AC17" s="73"/>
      <c r="AD17" s="74"/>
      <c r="AE17" s="39"/>
      <c r="AF17" s="41" t="s">
        <v>97</v>
      </c>
      <c r="AG17" s="42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40"/>
    </row>
    <row r="18" spans="2:50">
      <c r="B18" s="61"/>
      <c r="C18" s="62"/>
      <c r="D18" s="62"/>
      <c r="E18" s="62"/>
      <c r="F18" s="63"/>
      <c r="G18" s="2" t="s">
        <v>25</v>
      </c>
      <c r="H18" s="29" t="s">
        <v>58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2"/>
      <c r="AA18" s="73"/>
      <c r="AB18" s="73"/>
      <c r="AC18" s="73"/>
      <c r="AD18" s="74"/>
      <c r="AE18" s="39" t="s">
        <v>25</v>
      </c>
      <c r="AF18" s="41" t="s">
        <v>99</v>
      </c>
      <c r="AG18" s="42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40"/>
    </row>
    <row r="19" spans="2:50">
      <c r="B19" s="61"/>
      <c r="C19" s="62"/>
      <c r="D19" s="62"/>
      <c r="E19" s="62"/>
      <c r="F19" s="63"/>
      <c r="G19" s="2" t="s">
        <v>25</v>
      </c>
      <c r="H19" s="2" t="s">
        <v>57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2"/>
      <c r="AA19" s="73"/>
      <c r="AB19" s="73"/>
      <c r="AC19" s="73"/>
      <c r="AD19" s="74"/>
      <c r="AE19" s="39"/>
      <c r="AF19" s="41" t="s">
        <v>100</v>
      </c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40"/>
    </row>
    <row r="20" spans="2:50">
      <c r="B20" s="61"/>
      <c r="C20" s="62"/>
      <c r="D20" s="62"/>
      <c r="E20" s="62"/>
      <c r="F20" s="63"/>
      <c r="G20" s="2" t="s">
        <v>25</v>
      </c>
      <c r="H20" s="2" t="s">
        <v>64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72"/>
      <c r="AA20" s="73"/>
      <c r="AB20" s="73"/>
      <c r="AC20" s="73"/>
      <c r="AD20" s="74"/>
      <c r="AE20" s="39" t="s">
        <v>25</v>
      </c>
      <c r="AF20" s="41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40"/>
    </row>
    <row r="21" spans="2:50" ht="15" thickBot="1">
      <c r="B21" s="64"/>
      <c r="C21" s="65"/>
      <c r="D21" s="65"/>
      <c r="E21" s="65"/>
      <c r="F21" s="66"/>
      <c r="G21" s="33" t="s">
        <v>25</v>
      </c>
      <c r="H21" s="30" t="s">
        <v>65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75"/>
      <c r="AA21" s="76"/>
      <c r="AB21" s="76"/>
      <c r="AC21" s="76"/>
      <c r="AD21" s="77"/>
      <c r="AE21" s="43" t="s">
        <v>25</v>
      </c>
      <c r="AF21" s="44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5"/>
    </row>
    <row r="22" spans="2:50" ht="13.5" customHeight="1">
      <c r="B22" s="61" t="s">
        <v>2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3"/>
    </row>
    <row r="23" spans="2:50">
      <c r="B23" s="52" t="s">
        <v>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8"/>
    </row>
    <row r="24" spans="2:50" ht="15.75">
      <c r="B24" s="32" t="s">
        <v>25</v>
      </c>
      <c r="C24" s="2" t="s">
        <v>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8"/>
    </row>
    <row r="25" spans="2:50">
      <c r="B25" s="32"/>
      <c r="C25" s="2" t="s">
        <v>68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8"/>
    </row>
    <row r="26" spans="2:50">
      <c r="B26" s="32" t="s">
        <v>25</v>
      </c>
      <c r="C26" s="2" t="s">
        <v>69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8"/>
    </row>
    <row r="27" spans="2:50">
      <c r="B27" s="32"/>
      <c r="C27" s="2" t="s">
        <v>70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8"/>
    </row>
    <row r="28" spans="2:50">
      <c r="B28" s="32"/>
      <c r="C28" s="2" t="s">
        <v>71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8"/>
    </row>
    <row r="29" spans="2:50">
      <c r="B29" s="32" t="s">
        <v>25</v>
      </c>
      <c r="C29" s="2" t="s">
        <v>72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8"/>
    </row>
    <row r="30" spans="2:50">
      <c r="B30" s="32"/>
      <c r="C30" s="2" t="s">
        <v>73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8"/>
    </row>
    <row r="31" spans="2:50">
      <c r="B31" s="3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8"/>
    </row>
    <row r="32" spans="2:50">
      <c r="B32" s="52" t="s">
        <v>76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8"/>
    </row>
    <row r="33" spans="2:60">
      <c r="B33" s="32" t="s">
        <v>25</v>
      </c>
      <c r="C33" s="2" t="s">
        <v>77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8"/>
    </row>
    <row r="34" spans="2:60">
      <c r="B34" s="32"/>
      <c r="C34" s="2" t="s">
        <v>78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8"/>
    </row>
    <row r="35" spans="2:60">
      <c r="B35" s="32"/>
      <c r="C35" s="2" t="s">
        <v>79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8"/>
    </row>
    <row r="36" spans="2:60">
      <c r="B36" s="32"/>
      <c r="C36" s="2" t="s">
        <v>80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8"/>
    </row>
    <row r="37" spans="2:60" ht="15" customHeight="1">
      <c r="B37" s="32" t="s">
        <v>25</v>
      </c>
      <c r="C37" s="2" t="s">
        <v>81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8"/>
    </row>
    <row r="38" spans="2:60">
      <c r="B38" s="32"/>
      <c r="C38" s="2" t="s">
        <v>82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8"/>
    </row>
    <row r="39" spans="2:60" ht="14.25" customHeight="1">
      <c r="B39" s="3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8"/>
    </row>
    <row r="40" spans="2:60">
      <c r="B40" s="52" t="s">
        <v>83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8"/>
    </row>
    <row r="41" spans="2:60" ht="15" customHeight="1">
      <c r="B41" s="32" t="s">
        <v>25</v>
      </c>
      <c r="C41" s="2" t="s">
        <v>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8"/>
    </row>
    <row r="42" spans="2:60">
      <c r="B42" s="32"/>
      <c r="C42" s="2" t="s">
        <v>85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8"/>
    </row>
    <row r="43" spans="2:60">
      <c r="B43" s="32"/>
      <c r="C43" s="2" t="s">
        <v>86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8"/>
    </row>
    <row r="44" spans="2:60">
      <c r="B44" s="32"/>
      <c r="C44" s="2" t="s">
        <v>87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8"/>
    </row>
    <row r="45" spans="2:60">
      <c r="B45" s="3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8"/>
    </row>
    <row r="46" spans="2:60">
      <c r="B46" s="52" t="s">
        <v>91</v>
      </c>
      <c r="C46" s="11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7" t="s">
        <v>59</v>
      </c>
      <c r="AX46" s="28"/>
    </row>
    <row r="47" spans="2:60">
      <c r="B47" s="32"/>
      <c r="C47" s="48" t="s">
        <v>30</v>
      </c>
      <c r="D47" s="49"/>
      <c r="E47" s="49"/>
      <c r="F47" s="49"/>
      <c r="G47" s="49"/>
      <c r="H47" s="49"/>
      <c r="I47" s="94" t="s">
        <v>89</v>
      </c>
      <c r="J47" s="95"/>
      <c r="K47" s="95"/>
      <c r="L47" s="95"/>
      <c r="M47" s="96"/>
      <c r="N47" s="54" t="s">
        <v>48</v>
      </c>
      <c r="O47" s="55"/>
      <c r="P47" s="56"/>
      <c r="Q47" s="54" t="s">
        <v>49</v>
      </c>
      <c r="R47" s="55"/>
      <c r="S47" s="56"/>
      <c r="T47" s="54" t="s">
        <v>50</v>
      </c>
      <c r="U47" s="55"/>
      <c r="V47" s="56"/>
      <c r="W47" s="54" t="s">
        <v>51</v>
      </c>
      <c r="X47" s="55"/>
      <c r="Y47" s="56"/>
      <c r="Z47" s="54" t="s">
        <v>52</v>
      </c>
      <c r="AA47" s="55"/>
      <c r="AB47" s="56"/>
      <c r="AC47" s="54" t="s">
        <v>53</v>
      </c>
      <c r="AD47" s="55"/>
      <c r="AE47" s="56"/>
      <c r="AF47" s="54" t="s">
        <v>54</v>
      </c>
      <c r="AG47" s="55"/>
      <c r="AH47" s="56"/>
      <c r="AI47" s="54" t="s">
        <v>55</v>
      </c>
      <c r="AJ47" s="55"/>
      <c r="AK47" s="56"/>
      <c r="AL47" s="54" t="s">
        <v>56</v>
      </c>
      <c r="AM47" s="55"/>
      <c r="AN47" s="56"/>
      <c r="AO47" s="54" t="s">
        <v>45</v>
      </c>
      <c r="AP47" s="55"/>
      <c r="AQ47" s="56"/>
      <c r="AR47" s="54" t="s">
        <v>46</v>
      </c>
      <c r="AS47" s="55"/>
      <c r="AT47" s="56"/>
      <c r="AU47" s="54" t="s">
        <v>47</v>
      </c>
      <c r="AV47" s="55"/>
      <c r="AW47" s="56"/>
      <c r="AX47" s="28"/>
      <c r="AZ47" s="54" t="s">
        <v>45</v>
      </c>
      <c r="BA47" s="55"/>
      <c r="BB47" s="56"/>
      <c r="BC47" s="54" t="s">
        <v>46</v>
      </c>
      <c r="BD47" s="55"/>
      <c r="BE47" s="56"/>
      <c r="BF47" s="54" t="s">
        <v>47</v>
      </c>
      <c r="BG47" s="55"/>
      <c r="BH47" s="56"/>
    </row>
    <row r="48" spans="2:60">
      <c r="B48" s="32"/>
      <c r="C48" s="47" t="s">
        <v>43</v>
      </c>
      <c r="D48" s="46"/>
      <c r="E48" s="46"/>
      <c r="F48" s="46"/>
      <c r="G48" s="46"/>
      <c r="H48" s="46"/>
      <c r="I48" s="101">
        <v>20</v>
      </c>
      <c r="J48" s="102"/>
      <c r="K48" s="102"/>
      <c r="L48" s="102"/>
      <c r="M48" s="103"/>
      <c r="N48" s="97">
        <v>20</v>
      </c>
      <c r="O48" s="97"/>
      <c r="P48" s="97"/>
      <c r="Q48" s="97">
        <v>20</v>
      </c>
      <c r="R48" s="97"/>
      <c r="S48" s="97"/>
      <c r="T48" s="97">
        <v>20</v>
      </c>
      <c r="U48" s="97"/>
      <c r="V48" s="97"/>
      <c r="W48" s="97">
        <v>20</v>
      </c>
      <c r="X48" s="97"/>
      <c r="Y48" s="97"/>
      <c r="Z48" s="97">
        <v>20</v>
      </c>
      <c r="AA48" s="97"/>
      <c r="AB48" s="97"/>
      <c r="AC48" s="97">
        <v>20</v>
      </c>
      <c r="AD48" s="97"/>
      <c r="AE48" s="97"/>
      <c r="AF48" s="97">
        <v>20</v>
      </c>
      <c r="AG48" s="97"/>
      <c r="AH48" s="97"/>
      <c r="AI48" s="97">
        <v>20</v>
      </c>
      <c r="AJ48" s="97"/>
      <c r="AK48" s="97"/>
      <c r="AL48" s="97">
        <v>20</v>
      </c>
      <c r="AM48" s="97"/>
      <c r="AN48" s="97"/>
      <c r="AO48" s="97">
        <v>20</v>
      </c>
      <c r="AP48" s="97"/>
      <c r="AQ48" s="97"/>
      <c r="AR48" s="97">
        <v>20</v>
      </c>
      <c r="AS48" s="97"/>
      <c r="AT48" s="97"/>
      <c r="AU48" s="97">
        <v>20</v>
      </c>
      <c r="AV48" s="97"/>
      <c r="AW48" s="97"/>
      <c r="AX48" s="28"/>
      <c r="AZ48" s="53"/>
      <c r="BA48" s="53"/>
      <c r="BB48" s="53"/>
      <c r="BC48" s="53"/>
      <c r="BD48" s="53"/>
      <c r="BE48" s="53"/>
      <c r="BF48" s="53"/>
      <c r="BG48" s="53"/>
      <c r="BH48" s="53"/>
    </row>
    <row r="49" spans="2:60">
      <c r="B49" s="32"/>
      <c r="C49" s="47" t="s">
        <v>44</v>
      </c>
      <c r="D49" s="46"/>
      <c r="E49" s="46"/>
      <c r="F49" s="46"/>
      <c r="G49" s="46"/>
      <c r="H49" s="46"/>
      <c r="I49" s="101"/>
      <c r="J49" s="102"/>
      <c r="K49" s="102"/>
      <c r="L49" s="102"/>
      <c r="M49" s="103"/>
      <c r="N49" s="97" t="s">
        <v>90</v>
      </c>
      <c r="O49" s="97"/>
      <c r="P49" s="97"/>
      <c r="Q49" s="97" t="s">
        <v>90</v>
      </c>
      <c r="R49" s="97"/>
      <c r="S49" s="97"/>
      <c r="T49" s="97" t="s">
        <v>90</v>
      </c>
      <c r="U49" s="97"/>
      <c r="V49" s="97"/>
      <c r="W49" s="97" t="s">
        <v>90</v>
      </c>
      <c r="X49" s="97"/>
      <c r="Y49" s="97"/>
      <c r="Z49" s="97" t="s">
        <v>90</v>
      </c>
      <c r="AA49" s="97"/>
      <c r="AB49" s="97"/>
      <c r="AC49" s="97" t="s">
        <v>90</v>
      </c>
      <c r="AD49" s="97"/>
      <c r="AE49" s="97"/>
      <c r="AF49" s="97" t="s">
        <v>90</v>
      </c>
      <c r="AG49" s="97"/>
      <c r="AH49" s="97"/>
      <c r="AI49" s="97" t="s">
        <v>90</v>
      </c>
      <c r="AJ49" s="97"/>
      <c r="AK49" s="97"/>
      <c r="AL49" s="97" t="s">
        <v>90</v>
      </c>
      <c r="AM49" s="97"/>
      <c r="AN49" s="97"/>
      <c r="AO49" s="97" t="s">
        <v>90</v>
      </c>
      <c r="AP49" s="97"/>
      <c r="AQ49" s="97"/>
      <c r="AR49" s="97" t="s">
        <v>90</v>
      </c>
      <c r="AS49" s="97"/>
      <c r="AT49" s="97"/>
      <c r="AU49" s="97" t="s">
        <v>90</v>
      </c>
      <c r="AV49" s="97"/>
      <c r="AW49" s="97"/>
      <c r="AX49" s="28"/>
      <c r="AZ49" s="53"/>
      <c r="BA49" s="53"/>
      <c r="BB49" s="53"/>
      <c r="BC49" s="53"/>
      <c r="BD49" s="53"/>
      <c r="BE49" s="53"/>
      <c r="BF49" s="53"/>
      <c r="BG49" s="53"/>
      <c r="BH49" s="53"/>
    </row>
    <row r="50" spans="2:60">
      <c r="B50" s="32"/>
      <c r="C50" s="47" t="s">
        <v>31</v>
      </c>
      <c r="D50" s="46"/>
      <c r="E50" s="46"/>
      <c r="F50" s="46"/>
      <c r="G50" s="46"/>
      <c r="H50" s="46"/>
      <c r="I50" s="101">
        <v>14</v>
      </c>
      <c r="J50" s="102"/>
      <c r="K50" s="102"/>
      <c r="L50" s="102"/>
      <c r="M50" s="103"/>
      <c r="N50" s="97">
        <v>10</v>
      </c>
      <c r="O50" s="97"/>
      <c r="P50" s="97"/>
      <c r="Q50" s="97">
        <v>10</v>
      </c>
      <c r="R50" s="97"/>
      <c r="S50" s="97"/>
      <c r="T50" s="97">
        <v>10</v>
      </c>
      <c r="U50" s="97"/>
      <c r="V50" s="97"/>
      <c r="W50" s="97">
        <v>10</v>
      </c>
      <c r="X50" s="97"/>
      <c r="Y50" s="97"/>
      <c r="Z50" s="97">
        <v>10</v>
      </c>
      <c r="AA50" s="97"/>
      <c r="AB50" s="97"/>
      <c r="AC50" s="97">
        <v>10</v>
      </c>
      <c r="AD50" s="97"/>
      <c r="AE50" s="97"/>
      <c r="AF50" s="97">
        <v>10</v>
      </c>
      <c r="AG50" s="97"/>
      <c r="AH50" s="97"/>
      <c r="AI50" s="97">
        <v>10</v>
      </c>
      <c r="AJ50" s="97"/>
      <c r="AK50" s="97"/>
      <c r="AL50" s="97">
        <v>10</v>
      </c>
      <c r="AM50" s="97"/>
      <c r="AN50" s="97"/>
      <c r="AO50" s="97">
        <v>10</v>
      </c>
      <c r="AP50" s="97"/>
      <c r="AQ50" s="97"/>
      <c r="AR50" s="97">
        <v>10</v>
      </c>
      <c r="AS50" s="97"/>
      <c r="AT50" s="97"/>
      <c r="AU50" s="97">
        <v>10</v>
      </c>
      <c r="AV50" s="97"/>
      <c r="AW50" s="97"/>
      <c r="AX50" s="28"/>
      <c r="AZ50" s="53"/>
      <c r="BA50" s="53"/>
      <c r="BB50" s="53"/>
      <c r="BC50" s="53"/>
      <c r="BD50" s="53"/>
      <c r="BE50" s="53"/>
      <c r="BF50" s="53"/>
      <c r="BG50" s="53"/>
      <c r="BH50" s="53"/>
    </row>
    <row r="51" spans="2:60">
      <c r="B51" s="32"/>
      <c r="C51" s="47" t="s">
        <v>32</v>
      </c>
      <c r="D51" s="46"/>
      <c r="E51" s="46"/>
      <c r="F51" s="46"/>
      <c r="G51" s="46"/>
      <c r="H51" s="46"/>
      <c r="I51" s="101"/>
      <c r="J51" s="102"/>
      <c r="K51" s="102"/>
      <c r="L51" s="102"/>
      <c r="M51" s="103"/>
      <c r="N51" s="97" t="s">
        <v>90</v>
      </c>
      <c r="O51" s="97"/>
      <c r="P51" s="97"/>
      <c r="Q51" s="97" t="s">
        <v>90</v>
      </c>
      <c r="R51" s="97"/>
      <c r="S51" s="97"/>
      <c r="T51" s="97" t="s">
        <v>90</v>
      </c>
      <c r="U51" s="97"/>
      <c r="V51" s="97"/>
      <c r="W51" s="97" t="s">
        <v>90</v>
      </c>
      <c r="X51" s="97"/>
      <c r="Y51" s="97"/>
      <c r="Z51" s="97" t="s">
        <v>90</v>
      </c>
      <c r="AA51" s="97"/>
      <c r="AB51" s="97"/>
      <c r="AC51" s="97" t="s">
        <v>90</v>
      </c>
      <c r="AD51" s="97"/>
      <c r="AE51" s="97"/>
      <c r="AF51" s="97" t="s">
        <v>90</v>
      </c>
      <c r="AG51" s="97"/>
      <c r="AH51" s="97"/>
      <c r="AI51" s="97" t="s">
        <v>90</v>
      </c>
      <c r="AJ51" s="97"/>
      <c r="AK51" s="97"/>
      <c r="AL51" s="97" t="s">
        <v>90</v>
      </c>
      <c r="AM51" s="97"/>
      <c r="AN51" s="97"/>
      <c r="AO51" s="97" t="s">
        <v>90</v>
      </c>
      <c r="AP51" s="97"/>
      <c r="AQ51" s="97"/>
      <c r="AR51" s="97" t="s">
        <v>90</v>
      </c>
      <c r="AS51" s="97"/>
      <c r="AT51" s="97"/>
      <c r="AU51" s="97" t="s">
        <v>90</v>
      </c>
      <c r="AV51" s="97"/>
      <c r="AW51" s="97"/>
      <c r="AX51" s="28"/>
      <c r="AZ51" s="53"/>
      <c r="BA51" s="53"/>
      <c r="BB51" s="53"/>
      <c r="BC51" s="53"/>
      <c r="BD51" s="53"/>
      <c r="BE51" s="53"/>
      <c r="BF51" s="53"/>
      <c r="BG51" s="53"/>
      <c r="BH51" s="53"/>
    </row>
    <row r="52" spans="2:60">
      <c r="B52" s="32"/>
      <c r="C52" s="47" t="s">
        <v>33</v>
      </c>
      <c r="D52" s="46"/>
      <c r="E52" s="46"/>
      <c r="F52" s="46"/>
      <c r="G52" s="46"/>
      <c r="H52" s="46"/>
      <c r="I52" s="101"/>
      <c r="J52" s="102"/>
      <c r="K52" s="102"/>
      <c r="L52" s="102"/>
      <c r="M52" s="103"/>
      <c r="N52" s="97">
        <v>50</v>
      </c>
      <c r="O52" s="97"/>
      <c r="P52" s="97"/>
      <c r="Q52" s="104">
        <v>50</v>
      </c>
      <c r="R52" s="105"/>
      <c r="S52" s="106"/>
      <c r="T52" s="104">
        <v>50</v>
      </c>
      <c r="U52" s="105"/>
      <c r="V52" s="106"/>
      <c r="W52" s="104">
        <v>50</v>
      </c>
      <c r="X52" s="105"/>
      <c r="Y52" s="106"/>
      <c r="Z52" s="104">
        <v>50</v>
      </c>
      <c r="AA52" s="105"/>
      <c r="AB52" s="106"/>
      <c r="AC52" s="104">
        <v>50</v>
      </c>
      <c r="AD52" s="105"/>
      <c r="AE52" s="106"/>
      <c r="AF52" s="104">
        <v>50</v>
      </c>
      <c r="AG52" s="105"/>
      <c r="AH52" s="106"/>
      <c r="AI52" s="104">
        <v>50</v>
      </c>
      <c r="AJ52" s="105"/>
      <c r="AK52" s="106"/>
      <c r="AL52" s="104">
        <v>50</v>
      </c>
      <c r="AM52" s="105"/>
      <c r="AN52" s="106"/>
      <c r="AO52" s="104">
        <v>50</v>
      </c>
      <c r="AP52" s="105"/>
      <c r="AQ52" s="106"/>
      <c r="AR52" s="104">
        <v>50</v>
      </c>
      <c r="AS52" s="105"/>
      <c r="AT52" s="106"/>
      <c r="AU52" s="104">
        <v>50</v>
      </c>
      <c r="AV52" s="105"/>
      <c r="AW52" s="106"/>
      <c r="AX52" s="28"/>
      <c r="AZ52" s="53"/>
      <c r="BA52" s="53"/>
      <c r="BB52" s="53"/>
      <c r="BC52" s="53"/>
      <c r="BD52" s="53"/>
      <c r="BE52" s="53"/>
      <c r="BF52" s="53"/>
      <c r="BG52" s="53"/>
      <c r="BH52" s="53"/>
    </row>
    <row r="53" spans="2:60">
      <c r="B53" s="32"/>
      <c r="C53" s="47" t="s">
        <v>34</v>
      </c>
      <c r="D53" s="46"/>
      <c r="E53" s="46"/>
      <c r="F53" s="46"/>
      <c r="G53" s="46"/>
      <c r="H53" s="46"/>
      <c r="I53" s="101"/>
      <c r="J53" s="102"/>
      <c r="K53" s="102"/>
      <c r="L53" s="102"/>
      <c r="M53" s="103"/>
      <c r="N53" s="97" t="s">
        <v>90</v>
      </c>
      <c r="O53" s="97"/>
      <c r="P53" s="97"/>
      <c r="Q53" s="97" t="s">
        <v>90</v>
      </c>
      <c r="R53" s="97"/>
      <c r="S53" s="97"/>
      <c r="T53" s="97" t="s">
        <v>90</v>
      </c>
      <c r="U53" s="97"/>
      <c r="V53" s="97"/>
      <c r="W53" s="97" t="s">
        <v>90</v>
      </c>
      <c r="X53" s="97"/>
      <c r="Y53" s="97"/>
      <c r="Z53" s="97" t="s">
        <v>90</v>
      </c>
      <c r="AA53" s="97"/>
      <c r="AB53" s="97"/>
      <c r="AC53" s="97" t="s">
        <v>90</v>
      </c>
      <c r="AD53" s="97"/>
      <c r="AE53" s="97"/>
      <c r="AF53" s="97" t="s">
        <v>90</v>
      </c>
      <c r="AG53" s="97"/>
      <c r="AH53" s="97"/>
      <c r="AI53" s="97" t="s">
        <v>90</v>
      </c>
      <c r="AJ53" s="97"/>
      <c r="AK53" s="97"/>
      <c r="AL53" s="97" t="s">
        <v>90</v>
      </c>
      <c r="AM53" s="97"/>
      <c r="AN53" s="97"/>
      <c r="AO53" s="97" t="s">
        <v>90</v>
      </c>
      <c r="AP53" s="97"/>
      <c r="AQ53" s="97"/>
      <c r="AR53" s="97" t="s">
        <v>90</v>
      </c>
      <c r="AS53" s="97"/>
      <c r="AT53" s="97"/>
      <c r="AU53" s="97" t="s">
        <v>90</v>
      </c>
      <c r="AV53" s="97"/>
      <c r="AW53" s="97"/>
      <c r="AX53" s="28"/>
      <c r="AZ53" s="53"/>
      <c r="BA53" s="53"/>
      <c r="BB53" s="53"/>
      <c r="BC53" s="53"/>
      <c r="BD53" s="53"/>
      <c r="BE53" s="53"/>
      <c r="BF53" s="53"/>
      <c r="BG53" s="53"/>
      <c r="BH53" s="53"/>
    </row>
    <row r="54" spans="2:60">
      <c r="B54" s="32"/>
      <c r="C54" s="47" t="s">
        <v>35</v>
      </c>
      <c r="D54" s="46"/>
      <c r="E54" s="46"/>
      <c r="F54" s="46"/>
      <c r="G54" s="46"/>
      <c r="H54" s="46"/>
      <c r="I54" s="101">
        <v>60</v>
      </c>
      <c r="J54" s="102"/>
      <c r="K54" s="102"/>
      <c r="L54" s="102"/>
      <c r="M54" s="103"/>
      <c r="N54" s="97">
        <v>30</v>
      </c>
      <c r="O54" s="97"/>
      <c r="P54" s="97"/>
      <c r="Q54" s="97">
        <v>30</v>
      </c>
      <c r="R54" s="97"/>
      <c r="S54" s="97"/>
      <c r="T54" s="97">
        <v>30</v>
      </c>
      <c r="U54" s="97"/>
      <c r="V54" s="97"/>
      <c r="W54" s="97">
        <v>60</v>
      </c>
      <c r="X54" s="97"/>
      <c r="Y54" s="97"/>
      <c r="Z54" s="97">
        <v>60</v>
      </c>
      <c r="AA54" s="97"/>
      <c r="AB54" s="97"/>
      <c r="AC54" s="97">
        <v>60</v>
      </c>
      <c r="AD54" s="97"/>
      <c r="AE54" s="97"/>
      <c r="AF54" s="97">
        <v>60</v>
      </c>
      <c r="AG54" s="97"/>
      <c r="AH54" s="97"/>
      <c r="AI54" s="97">
        <v>60</v>
      </c>
      <c r="AJ54" s="97"/>
      <c r="AK54" s="97"/>
      <c r="AL54" s="97">
        <v>60</v>
      </c>
      <c r="AM54" s="97"/>
      <c r="AN54" s="97"/>
      <c r="AO54" s="97">
        <v>60</v>
      </c>
      <c r="AP54" s="97"/>
      <c r="AQ54" s="97"/>
      <c r="AR54" s="97">
        <v>60</v>
      </c>
      <c r="AS54" s="97"/>
      <c r="AT54" s="97"/>
      <c r="AU54" s="97">
        <v>60</v>
      </c>
      <c r="AV54" s="97"/>
      <c r="AW54" s="97"/>
      <c r="AX54" s="28"/>
      <c r="AZ54" s="53">
        <v>1.6</v>
      </c>
      <c r="BA54" s="53"/>
      <c r="BB54" s="53"/>
      <c r="BC54" s="53"/>
      <c r="BD54" s="53"/>
      <c r="BE54" s="53"/>
      <c r="BF54" s="53"/>
      <c r="BG54" s="53"/>
      <c r="BH54" s="53"/>
    </row>
    <row r="55" spans="2:60">
      <c r="B55" s="32"/>
      <c r="C55" s="47" t="s">
        <v>36</v>
      </c>
      <c r="D55" s="46"/>
      <c r="E55" s="46"/>
      <c r="F55" s="46"/>
      <c r="G55" s="46"/>
      <c r="H55" s="46"/>
      <c r="I55" s="101">
        <v>30</v>
      </c>
      <c r="J55" s="102"/>
      <c r="K55" s="102"/>
      <c r="L55" s="102"/>
      <c r="M55" s="103"/>
      <c r="N55" s="97">
        <v>14</v>
      </c>
      <c r="O55" s="97"/>
      <c r="P55" s="97"/>
      <c r="Q55" s="97">
        <v>14</v>
      </c>
      <c r="R55" s="97"/>
      <c r="S55" s="97"/>
      <c r="T55" s="97">
        <v>14</v>
      </c>
      <c r="U55" s="97"/>
      <c r="V55" s="97"/>
      <c r="W55" s="97">
        <v>14</v>
      </c>
      <c r="X55" s="97"/>
      <c r="Y55" s="97"/>
      <c r="Z55" s="97">
        <v>14</v>
      </c>
      <c r="AA55" s="97"/>
      <c r="AB55" s="97"/>
      <c r="AC55" s="97">
        <v>14</v>
      </c>
      <c r="AD55" s="97"/>
      <c r="AE55" s="97"/>
      <c r="AF55" s="97">
        <v>14</v>
      </c>
      <c r="AG55" s="97"/>
      <c r="AH55" s="97"/>
      <c r="AI55" s="97">
        <v>14</v>
      </c>
      <c r="AJ55" s="97"/>
      <c r="AK55" s="97"/>
      <c r="AL55" s="97">
        <v>14</v>
      </c>
      <c r="AM55" s="97"/>
      <c r="AN55" s="97"/>
      <c r="AO55" s="97">
        <v>14</v>
      </c>
      <c r="AP55" s="97"/>
      <c r="AQ55" s="97"/>
      <c r="AR55" s="97">
        <v>14</v>
      </c>
      <c r="AS55" s="97"/>
      <c r="AT55" s="97"/>
      <c r="AU55" s="97">
        <v>14</v>
      </c>
      <c r="AV55" s="97"/>
      <c r="AW55" s="97"/>
      <c r="AX55" s="28"/>
      <c r="AZ55" s="53"/>
      <c r="BA55" s="53"/>
      <c r="BB55" s="53"/>
      <c r="BC55" s="53"/>
      <c r="BD55" s="53"/>
      <c r="BE55" s="53"/>
      <c r="BF55" s="53"/>
      <c r="BG55" s="53"/>
      <c r="BH55" s="53"/>
    </row>
    <row r="56" spans="2:60">
      <c r="B56" s="32"/>
      <c r="C56" s="47" t="s">
        <v>37</v>
      </c>
      <c r="D56" s="46"/>
      <c r="E56" s="46"/>
      <c r="F56" s="46"/>
      <c r="G56" s="46"/>
      <c r="H56" s="46"/>
      <c r="I56" s="101">
        <v>250</v>
      </c>
      <c r="J56" s="102"/>
      <c r="K56" s="102"/>
      <c r="L56" s="102"/>
      <c r="M56" s="103"/>
      <c r="N56" s="97">
        <v>150</v>
      </c>
      <c r="O56" s="97"/>
      <c r="P56" s="97"/>
      <c r="Q56" s="97">
        <v>150</v>
      </c>
      <c r="R56" s="97"/>
      <c r="S56" s="97"/>
      <c r="T56" s="97">
        <v>170</v>
      </c>
      <c r="U56" s="97"/>
      <c r="V56" s="97"/>
      <c r="W56" s="97">
        <v>180</v>
      </c>
      <c r="X56" s="97"/>
      <c r="Y56" s="97"/>
      <c r="Z56" s="97">
        <v>180</v>
      </c>
      <c r="AA56" s="97"/>
      <c r="AB56" s="97"/>
      <c r="AC56" s="97">
        <v>180</v>
      </c>
      <c r="AD56" s="97"/>
      <c r="AE56" s="97"/>
      <c r="AF56" s="97">
        <v>170</v>
      </c>
      <c r="AG56" s="97"/>
      <c r="AH56" s="97"/>
      <c r="AI56" s="97">
        <v>170</v>
      </c>
      <c r="AJ56" s="97"/>
      <c r="AK56" s="97"/>
      <c r="AL56" s="97">
        <v>170</v>
      </c>
      <c r="AM56" s="97"/>
      <c r="AN56" s="97"/>
      <c r="AO56" s="97">
        <v>170</v>
      </c>
      <c r="AP56" s="97"/>
      <c r="AQ56" s="97"/>
      <c r="AR56" s="97">
        <v>170</v>
      </c>
      <c r="AS56" s="97"/>
      <c r="AT56" s="97"/>
      <c r="AU56" s="97">
        <v>170</v>
      </c>
      <c r="AV56" s="97"/>
      <c r="AW56" s="97"/>
      <c r="AX56" s="28"/>
      <c r="AZ56" s="53">
        <v>240</v>
      </c>
      <c r="BA56" s="53"/>
      <c r="BB56" s="53"/>
      <c r="BC56" s="53">
        <v>240</v>
      </c>
      <c r="BD56" s="53"/>
      <c r="BE56" s="53"/>
      <c r="BF56" s="53"/>
      <c r="BG56" s="53"/>
      <c r="BH56" s="53"/>
    </row>
    <row r="57" spans="2:60">
      <c r="B57" s="32"/>
      <c r="C57" s="47" t="s">
        <v>38</v>
      </c>
      <c r="D57" s="46"/>
      <c r="E57" s="46"/>
      <c r="F57" s="46"/>
      <c r="G57" s="46"/>
      <c r="H57" s="46"/>
      <c r="I57" s="101">
        <v>150</v>
      </c>
      <c r="J57" s="102"/>
      <c r="K57" s="102"/>
      <c r="L57" s="102"/>
      <c r="M57" s="103"/>
      <c r="N57" s="97">
        <v>100</v>
      </c>
      <c r="O57" s="97"/>
      <c r="P57" s="97"/>
      <c r="Q57" s="97">
        <v>100</v>
      </c>
      <c r="R57" s="97"/>
      <c r="S57" s="97"/>
      <c r="T57" s="97">
        <v>100</v>
      </c>
      <c r="U57" s="97"/>
      <c r="V57" s="97"/>
      <c r="W57" s="97">
        <v>100</v>
      </c>
      <c r="X57" s="97"/>
      <c r="Y57" s="97"/>
      <c r="Z57" s="97">
        <v>100</v>
      </c>
      <c r="AA57" s="97"/>
      <c r="AB57" s="97"/>
      <c r="AC57" s="97">
        <v>100</v>
      </c>
      <c r="AD57" s="97"/>
      <c r="AE57" s="97"/>
      <c r="AF57" s="97">
        <v>100</v>
      </c>
      <c r="AG57" s="97"/>
      <c r="AH57" s="97"/>
      <c r="AI57" s="97">
        <v>100</v>
      </c>
      <c r="AJ57" s="97"/>
      <c r="AK57" s="97"/>
      <c r="AL57" s="97">
        <v>100</v>
      </c>
      <c r="AM57" s="97"/>
      <c r="AN57" s="97"/>
      <c r="AO57" s="97">
        <v>100</v>
      </c>
      <c r="AP57" s="97"/>
      <c r="AQ57" s="97"/>
      <c r="AR57" s="97">
        <v>100</v>
      </c>
      <c r="AS57" s="97"/>
      <c r="AT57" s="97"/>
      <c r="AU57" s="97">
        <v>100</v>
      </c>
      <c r="AV57" s="97"/>
      <c r="AW57" s="97"/>
      <c r="AX57" s="28"/>
      <c r="AZ57" s="53">
        <v>120</v>
      </c>
      <c r="BA57" s="53"/>
      <c r="BB57" s="53"/>
      <c r="BC57" s="53">
        <v>54</v>
      </c>
      <c r="BD57" s="53"/>
      <c r="BE57" s="53"/>
      <c r="BF57" s="53"/>
      <c r="BG57" s="53"/>
      <c r="BH57" s="53"/>
    </row>
    <row r="58" spans="2:60">
      <c r="B58" s="32"/>
      <c r="C58" s="47" t="s">
        <v>39</v>
      </c>
      <c r="D58" s="46"/>
      <c r="E58" s="46"/>
      <c r="F58" s="46"/>
      <c r="G58" s="46"/>
      <c r="H58" s="46"/>
      <c r="I58" s="101">
        <v>500</v>
      </c>
      <c r="J58" s="102"/>
      <c r="K58" s="102"/>
      <c r="L58" s="102"/>
      <c r="M58" s="103"/>
      <c r="N58" s="97">
        <v>345</v>
      </c>
      <c r="O58" s="97"/>
      <c r="P58" s="97"/>
      <c r="Q58" s="97">
        <v>400</v>
      </c>
      <c r="R58" s="97"/>
      <c r="S58" s="97"/>
      <c r="T58" s="97">
        <v>400</v>
      </c>
      <c r="U58" s="97"/>
      <c r="V58" s="97"/>
      <c r="W58" s="97">
        <v>400</v>
      </c>
      <c r="X58" s="97"/>
      <c r="Y58" s="97"/>
      <c r="Z58" s="97">
        <v>460</v>
      </c>
      <c r="AA58" s="97"/>
      <c r="AB58" s="97"/>
      <c r="AC58" s="97">
        <v>460</v>
      </c>
      <c r="AD58" s="97"/>
      <c r="AE58" s="97"/>
      <c r="AF58" s="97">
        <v>460</v>
      </c>
      <c r="AG58" s="97"/>
      <c r="AH58" s="97"/>
      <c r="AI58" s="97">
        <v>380</v>
      </c>
      <c r="AJ58" s="97"/>
      <c r="AK58" s="97"/>
      <c r="AL58" s="97">
        <v>380</v>
      </c>
      <c r="AM58" s="97"/>
      <c r="AN58" s="97"/>
      <c r="AO58" s="97">
        <v>380</v>
      </c>
      <c r="AP58" s="97"/>
      <c r="AQ58" s="97"/>
      <c r="AR58" s="97">
        <v>380</v>
      </c>
      <c r="AS58" s="97"/>
      <c r="AT58" s="97"/>
      <c r="AU58" s="97">
        <v>380</v>
      </c>
      <c r="AV58" s="97"/>
      <c r="AW58" s="97"/>
      <c r="AX58" s="28"/>
      <c r="AZ58" s="53">
        <v>501</v>
      </c>
      <c r="BA58" s="53"/>
      <c r="BB58" s="53"/>
      <c r="BC58" s="53">
        <v>501</v>
      </c>
      <c r="BD58" s="53"/>
      <c r="BE58" s="53"/>
      <c r="BF58" s="53"/>
      <c r="BG58" s="53"/>
      <c r="BH58" s="53"/>
    </row>
    <row r="59" spans="2:60">
      <c r="B59" s="32"/>
      <c r="C59" s="47" t="s">
        <v>40</v>
      </c>
      <c r="D59" s="46"/>
      <c r="E59" s="46"/>
      <c r="F59" s="46"/>
      <c r="G59" s="46"/>
      <c r="H59" s="46"/>
      <c r="I59" s="101">
        <v>50</v>
      </c>
      <c r="J59" s="102"/>
      <c r="K59" s="102"/>
      <c r="L59" s="102"/>
      <c r="M59" s="103"/>
      <c r="N59" s="97">
        <v>45</v>
      </c>
      <c r="O59" s="97"/>
      <c r="P59" s="97"/>
      <c r="Q59" s="97">
        <v>45</v>
      </c>
      <c r="R59" s="97"/>
      <c r="S59" s="97"/>
      <c r="T59" s="97">
        <v>45</v>
      </c>
      <c r="U59" s="97"/>
      <c r="V59" s="97"/>
      <c r="W59" s="97">
        <v>45</v>
      </c>
      <c r="X59" s="97"/>
      <c r="Y59" s="97"/>
      <c r="Z59" s="97">
        <v>45</v>
      </c>
      <c r="AA59" s="97"/>
      <c r="AB59" s="97"/>
      <c r="AC59" s="97">
        <v>45</v>
      </c>
      <c r="AD59" s="97"/>
      <c r="AE59" s="97"/>
      <c r="AF59" s="97">
        <v>45</v>
      </c>
      <c r="AG59" s="97"/>
      <c r="AH59" s="97"/>
      <c r="AI59" s="97">
        <v>45</v>
      </c>
      <c r="AJ59" s="97"/>
      <c r="AK59" s="97"/>
      <c r="AL59" s="97">
        <v>45</v>
      </c>
      <c r="AM59" s="97"/>
      <c r="AN59" s="97"/>
      <c r="AO59" s="97">
        <v>45</v>
      </c>
      <c r="AP59" s="97"/>
      <c r="AQ59" s="97"/>
      <c r="AR59" s="97">
        <v>45</v>
      </c>
      <c r="AS59" s="97"/>
      <c r="AT59" s="97"/>
      <c r="AU59" s="97">
        <v>45</v>
      </c>
      <c r="AV59" s="97"/>
      <c r="AW59" s="97"/>
      <c r="AX59" s="28"/>
      <c r="AZ59" s="53"/>
      <c r="BA59" s="53"/>
      <c r="BB59" s="53"/>
      <c r="BC59" s="53">
        <v>38</v>
      </c>
      <c r="BD59" s="53"/>
      <c r="BE59" s="53"/>
      <c r="BF59" s="53"/>
      <c r="BG59" s="53"/>
      <c r="BH59" s="53"/>
    </row>
    <row r="60" spans="2:60">
      <c r="B60" s="32"/>
      <c r="C60" s="47" t="s">
        <v>41</v>
      </c>
      <c r="D60" s="46"/>
      <c r="E60" s="46"/>
      <c r="F60" s="46"/>
      <c r="G60" s="46"/>
      <c r="H60" s="46"/>
      <c r="I60" s="101">
        <v>150</v>
      </c>
      <c r="J60" s="102"/>
      <c r="K60" s="102"/>
      <c r="L60" s="102"/>
      <c r="M60" s="103"/>
      <c r="N60" s="97">
        <v>120</v>
      </c>
      <c r="O60" s="97"/>
      <c r="P60" s="97"/>
      <c r="Q60" s="97">
        <v>120</v>
      </c>
      <c r="R60" s="97"/>
      <c r="S60" s="97"/>
      <c r="T60" s="97">
        <v>120</v>
      </c>
      <c r="U60" s="97"/>
      <c r="V60" s="97"/>
      <c r="W60" s="97">
        <v>120</v>
      </c>
      <c r="X60" s="97"/>
      <c r="Y60" s="97"/>
      <c r="Z60" s="97">
        <v>120</v>
      </c>
      <c r="AA60" s="97"/>
      <c r="AB60" s="97"/>
      <c r="AC60" s="97">
        <v>120</v>
      </c>
      <c r="AD60" s="97"/>
      <c r="AE60" s="97"/>
      <c r="AF60" s="97">
        <v>120</v>
      </c>
      <c r="AG60" s="97"/>
      <c r="AH60" s="97"/>
      <c r="AI60" s="97">
        <v>120</v>
      </c>
      <c r="AJ60" s="97"/>
      <c r="AK60" s="97"/>
      <c r="AL60" s="97">
        <v>120</v>
      </c>
      <c r="AM60" s="97"/>
      <c r="AN60" s="97"/>
      <c r="AO60" s="97">
        <v>120</v>
      </c>
      <c r="AP60" s="97"/>
      <c r="AQ60" s="97"/>
      <c r="AR60" s="97">
        <v>120</v>
      </c>
      <c r="AS60" s="97"/>
      <c r="AT60" s="97"/>
      <c r="AU60" s="97">
        <v>120</v>
      </c>
      <c r="AV60" s="97"/>
      <c r="AW60" s="97"/>
      <c r="AX60" s="28"/>
      <c r="AZ60" s="53">
        <v>135</v>
      </c>
      <c r="BA60" s="53"/>
      <c r="BB60" s="53"/>
      <c r="BC60" s="53">
        <v>121.5</v>
      </c>
      <c r="BD60" s="53"/>
      <c r="BE60" s="53"/>
      <c r="BF60" s="53"/>
      <c r="BG60" s="53"/>
      <c r="BH60" s="53"/>
    </row>
    <row r="61" spans="2:60">
      <c r="B61" s="32"/>
      <c r="C61" s="47" t="s">
        <v>42</v>
      </c>
      <c r="D61" s="46"/>
      <c r="E61" s="46"/>
      <c r="F61" s="46"/>
      <c r="G61" s="46"/>
      <c r="H61" s="46"/>
      <c r="I61" s="101">
        <v>50</v>
      </c>
      <c r="J61" s="102"/>
      <c r="K61" s="102"/>
      <c r="L61" s="102"/>
      <c r="M61" s="103"/>
      <c r="N61" s="97">
        <v>40</v>
      </c>
      <c r="O61" s="97"/>
      <c r="P61" s="97"/>
      <c r="Q61" s="97">
        <v>40</v>
      </c>
      <c r="R61" s="97"/>
      <c r="S61" s="97"/>
      <c r="T61" s="97">
        <v>40</v>
      </c>
      <c r="U61" s="97"/>
      <c r="V61" s="97"/>
      <c r="W61" s="97">
        <v>40</v>
      </c>
      <c r="X61" s="97"/>
      <c r="Y61" s="97"/>
      <c r="Z61" s="97">
        <v>40</v>
      </c>
      <c r="AA61" s="97"/>
      <c r="AB61" s="97"/>
      <c r="AC61" s="97">
        <v>40</v>
      </c>
      <c r="AD61" s="97"/>
      <c r="AE61" s="97"/>
      <c r="AF61" s="97">
        <v>40</v>
      </c>
      <c r="AG61" s="97"/>
      <c r="AH61" s="97"/>
      <c r="AI61" s="97">
        <v>40</v>
      </c>
      <c r="AJ61" s="97"/>
      <c r="AK61" s="97"/>
      <c r="AL61" s="97">
        <v>40</v>
      </c>
      <c r="AM61" s="97"/>
      <c r="AN61" s="97"/>
      <c r="AO61" s="97">
        <v>40</v>
      </c>
      <c r="AP61" s="97"/>
      <c r="AQ61" s="97"/>
      <c r="AR61" s="97">
        <v>40</v>
      </c>
      <c r="AS61" s="97"/>
      <c r="AT61" s="97"/>
      <c r="AU61" s="97">
        <v>40</v>
      </c>
      <c r="AV61" s="97"/>
      <c r="AW61" s="97"/>
      <c r="AX61" s="28"/>
      <c r="AZ61" s="53">
        <v>49.5</v>
      </c>
      <c r="BA61" s="53"/>
      <c r="BB61" s="53"/>
      <c r="BC61" s="53">
        <v>49.5</v>
      </c>
      <c r="BD61" s="53"/>
      <c r="BE61" s="53"/>
      <c r="BF61" s="53"/>
      <c r="BG61" s="53"/>
      <c r="BH61" s="53"/>
    </row>
    <row r="62" spans="2:60">
      <c r="B62" s="32"/>
      <c r="C62" s="47" t="s">
        <v>88</v>
      </c>
      <c r="D62" s="46"/>
      <c r="E62" s="46"/>
      <c r="F62" s="46"/>
      <c r="G62" s="46"/>
      <c r="H62" s="46"/>
      <c r="I62" s="101">
        <f>SUM(I48:M61)</f>
        <v>1274</v>
      </c>
      <c r="J62" s="102"/>
      <c r="K62" s="102"/>
      <c r="L62" s="102"/>
      <c r="M62" s="103"/>
      <c r="N62" s="97">
        <f>SUM(N48:P61)</f>
        <v>924</v>
      </c>
      <c r="O62" s="97"/>
      <c r="P62" s="97"/>
      <c r="Q62" s="97">
        <f>SUM(Q48:S61)</f>
        <v>979</v>
      </c>
      <c r="R62" s="97"/>
      <c r="S62" s="97"/>
      <c r="T62" s="97">
        <f>SUM(T48:V61)</f>
        <v>999</v>
      </c>
      <c r="U62" s="97"/>
      <c r="V62" s="97"/>
      <c r="W62" s="97">
        <f>SUM(W48:Y61)</f>
        <v>1039</v>
      </c>
      <c r="X62" s="97"/>
      <c r="Y62" s="97"/>
      <c r="Z62" s="97">
        <f>SUM(Z48:AB61)</f>
        <v>1099</v>
      </c>
      <c r="AA62" s="97"/>
      <c r="AB62" s="97"/>
      <c r="AC62" s="97">
        <f>SUM(AC48:AE61)</f>
        <v>1099</v>
      </c>
      <c r="AD62" s="97"/>
      <c r="AE62" s="97"/>
      <c r="AF62" s="97">
        <f>SUM(AF48:AH61)</f>
        <v>1089</v>
      </c>
      <c r="AG62" s="97"/>
      <c r="AH62" s="97"/>
      <c r="AI62" s="97">
        <f>SUM(AI48:AK61)</f>
        <v>1009</v>
      </c>
      <c r="AJ62" s="97"/>
      <c r="AK62" s="97"/>
      <c r="AL62" s="97">
        <f>SUM(AL48:AN61)</f>
        <v>1009</v>
      </c>
      <c r="AM62" s="97"/>
      <c r="AN62" s="97"/>
      <c r="AO62" s="97">
        <f>SUM(AO48:AQ61)</f>
        <v>1009</v>
      </c>
      <c r="AP62" s="97"/>
      <c r="AQ62" s="97"/>
      <c r="AR62" s="97">
        <f>SUM(AR48:AT61)</f>
        <v>1009</v>
      </c>
      <c r="AS62" s="97"/>
      <c r="AT62" s="97"/>
      <c r="AU62" s="97">
        <f>SUM(AU48:AW61)</f>
        <v>1009</v>
      </c>
      <c r="AV62" s="97"/>
      <c r="AW62" s="97"/>
      <c r="AX62" s="28"/>
      <c r="AZ62" s="53">
        <f>SUM(AZ48:BB61)</f>
        <v>1047.0999999999999</v>
      </c>
      <c r="BA62" s="53"/>
      <c r="BB62" s="53"/>
      <c r="BC62" s="53">
        <f>SUM(BC48:BE61)</f>
        <v>1004</v>
      </c>
      <c r="BD62" s="53"/>
      <c r="BE62" s="53"/>
      <c r="BF62" s="53">
        <f>SUM(BF48:BH61)</f>
        <v>0</v>
      </c>
      <c r="BG62" s="53"/>
      <c r="BH62" s="53"/>
    </row>
    <row r="63" spans="2:60">
      <c r="B63" s="32"/>
      <c r="C63" s="107"/>
      <c r="D63" s="2"/>
      <c r="E63" s="2"/>
      <c r="F63" s="2"/>
      <c r="G63" s="2"/>
      <c r="H63" s="2"/>
      <c r="I63" s="108"/>
      <c r="J63" s="108"/>
      <c r="K63" s="108"/>
      <c r="L63" s="108"/>
      <c r="M63" s="108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28"/>
      <c r="AZ63" s="110"/>
      <c r="BA63" s="110"/>
      <c r="BB63" s="110"/>
      <c r="BC63" s="110"/>
      <c r="BD63" s="110"/>
      <c r="BE63" s="110"/>
      <c r="BF63" s="110"/>
      <c r="BG63" s="110"/>
      <c r="BH63" s="110"/>
    </row>
    <row r="64" spans="2:60">
      <c r="B64" s="52" t="s">
        <v>92</v>
      </c>
      <c r="C64" s="107"/>
      <c r="D64" s="2"/>
      <c r="E64" s="2"/>
      <c r="F64" s="2"/>
      <c r="G64" s="2"/>
      <c r="H64" s="2"/>
      <c r="I64" s="108"/>
      <c r="J64" s="108"/>
      <c r="K64" s="108"/>
      <c r="L64" s="108"/>
      <c r="M64" s="108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28"/>
      <c r="AZ64" s="110"/>
      <c r="BA64" s="110"/>
      <c r="BB64" s="110"/>
      <c r="BC64" s="110"/>
      <c r="BD64" s="110"/>
      <c r="BE64" s="110"/>
      <c r="BF64" s="110"/>
      <c r="BG64" s="110"/>
      <c r="BH64" s="110"/>
    </row>
    <row r="65" spans="2:60">
      <c r="B65" s="32" t="s">
        <v>25</v>
      </c>
      <c r="C65" s="107" t="s">
        <v>93</v>
      </c>
      <c r="D65" s="2"/>
      <c r="E65" s="2"/>
      <c r="F65" s="2"/>
      <c r="G65" s="2"/>
      <c r="H65" s="2"/>
      <c r="I65" s="108"/>
      <c r="J65" s="108"/>
      <c r="K65" s="108"/>
      <c r="L65" s="108"/>
      <c r="M65" s="108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28"/>
      <c r="AZ65" s="110"/>
      <c r="BA65" s="110"/>
      <c r="BB65" s="110"/>
      <c r="BC65" s="110"/>
      <c r="BD65" s="110"/>
      <c r="BE65" s="110"/>
      <c r="BF65" s="110"/>
      <c r="BG65" s="110"/>
      <c r="BH65" s="110"/>
    </row>
    <row r="66" spans="2:60">
      <c r="B66" s="32" t="s">
        <v>25</v>
      </c>
      <c r="C66" s="107" t="s">
        <v>94</v>
      </c>
      <c r="D66" s="2"/>
      <c r="E66" s="2"/>
      <c r="F66" s="2"/>
      <c r="G66" s="2"/>
      <c r="H66" s="2"/>
      <c r="I66" s="108"/>
      <c r="J66" s="108"/>
      <c r="K66" s="108"/>
      <c r="L66" s="108"/>
      <c r="M66" s="108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28"/>
      <c r="AZ66" s="110"/>
      <c r="BA66" s="110"/>
      <c r="BB66" s="110"/>
      <c r="BC66" s="110"/>
      <c r="BD66" s="110"/>
      <c r="BE66" s="110"/>
      <c r="BF66" s="110"/>
      <c r="BG66" s="110"/>
      <c r="BH66" s="110"/>
    </row>
    <row r="67" spans="2:60" ht="15" thickBot="1">
      <c r="B67" s="3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4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1"/>
    </row>
    <row r="68" spans="2:60">
      <c r="B68" s="98" t="s">
        <v>18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99"/>
    </row>
    <row r="69" spans="2:60">
      <c r="B69" s="50" t="s">
        <v>74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8"/>
    </row>
    <row r="70" spans="2:60">
      <c r="B70" s="50" t="s">
        <v>75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8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8"/>
    </row>
    <row r="71" spans="2:60" ht="15" thickBot="1">
      <c r="B71" s="51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5"/>
      <c r="U71" s="35"/>
      <c r="V71" s="35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4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1"/>
    </row>
  </sheetData>
  <mergeCells count="277">
    <mergeCell ref="AO62:AQ62"/>
    <mergeCell ref="AR62:AT62"/>
    <mergeCell ref="AU62:AW62"/>
    <mergeCell ref="N62:P62"/>
    <mergeCell ref="Q62:S62"/>
    <mergeCell ref="T62:V62"/>
    <mergeCell ref="W62:Y62"/>
    <mergeCell ref="Z62:AB62"/>
    <mergeCell ref="AC62:AE62"/>
    <mergeCell ref="AF62:AH62"/>
    <mergeCell ref="AI62:AK62"/>
    <mergeCell ref="AL62:AN62"/>
    <mergeCell ref="AR60:AT60"/>
    <mergeCell ref="AU60:AW60"/>
    <mergeCell ref="N61:P61"/>
    <mergeCell ref="Q61:S61"/>
    <mergeCell ref="T61:V61"/>
    <mergeCell ref="W61:Y61"/>
    <mergeCell ref="Z61:AB61"/>
    <mergeCell ref="AC61:AE61"/>
    <mergeCell ref="AF61:AH61"/>
    <mergeCell ref="AI61:AK61"/>
    <mergeCell ref="AL61:AN61"/>
    <mergeCell ref="AO61:AQ61"/>
    <mergeCell ref="AR61:AT61"/>
    <mergeCell ref="AU61:AW61"/>
    <mergeCell ref="AC60:AE60"/>
    <mergeCell ref="AF60:AH60"/>
    <mergeCell ref="AI60:AK60"/>
    <mergeCell ref="AL60:AN60"/>
    <mergeCell ref="AO60:AQ60"/>
    <mergeCell ref="N60:P60"/>
    <mergeCell ref="Q60:S60"/>
    <mergeCell ref="T60:V60"/>
    <mergeCell ref="W60:Y60"/>
    <mergeCell ref="Z60:AB60"/>
    <mergeCell ref="AR58:AT58"/>
    <mergeCell ref="AU58:AW58"/>
    <mergeCell ref="N59:P59"/>
    <mergeCell ref="Q59:S59"/>
    <mergeCell ref="T59:V59"/>
    <mergeCell ref="W59:Y59"/>
    <mergeCell ref="Z59:AB59"/>
    <mergeCell ref="AC59:AE59"/>
    <mergeCell ref="AF59:AH59"/>
    <mergeCell ref="AI59:AK59"/>
    <mergeCell ref="AL59:AN59"/>
    <mergeCell ref="AO59:AQ59"/>
    <mergeCell ref="AR59:AT59"/>
    <mergeCell ref="AU59:AW59"/>
    <mergeCell ref="AC58:AE58"/>
    <mergeCell ref="AF58:AH58"/>
    <mergeCell ref="AI58:AK58"/>
    <mergeCell ref="AL58:AN58"/>
    <mergeCell ref="AO58:AQ58"/>
    <mergeCell ref="N58:P58"/>
    <mergeCell ref="Q58:S58"/>
    <mergeCell ref="T58:V58"/>
    <mergeCell ref="W58:Y58"/>
    <mergeCell ref="Z58:AB58"/>
    <mergeCell ref="AR56:AT56"/>
    <mergeCell ref="AU56:AW56"/>
    <mergeCell ref="N57:P57"/>
    <mergeCell ref="Q57:S57"/>
    <mergeCell ref="T57:V57"/>
    <mergeCell ref="W57:Y57"/>
    <mergeCell ref="Z57:AB57"/>
    <mergeCell ref="AC57:AE57"/>
    <mergeCell ref="AF57:AH57"/>
    <mergeCell ref="AI57:AK57"/>
    <mergeCell ref="AL57:AN57"/>
    <mergeCell ref="AO57:AQ57"/>
    <mergeCell ref="AR57:AT57"/>
    <mergeCell ref="AU57:AW57"/>
    <mergeCell ref="AC56:AE56"/>
    <mergeCell ref="AF56:AH56"/>
    <mergeCell ref="AI56:AK56"/>
    <mergeCell ref="AL56:AN56"/>
    <mergeCell ref="AO56:AQ56"/>
    <mergeCell ref="N56:P56"/>
    <mergeCell ref="Q56:S56"/>
    <mergeCell ref="T56:V56"/>
    <mergeCell ref="W56:Y56"/>
    <mergeCell ref="Z56:AB56"/>
    <mergeCell ref="AR54:AT54"/>
    <mergeCell ref="AU54:AW54"/>
    <mergeCell ref="N55:P55"/>
    <mergeCell ref="Q55:S55"/>
    <mergeCell ref="T55:V55"/>
    <mergeCell ref="W55:Y55"/>
    <mergeCell ref="Z55:AB55"/>
    <mergeCell ref="AC55:AE55"/>
    <mergeCell ref="AF55:AH55"/>
    <mergeCell ref="AI55:AK55"/>
    <mergeCell ref="AL55:AN55"/>
    <mergeCell ref="AO55:AQ55"/>
    <mergeCell ref="AR55:AT55"/>
    <mergeCell ref="AU55:AW55"/>
    <mergeCell ref="AC54:AE54"/>
    <mergeCell ref="AF54:AH54"/>
    <mergeCell ref="AI54:AK54"/>
    <mergeCell ref="AL54:AN54"/>
    <mergeCell ref="AO54:AQ54"/>
    <mergeCell ref="N54:P54"/>
    <mergeCell ref="Q54:S54"/>
    <mergeCell ref="T54:V54"/>
    <mergeCell ref="W54:Y54"/>
    <mergeCell ref="Z54:AB54"/>
    <mergeCell ref="AR52:AT52"/>
    <mergeCell ref="AU52:AW52"/>
    <mergeCell ref="N53:P53"/>
    <mergeCell ref="Q53:S53"/>
    <mergeCell ref="T53:V53"/>
    <mergeCell ref="W53:Y53"/>
    <mergeCell ref="Z53:AB53"/>
    <mergeCell ref="AC53:AE53"/>
    <mergeCell ref="AF53:AH53"/>
    <mergeCell ref="AI53:AK53"/>
    <mergeCell ref="AL53:AN53"/>
    <mergeCell ref="AO53:AQ53"/>
    <mergeCell ref="AR53:AT53"/>
    <mergeCell ref="AU53:AW53"/>
    <mergeCell ref="AC52:AE52"/>
    <mergeCell ref="AF52:AH52"/>
    <mergeCell ref="AI52:AK52"/>
    <mergeCell ref="AL52:AN52"/>
    <mergeCell ref="AO52:AQ52"/>
    <mergeCell ref="N52:P52"/>
    <mergeCell ref="Q52:S52"/>
    <mergeCell ref="T52:V52"/>
    <mergeCell ref="W52:Y52"/>
    <mergeCell ref="Z52:AB52"/>
    <mergeCell ref="AR50:AT50"/>
    <mergeCell ref="AU50:AW50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L51:AN51"/>
    <mergeCell ref="AO51:AQ51"/>
    <mergeCell ref="AR51:AT51"/>
    <mergeCell ref="AU51:AW51"/>
    <mergeCell ref="AC50:AE50"/>
    <mergeCell ref="AF50:AH50"/>
    <mergeCell ref="AI50:AK50"/>
    <mergeCell ref="AL50:AN50"/>
    <mergeCell ref="AO50:AQ50"/>
    <mergeCell ref="N50:P50"/>
    <mergeCell ref="Q50:S50"/>
    <mergeCell ref="T50:V50"/>
    <mergeCell ref="W50:Y50"/>
    <mergeCell ref="Z50:AB50"/>
    <mergeCell ref="AR48:AT48"/>
    <mergeCell ref="AU48:AW48"/>
    <mergeCell ref="N49:P49"/>
    <mergeCell ref="Q49:S49"/>
    <mergeCell ref="T49:V49"/>
    <mergeCell ref="W49:Y49"/>
    <mergeCell ref="Z49:AB49"/>
    <mergeCell ref="AC49:AE49"/>
    <mergeCell ref="AF49:AH49"/>
    <mergeCell ref="AI49:AK49"/>
    <mergeCell ref="AL49:AN49"/>
    <mergeCell ref="AO49:AQ49"/>
    <mergeCell ref="AR49:AT49"/>
    <mergeCell ref="AU49:AW49"/>
    <mergeCell ref="AC48:AE48"/>
    <mergeCell ref="AF48:AH48"/>
    <mergeCell ref="AI48:AK48"/>
    <mergeCell ref="AL48:AN48"/>
    <mergeCell ref="AO48:AQ48"/>
    <mergeCell ref="N48:P48"/>
    <mergeCell ref="Q48:S48"/>
    <mergeCell ref="T48:V48"/>
    <mergeCell ref="W48:Y48"/>
    <mergeCell ref="Z48:AB48"/>
    <mergeCell ref="AI47:AK47"/>
    <mergeCell ref="AL47:AN47"/>
    <mergeCell ref="AO47:AQ47"/>
    <mergeCell ref="AR47:AT47"/>
    <mergeCell ref="AU47:AW47"/>
    <mergeCell ref="B68:AX68"/>
    <mergeCell ref="H7:J9"/>
    <mergeCell ref="L7:N9"/>
    <mergeCell ref="I48:M48"/>
    <mergeCell ref="I49:M49"/>
    <mergeCell ref="I50:M50"/>
    <mergeCell ref="I51:M51"/>
    <mergeCell ref="I52:M52"/>
    <mergeCell ref="I53:M53"/>
    <mergeCell ref="I54:M54"/>
    <mergeCell ref="I55:M55"/>
    <mergeCell ref="I56:M56"/>
    <mergeCell ref="I57:M57"/>
    <mergeCell ref="I58:M58"/>
    <mergeCell ref="I59:M59"/>
    <mergeCell ref="I60:M60"/>
    <mergeCell ref="I61:M61"/>
    <mergeCell ref="I62:M62"/>
    <mergeCell ref="B22:AX22"/>
    <mergeCell ref="Y7:AJ7"/>
    <mergeCell ref="Y8:AJ8"/>
    <mergeCell ref="Y9:AJ9"/>
    <mergeCell ref="N47:P47"/>
    <mergeCell ref="Q47:S47"/>
    <mergeCell ref="T47:V47"/>
    <mergeCell ref="W47:Y47"/>
    <mergeCell ref="Z47:AB47"/>
    <mergeCell ref="AC47:AE47"/>
    <mergeCell ref="AF47:AH47"/>
    <mergeCell ref="I47:M47"/>
    <mergeCell ref="BE14:BF15"/>
    <mergeCell ref="B15:F21"/>
    <mergeCell ref="B7:F9"/>
    <mergeCell ref="B11:F14"/>
    <mergeCell ref="Z11:AD14"/>
    <mergeCell ref="Z15:AD21"/>
    <mergeCell ref="S1:AJ3"/>
    <mergeCell ref="B5:F6"/>
    <mergeCell ref="S5:X6"/>
    <mergeCell ref="S7:X9"/>
    <mergeCell ref="Y6:AJ6"/>
    <mergeCell ref="Y5:AJ5"/>
    <mergeCell ref="G5:Q6"/>
    <mergeCell ref="G11:Y14"/>
    <mergeCell ref="AZ47:BB47"/>
    <mergeCell ref="BC47:BE47"/>
    <mergeCell ref="AZ48:BB48"/>
    <mergeCell ref="BC48:BE48"/>
    <mergeCell ref="AZ49:BB49"/>
    <mergeCell ref="BC49:BE49"/>
    <mergeCell ref="AZ50:BB50"/>
    <mergeCell ref="BC50:BE50"/>
    <mergeCell ref="AZ51:BB51"/>
    <mergeCell ref="BC51:BE51"/>
    <mergeCell ref="AZ60:BB60"/>
    <mergeCell ref="BC60:BE60"/>
    <mergeCell ref="AZ61:BB61"/>
    <mergeCell ref="BC61:BE61"/>
    <mergeCell ref="AZ52:BB52"/>
    <mergeCell ref="BC52:BE52"/>
    <mergeCell ref="AZ53:BB53"/>
    <mergeCell ref="BC53:BE53"/>
    <mergeCell ref="AZ54:BB54"/>
    <mergeCell ref="BC54:BE54"/>
    <mergeCell ref="AZ55:BB55"/>
    <mergeCell ref="BC55:BE55"/>
    <mergeCell ref="AZ56:BB56"/>
    <mergeCell ref="BC56:BE56"/>
    <mergeCell ref="AZ62:BB62"/>
    <mergeCell ref="BC62:BE62"/>
    <mergeCell ref="BF47:BH47"/>
    <mergeCell ref="BF48:BH48"/>
    <mergeCell ref="BF49:BH49"/>
    <mergeCell ref="BF50:BH50"/>
    <mergeCell ref="BF51:BH51"/>
    <mergeCell ref="BF52:BH52"/>
    <mergeCell ref="BF53:BH53"/>
    <mergeCell ref="BF54:BH54"/>
    <mergeCell ref="BF55:BH55"/>
    <mergeCell ref="BF56:BH56"/>
    <mergeCell ref="BF57:BH57"/>
    <mergeCell ref="BF58:BH58"/>
    <mergeCell ref="BF59:BH59"/>
    <mergeCell ref="BF60:BH60"/>
    <mergeCell ref="BF61:BH61"/>
    <mergeCell ref="BF62:BH62"/>
    <mergeCell ref="AZ57:BB57"/>
    <mergeCell ref="BC57:BE57"/>
    <mergeCell ref="AZ58:BB58"/>
    <mergeCell ref="BC58:BE58"/>
    <mergeCell ref="AZ59:BB59"/>
    <mergeCell ref="BC59:BE59"/>
  </mergeCells>
  <printOptions horizontalCentered="1" verticalCentered="1"/>
  <pageMargins left="0.19685039370078741" right="0.19685039370078741" top="0" bottom="0" header="0.19685039370078741" footer="0.11811023622047245"/>
  <pageSetup paperSize="9" scale="79" orientation="portrait" r:id="rId1"/>
  <headerFooter>
    <oddFooter>&amp;L&amp;D&amp;C&amp;P&amp;R&amp;F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2018-01-10T02:09:08Z</cp:lastPrinted>
  <dcterms:created xsi:type="dcterms:W3CDTF">2016-09-01T00:00:56Z</dcterms:created>
  <dcterms:modified xsi:type="dcterms:W3CDTF">2018-01-10T02:13:12Z</dcterms:modified>
</cp:coreProperties>
</file>