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LOGASENAN\Desktop\"/>
    </mc:Choice>
  </mc:AlternateContent>
  <xr:revisionPtr revIDLastSave="0" documentId="13_ncr:1_{827F13CF-1F16-42D3-81D0-3F82AF55B5FD}" xr6:coauthVersionLast="47" xr6:coauthVersionMax="47" xr10:uidLastSave="{00000000-0000-0000-0000-000000000000}"/>
  <bookViews>
    <workbookView xWindow="-98" yWindow="-98" windowWidth="19396" windowHeight="11475" activeTab="1" xr2:uid="{A15AEA22-F383-45DF-8494-5F6BF10F7712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4" i="2" l="1"/>
  <c r="N24" i="2"/>
  <c r="H24" i="2"/>
  <c r="T23" i="2"/>
  <c r="N23" i="2"/>
  <c r="H23" i="2"/>
  <c r="T22" i="2"/>
  <c r="N22" i="2"/>
  <c r="H22" i="2"/>
  <c r="T21" i="2"/>
  <c r="N21" i="2"/>
  <c r="H21" i="2"/>
  <c r="T20" i="2"/>
  <c r="N20" i="2"/>
  <c r="H20" i="2"/>
  <c r="T19" i="2"/>
  <c r="N19" i="2"/>
  <c r="H19" i="2"/>
  <c r="T18" i="2"/>
  <c r="N18" i="2"/>
  <c r="H18" i="2"/>
  <c r="T17" i="2"/>
  <c r="N17" i="2"/>
  <c r="H17" i="2"/>
  <c r="T16" i="2"/>
  <c r="N16" i="2"/>
  <c r="H16" i="2"/>
  <c r="T15" i="2"/>
  <c r="N15" i="2"/>
  <c r="H15" i="2"/>
  <c r="T14" i="2"/>
  <c r="N14" i="2"/>
  <c r="H14" i="2"/>
  <c r="T13" i="2"/>
  <c r="N13" i="2"/>
  <c r="H13" i="2"/>
  <c r="T12" i="2"/>
  <c r="N12" i="2"/>
  <c r="H12" i="2"/>
  <c r="T11" i="2"/>
  <c r="N11" i="2"/>
  <c r="H11" i="2"/>
  <c r="T10" i="2"/>
  <c r="N10" i="2"/>
  <c r="H10" i="2"/>
  <c r="T9" i="2"/>
  <c r="N9" i="2"/>
  <c r="H9" i="2"/>
  <c r="T8" i="2"/>
  <c r="N8" i="2"/>
  <c r="H8" i="2"/>
  <c r="T7" i="2"/>
  <c r="N7" i="2"/>
  <c r="H7" i="2"/>
  <c r="T6" i="2"/>
  <c r="N6" i="2"/>
  <c r="H6" i="2"/>
  <c r="T5" i="2"/>
  <c r="N5" i="2"/>
  <c r="H5" i="2"/>
  <c r="P2" i="2"/>
  <c r="O2" i="2"/>
  <c r="J2" i="2"/>
  <c r="I2" i="2"/>
  <c r="D2" i="2"/>
  <c r="C2" i="2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5" i="1"/>
  <c r="G2" i="1"/>
  <c r="F2" i="1"/>
  <c r="J2" i="1"/>
  <c r="I2" i="1"/>
  <c r="C2" i="1"/>
  <c r="D2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5" i="1"/>
</calcChain>
</file>

<file path=xl/sharedStrings.xml><?xml version="1.0" encoding="utf-8"?>
<sst xmlns="http://schemas.openxmlformats.org/spreadsheetml/2006/main" count="27" uniqueCount="9">
  <si>
    <t>Length</t>
  </si>
  <si>
    <t>Wide</t>
  </si>
  <si>
    <t>Thickness</t>
  </si>
  <si>
    <t>Micrometer</t>
  </si>
  <si>
    <t>Machine</t>
  </si>
  <si>
    <t>Machine1</t>
  </si>
  <si>
    <t>Machine2</t>
  </si>
  <si>
    <t>Machine3</t>
  </si>
  <si>
    <t>Machine4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</si>
</sst>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118"/>
      <name val="Nunito Sans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2" borderId="0" xfId="0" applyNumberFormat="1" applyFill="1"/>
    <xf numFmtId="165" fontId="0" fillId="0" borderId="0" xfId="0" applyNumberFormat="1"/>
    <xf numFmtId="165" fontId="2" fillId="0" borderId="0" xfId="0" applyNumberFormat="1" applyFont="1"/>
    <xf numFmtId="0" fontId="0" fillId="3" borderId="0" xfId="0" applyFill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49E6-EDF1-40E8-8062-CB9856F1FD1D}">
  <dimension ref="B1:M24"/>
  <sheetViews>
    <sheetView topLeftCell="A3" workbookViewId="0">
      <selection activeCell="M5" sqref="M5:M24"/>
    </sheetView>
  </sheetViews>
  <sheetFormatPr defaultRowHeight="14.25" x14ac:dyDescent="0.45"/>
  <cols>
    <col min="2" max="2" width="4.9296875" style="1" customWidth="1"/>
    <col min="3" max="10" width="10.265625" customWidth="1"/>
  </cols>
  <sheetData>
    <row r="1" spans="2:13" x14ac:dyDescent="0.45">
      <c r="C1" s="10"/>
      <c r="D1" s="10">
        <v>0.5</v>
      </c>
      <c r="E1" s="10"/>
      <c r="F1" s="10"/>
      <c r="G1" s="10">
        <v>0.3</v>
      </c>
      <c r="H1" s="10"/>
      <c r="I1" s="10"/>
      <c r="J1" s="10">
        <v>0.05</v>
      </c>
      <c r="K1" s="10"/>
    </row>
    <row r="2" spans="2:13" s="9" customFormat="1" ht="15.75" x14ac:dyDescent="0.45">
      <c r="C2" s="9">
        <f>23.2-0.5</f>
        <v>22.7</v>
      </c>
      <c r="D2" s="9">
        <f>23.2+0.5</f>
        <v>23.7</v>
      </c>
      <c r="F2" s="9">
        <f>7.8-0.3</f>
        <v>7.5</v>
      </c>
      <c r="G2" s="9">
        <f>7.8+0.3</f>
        <v>8.1</v>
      </c>
      <c r="I2" s="9">
        <f>2.5-0.05</f>
        <v>2.4500000000000002</v>
      </c>
      <c r="J2" s="9">
        <f>2.5+0.05</f>
        <v>2.5499999999999998</v>
      </c>
    </row>
    <row r="3" spans="2:13" x14ac:dyDescent="0.45">
      <c r="C3" s="13" t="s">
        <v>0</v>
      </c>
      <c r="D3" s="13"/>
      <c r="E3" s="3"/>
      <c r="F3" s="13" t="s">
        <v>1</v>
      </c>
      <c r="G3" s="13"/>
      <c r="H3" s="3"/>
      <c r="I3" s="13" t="s">
        <v>2</v>
      </c>
      <c r="J3" s="13"/>
    </row>
    <row r="4" spans="2:13" x14ac:dyDescent="0.45">
      <c r="C4" s="3" t="s">
        <v>3</v>
      </c>
      <c r="D4" s="4" t="s">
        <v>4</v>
      </c>
      <c r="E4" s="4"/>
      <c r="F4" s="3" t="s">
        <v>3</v>
      </c>
      <c r="G4" s="4" t="s">
        <v>4</v>
      </c>
      <c r="H4" s="4"/>
      <c r="I4" s="3" t="s">
        <v>3</v>
      </c>
      <c r="J4" s="4" t="s">
        <v>4</v>
      </c>
      <c r="K4" s="4"/>
    </row>
    <row r="5" spans="2:13" ht="15" x14ac:dyDescent="0.55000000000000004">
      <c r="B5" s="1">
        <v>1</v>
      </c>
      <c r="C5" s="2">
        <v>23.065000000000001</v>
      </c>
      <c r="D5" s="5">
        <v>23.236999999999998</v>
      </c>
      <c r="E5" s="6">
        <f t="shared" ref="E5:E24" si="0">D5/C5</f>
        <v>1.0074571862128765</v>
      </c>
      <c r="F5" s="2">
        <v>7.8380000000000001</v>
      </c>
      <c r="G5" s="5">
        <v>7.9550000000000001</v>
      </c>
      <c r="H5" s="6">
        <f>G5/F5</f>
        <v>1.0149272773666751</v>
      </c>
      <c r="I5" s="2">
        <v>2.5110000000000001</v>
      </c>
      <c r="J5" s="5">
        <v>2.5070000000000001</v>
      </c>
      <c r="K5" s="6">
        <f>J5/I5</f>
        <v>0.99840700915969738</v>
      </c>
      <c r="L5" s="2"/>
      <c r="M5" s="11">
        <f ca="1">OFFSET($D$24,-(ROW(D5)-5),0)</f>
        <v>23.222000000000001</v>
      </c>
    </row>
    <row r="6" spans="2:13" ht="15" x14ac:dyDescent="0.55000000000000004">
      <c r="B6" s="1">
        <v>2</v>
      </c>
      <c r="C6" s="2">
        <v>23.047000000000001</v>
      </c>
      <c r="D6" s="5">
        <v>22.908000000000001</v>
      </c>
      <c r="E6" s="6">
        <f t="shared" si="0"/>
        <v>0.99396884627066429</v>
      </c>
      <c r="F6" s="2">
        <v>7.8410000000000002</v>
      </c>
      <c r="G6" s="5">
        <v>7.86</v>
      </c>
      <c r="H6" s="6">
        <f t="shared" ref="H6:H24" si="1">G6/F6</f>
        <v>1.0024231603111848</v>
      </c>
      <c r="I6" s="2">
        <v>2.508</v>
      </c>
      <c r="J6" s="5">
        <v>2.508</v>
      </c>
      <c r="K6" s="6">
        <f t="shared" ref="K6:K24" si="2">J6/I6</f>
        <v>1</v>
      </c>
      <c r="L6" s="2"/>
      <c r="M6" s="11">
        <f t="shared" ref="M6:M24" ca="1" si="3">OFFSET($D$24,-(ROW(D6)-5),0)</f>
        <v>23.222000000000001</v>
      </c>
    </row>
    <row r="7" spans="2:13" ht="15" x14ac:dyDescent="0.55000000000000004">
      <c r="B7" s="1">
        <v>3</v>
      </c>
      <c r="C7" s="2">
        <v>22.965</v>
      </c>
      <c r="D7" s="5">
        <v>23.123999999999999</v>
      </c>
      <c r="E7" s="6">
        <f t="shared" si="0"/>
        <v>1.0069235793598954</v>
      </c>
      <c r="F7" s="2">
        <v>7.79</v>
      </c>
      <c r="G7" s="5">
        <v>7.9580000000000002</v>
      </c>
      <c r="H7" s="6">
        <f t="shared" si="1"/>
        <v>1.0215661103979461</v>
      </c>
      <c r="I7" s="2">
        <v>2.5169999999999999</v>
      </c>
      <c r="J7" s="5">
        <v>2.504</v>
      </c>
      <c r="K7" s="6">
        <f t="shared" si="2"/>
        <v>0.99483512117600326</v>
      </c>
      <c r="L7" s="2"/>
      <c r="M7" s="11">
        <f t="shared" ca="1" si="3"/>
        <v>23.175000000000001</v>
      </c>
    </row>
    <row r="8" spans="2:13" ht="15" x14ac:dyDescent="0.55000000000000004">
      <c r="B8" s="1">
        <v>4</v>
      </c>
      <c r="C8" s="2">
        <v>22.937000000000001</v>
      </c>
      <c r="D8" s="5">
        <v>22.852</v>
      </c>
      <c r="E8" s="6">
        <f t="shared" si="0"/>
        <v>0.9962941971487117</v>
      </c>
      <c r="F8" s="2">
        <v>7.7789999999999999</v>
      </c>
      <c r="G8" s="5">
        <v>7.8040000000000003</v>
      </c>
      <c r="H8" s="6">
        <f t="shared" si="1"/>
        <v>1.0032137806916057</v>
      </c>
      <c r="I8" s="2">
        <v>2.504</v>
      </c>
      <c r="J8" s="5">
        <v>2.5059999999999998</v>
      </c>
      <c r="K8" s="6">
        <f t="shared" si="2"/>
        <v>1.0007987220447283</v>
      </c>
      <c r="L8" s="2"/>
      <c r="M8" s="11">
        <f t="shared" ca="1" si="3"/>
        <v>23.260999999999999</v>
      </c>
    </row>
    <row r="9" spans="2:13" ht="15" x14ac:dyDescent="0.55000000000000004">
      <c r="B9" s="1">
        <v>5</v>
      </c>
      <c r="C9" s="2">
        <v>22.975000000000001</v>
      </c>
      <c r="D9" s="5">
        <v>22.908000000000001</v>
      </c>
      <c r="E9" s="6">
        <f t="shared" si="0"/>
        <v>0.99708378672470077</v>
      </c>
      <c r="F9" s="2">
        <v>7.8049999999999997</v>
      </c>
      <c r="G9" s="5">
        <v>7.8140000000000001</v>
      </c>
      <c r="H9" s="6">
        <f t="shared" si="1"/>
        <v>1.0011531069827035</v>
      </c>
      <c r="I9" s="2">
        <v>2.5230000000000001</v>
      </c>
      <c r="J9" s="5">
        <v>2.516</v>
      </c>
      <c r="K9" s="6">
        <f t="shared" si="2"/>
        <v>0.9972255251684502</v>
      </c>
      <c r="L9" s="2"/>
      <c r="M9" s="11">
        <f t="shared" ca="1" si="3"/>
        <v>23.22</v>
      </c>
    </row>
    <row r="10" spans="2:13" ht="15" x14ac:dyDescent="0.55000000000000004">
      <c r="B10" s="1">
        <v>6</v>
      </c>
      <c r="C10" s="2">
        <v>22.954000000000001</v>
      </c>
      <c r="D10" s="5">
        <v>22.803000000000001</v>
      </c>
      <c r="E10" s="6">
        <f t="shared" si="0"/>
        <v>0.99342162586041649</v>
      </c>
      <c r="F10" s="2">
        <v>7.8</v>
      </c>
      <c r="G10" s="5">
        <v>7.8390000000000004</v>
      </c>
      <c r="H10" s="6">
        <f t="shared" si="1"/>
        <v>1.0050000000000001</v>
      </c>
      <c r="I10" s="2">
        <v>2.5019999999999998</v>
      </c>
      <c r="J10" s="5">
        <v>2.5059999999999998</v>
      </c>
      <c r="K10" s="6">
        <f t="shared" si="2"/>
        <v>1.0015987210231814</v>
      </c>
      <c r="L10" s="2"/>
      <c r="M10" s="11">
        <f t="shared" ca="1" si="3"/>
        <v>23.157</v>
      </c>
    </row>
    <row r="11" spans="2:13" ht="15" x14ac:dyDescent="0.55000000000000004">
      <c r="B11" s="1">
        <v>7</v>
      </c>
      <c r="C11" s="2">
        <v>23.181999999999999</v>
      </c>
      <c r="D11" s="5">
        <v>22.841999999999999</v>
      </c>
      <c r="E11" s="6">
        <f t="shared" si="0"/>
        <v>0.98533344836511083</v>
      </c>
      <c r="F11" s="2">
        <v>7.9050000000000002</v>
      </c>
      <c r="G11" s="5">
        <v>7.8159999999999998</v>
      </c>
      <c r="H11" s="6">
        <f t="shared" si="1"/>
        <v>0.98874130297280194</v>
      </c>
      <c r="I11" s="2">
        <v>2.504</v>
      </c>
      <c r="J11" s="5">
        <v>2.5059999999999998</v>
      </c>
      <c r="K11" s="6">
        <f t="shared" si="2"/>
        <v>1.0007987220447283</v>
      </c>
      <c r="L11" s="2"/>
      <c r="M11" s="11">
        <f t="shared" ca="1" si="3"/>
        <v>23.114000000000001</v>
      </c>
    </row>
    <row r="12" spans="2:13" ht="15" x14ac:dyDescent="0.55000000000000004">
      <c r="B12" s="1">
        <v>8</v>
      </c>
      <c r="C12" s="2">
        <v>22.997</v>
      </c>
      <c r="D12" s="5">
        <v>22.998999999999999</v>
      </c>
      <c r="E12" s="6">
        <f t="shared" si="0"/>
        <v>1.0000869678653737</v>
      </c>
      <c r="F12" s="2">
        <v>7.7949999999999999</v>
      </c>
      <c r="G12" s="5">
        <v>7.8760000000000003</v>
      </c>
      <c r="H12" s="6">
        <f t="shared" si="1"/>
        <v>1.0103912764592689</v>
      </c>
      <c r="I12" s="2">
        <v>2.5169999999999999</v>
      </c>
      <c r="J12" s="5">
        <v>2.5110000000000001</v>
      </c>
      <c r="K12" s="6">
        <f t="shared" si="2"/>
        <v>0.99761620977354004</v>
      </c>
      <c r="L12" s="2"/>
      <c r="M12" s="11">
        <f t="shared" ca="1" si="3"/>
        <v>23.13</v>
      </c>
    </row>
    <row r="13" spans="2:13" ht="15" x14ac:dyDescent="0.55000000000000004">
      <c r="B13" s="8">
        <v>9</v>
      </c>
      <c r="C13" s="2">
        <v>23.312000000000001</v>
      </c>
      <c r="D13" s="5">
        <v>23.033000000000001</v>
      </c>
      <c r="E13" s="7">
        <f t="shared" si="0"/>
        <v>0.98803191489361708</v>
      </c>
      <c r="F13" s="2">
        <v>7.9169999999999998</v>
      </c>
      <c r="G13" s="5">
        <v>7.8920000000000003</v>
      </c>
      <c r="H13" s="6">
        <f t="shared" si="1"/>
        <v>0.9968422382215486</v>
      </c>
      <c r="I13" s="2">
        <v>2.5059999999999998</v>
      </c>
      <c r="J13" s="5">
        <v>2.5139999999999998</v>
      </c>
      <c r="K13" s="6">
        <f t="shared" si="2"/>
        <v>1.0031923383878691</v>
      </c>
      <c r="L13" s="2"/>
      <c r="M13" s="11">
        <f t="shared" ca="1" si="3"/>
        <v>23.268000000000001</v>
      </c>
    </row>
    <row r="14" spans="2:13" ht="15" x14ac:dyDescent="0.55000000000000004">
      <c r="B14" s="8">
        <v>10</v>
      </c>
      <c r="C14" s="2">
        <v>23.276</v>
      </c>
      <c r="D14" s="5">
        <v>23.033000000000001</v>
      </c>
      <c r="E14" s="6">
        <f t="shared" si="0"/>
        <v>0.98956006186630008</v>
      </c>
      <c r="F14" s="2">
        <v>7.9359999999999999</v>
      </c>
      <c r="G14" s="5">
        <v>7.8920000000000003</v>
      </c>
      <c r="H14" s="6">
        <f t="shared" si="1"/>
        <v>0.99445564516129037</v>
      </c>
      <c r="I14" s="2">
        <v>2.52</v>
      </c>
      <c r="J14" s="5">
        <v>2.5139999999999998</v>
      </c>
      <c r="K14" s="6">
        <f t="shared" si="2"/>
        <v>0.99761904761904752</v>
      </c>
      <c r="L14" s="2"/>
      <c r="M14" s="11">
        <f t="shared" ca="1" si="3"/>
        <v>23.132000000000001</v>
      </c>
    </row>
    <row r="15" spans="2:13" ht="15" x14ac:dyDescent="0.55000000000000004">
      <c r="B15" s="1">
        <v>11</v>
      </c>
      <c r="C15" s="2">
        <v>23.276</v>
      </c>
      <c r="D15" s="5">
        <v>23.132000000000001</v>
      </c>
      <c r="E15" s="6">
        <f t="shared" si="0"/>
        <v>0.9938133699948446</v>
      </c>
      <c r="F15" s="2">
        <v>7.9029999999999996</v>
      </c>
      <c r="G15" s="5">
        <v>7.9180000000000001</v>
      </c>
      <c r="H15" s="6">
        <f t="shared" si="1"/>
        <v>1.0018980134126283</v>
      </c>
      <c r="I15" s="2">
        <v>2.4990000000000001</v>
      </c>
      <c r="J15" s="5">
        <v>2.5030000000000001</v>
      </c>
      <c r="K15" s="6">
        <f t="shared" si="2"/>
        <v>1.0016006402561024</v>
      </c>
      <c r="L15" s="2"/>
      <c r="M15" s="11">
        <f t="shared" ca="1" si="3"/>
        <v>23.033000000000001</v>
      </c>
    </row>
    <row r="16" spans="2:13" ht="15" x14ac:dyDescent="0.55000000000000004">
      <c r="B16" s="1">
        <v>12</v>
      </c>
      <c r="C16" s="2">
        <v>23.219000000000001</v>
      </c>
      <c r="D16" s="5">
        <v>23.268000000000001</v>
      </c>
      <c r="E16" s="6">
        <f t="shared" si="0"/>
        <v>1.0021103406692795</v>
      </c>
      <c r="F16" s="2">
        <v>7.8710000000000004</v>
      </c>
      <c r="G16" s="5">
        <v>7.9160000000000004</v>
      </c>
      <c r="H16" s="6">
        <f t="shared" si="1"/>
        <v>1.0057171896836488</v>
      </c>
      <c r="I16" s="2">
        <v>2.5089999999999999</v>
      </c>
      <c r="J16" s="5">
        <v>2.5129999999999999</v>
      </c>
      <c r="K16" s="6">
        <f t="shared" si="2"/>
        <v>1.0015942606616182</v>
      </c>
      <c r="L16" s="2"/>
      <c r="M16" s="11">
        <f t="shared" ca="1" si="3"/>
        <v>23.033000000000001</v>
      </c>
    </row>
    <row r="17" spans="2:13" ht="15" x14ac:dyDescent="0.55000000000000004">
      <c r="B17" s="1">
        <v>13</v>
      </c>
      <c r="C17" s="2">
        <v>23.298999999999999</v>
      </c>
      <c r="D17" s="5">
        <v>23.13</v>
      </c>
      <c r="E17" s="6">
        <f t="shared" si="0"/>
        <v>0.99274646980557102</v>
      </c>
      <c r="F17" s="2">
        <v>7.931</v>
      </c>
      <c r="G17" s="5">
        <v>7.9279999999999999</v>
      </c>
      <c r="H17" s="6">
        <f t="shared" si="1"/>
        <v>0.99962173748581518</v>
      </c>
      <c r="I17" s="2">
        <v>2.5019999999999998</v>
      </c>
      <c r="J17" s="5">
        <v>2.5169999999999999</v>
      </c>
      <c r="K17" s="6">
        <f t="shared" si="2"/>
        <v>1.0059952038369304</v>
      </c>
      <c r="L17" s="2"/>
      <c r="M17" s="11">
        <f t="shared" ca="1" si="3"/>
        <v>22.998999999999999</v>
      </c>
    </row>
    <row r="18" spans="2:13" ht="15" x14ac:dyDescent="0.55000000000000004">
      <c r="B18" s="1">
        <v>14</v>
      </c>
      <c r="C18" s="2">
        <v>23.241</v>
      </c>
      <c r="D18" s="5">
        <v>23.114000000000001</v>
      </c>
      <c r="E18" s="6">
        <f t="shared" si="0"/>
        <v>0.99453551912568305</v>
      </c>
      <c r="F18" s="2">
        <v>7.9080000000000004</v>
      </c>
      <c r="G18" s="5">
        <v>7.9450000000000003</v>
      </c>
      <c r="H18" s="6">
        <f t="shared" si="1"/>
        <v>1.0046788062721295</v>
      </c>
      <c r="I18" s="2">
        <v>2.508</v>
      </c>
      <c r="J18" s="5">
        <v>2.5099999999999998</v>
      </c>
      <c r="K18" s="6">
        <f t="shared" si="2"/>
        <v>1.0007974481658692</v>
      </c>
      <c r="L18" s="2"/>
      <c r="M18" s="11">
        <f t="shared" ca="1" si="3"/>
        <v>22.841999999999999</v>
      </c>
    </row>
    <row r="19" spans="2:13" ht="15" x14ac:dyDescent="0.55000000000000004">
      <c r="B19" s="1">
        <v>15</v>
      </c>
      <c r="C19" s="2">
        <v>23.234000000000002</v>
      </c>
      <c r="D19" s="5">
        <v>23.157</v>
      </c>
      <c r="E19" s="6">
        <f t="shared" si="0"/>
        <v>0.99668589136610131</v>
      </c>
      <c r="F19" s="2">
        <v>7.9390000000000001</v>
      </c>
      <c r="G19" s="5">
        <v>7.9160000000000004</v>
      </c>
      <c r="H19" s="6">
        <f t="shared" si="1"/>
        <v>0.99710290968635851</v>
      </c>
      <c r="I19" s="2">
        <v>2.5099999999999998</v>
      </c>
      <c r="J19" s="5">
        <v>2.5030000000000001</v>
      </c>
      <c r="K19" s="6">
        <f t="shared" si="2"/>
        <v>0.99721115537848615</v>
      </c>
      <c r="L19" s="2"/>
      <c r="M19" s="11">
        <f t="shared" ca="1" si="3"/>
        <v>22.803000000000001</v>
      </c>
    </row>
    <row r="20" spans="2:13" ht="15" x14ac:dyDescent="0.55000000000000004">
      <c r="B20" s="1">
        <v>16</v>
      </c>
      <c r="C20" s="2">
        <v>23.213999999999999</v>
      </c>
      <c r="D20" s="5">
        <v>23.22</v>
      </c>
      <c r="E20" s="6">
        <f t="shared" si="0"/>
        <v>1.0002584647195658</v>
      </c>
      <c r="F20" s="2">
        <v>7.8689999999999998</v>
      </c>
      <c r="G20" s="5">
        <v>7.9109999999999996</v>
      </c>
      <c r="H20" s="6">
        <f t="shared" si="1"/>
        <v>1.0053373999237514</v>
      </c>
      <c r="I20" s="2">
        <v>2.5129999999999999</v>
      </c>
      <c r="J20" s="5">
        <v>2.508</v>
      </c>
      <c r="K20" s="6">
        <f t="shared" si="2"/>
        <v>0.99801034619976126</v>
      </c>
      <c r="L20" s="2"/>
      <c r="M20" s="11">
        <f t="shared" ca="1" si="3"/>
        <v>22.908000000000001</v>
      </c>
    </row>
    <row r="21" spans="2:13" ht="15" x14ac:dyDescent="0.55000000000000004">
      <c r="B21" s="1">
        <v>17</v>
      </c>
      <c r="C21" s="2">
        <v>23.167999999999999</v>
      </c>
      <c r="D21" s="5">
        <v>23.260999999999999</v>
      </c>
      <c r="E21" s="6">
        <f t="shared" si="0"/>
        <v>1.0040141574585635</v>
      </c>
      <c r="F21" s="2">
        <v>7.8730000000000002</v>
      </c>
      <c r="G21" s="5">
        <v>7.9379999999999997</v>
      </c>
      <c r="H21" s="6">
        <f t="shared" si="1"/>
        <v>1.0082560650323891</v>
      </c>
      <c r="I21" s="2">
        <v>2.516</v>
      </c>
      <c r="J21" s="5">
        <v>2.4969999999999999</v>
      </c>
      <c r="K21" s="6">
        <f t="shared" si="2"/>
        <v>0.9924483306836247</v>
      </c>
      <c r="L21" s="2"/>
      <c r="M21" s="11">
        <f t="shared" ca="1" si="3"/>
        <v>22.852</v>
      </c>
    </row>
    <row r="22" spans="2:13" ht="15" x14ac:dyDescent="0.55000000000000004">
      <c r="B22" s="1">
        <v>18</v>
      </c>
      <c r="C22" s="2">
        <v>23.308</v>
      </c>
      <c r="D22" s="5">
        <v>23.175000000000001</v>
      </c>
      <c r="E22" s="6">
        <f t="shared" si="0"/>
        <v>0.99429380470224815</v>
      </c>
      <c r="F22" s="2">
        <v>7.915</v>
      </c>
      <c r="G22" s="5">
        <v>7.9</v>
      </c>
      <c r="H22" s="6">
        <f t="shared" si="1"/>
        <v>0.99810486418193312</v>
      </c>
      <c r="I22" s="2">
        <v>2.52</v>
      </c>
      <c r="J22" s="5">
        <v>2.5059999999999998</v>
      </c>
      <c r="K22" s="6">
        <f t="shared" si="2"/>
        <v>0.99444444444444435</v>
      </c>
      <c r="L22" s="2"/>
      <c r="M22" s="11">
        <f t="shared" ca="1" si="3"/>
        <v>23.123999999999999</v>
      </c>
    </row>
    <row r="23" spans="2:13" ht="15" x14ac:dyDescent="0.55000000000000004">
      <c r="B23" s="8">
        <v>19</v>
      </c>
      <c r="C23" s="2">
        <v>23.184000000000001</v>
      </c>
      <c r="D23" s="5">
        <v>23.222000000000001</v>
      </c>
      <c r="E23" s="6">
        <f t="shared" si="0"/>
        <v>1.0016390614216701</v>
      </c>
      <c r="F23" s="2">
        <v>7.883</v>
      </c>
      <c r="G23" s="5">
        <v>7.9189999999999996</v>
      </c>
      <c r="H23" s="6">
        <f t="shared" si="1"/>
        <v>1.0045667892934163</v>
      </c>
      <c r="I23" s="2">
        <v>2.5019999999999998</v>
      </c>
      <c r="J23" s="5">
        <v>2.5059999999999998</v>
      </c>
      <c r="K23" s="6">
        <f t="shared" si="2"/>
        <v>1.0015987210231814</v>
      </c>
      <c r="L23" s="2"/>
      <c r="M23" s="11">
        <f t="shared" ca="1" si="3"/>
        <v>22.908000000000001</v>
      </c>
    </row>
    <row r="24" spans="2:13" ht="15" x14ac:dyDescent="0.55000000000000004">
      <c r="B24" s="8">
        <v>20</v>
      </c>
      <c r="C24" s="2">
        <v>23.152000000000001</v>
      </c>
      <c r="D24" s="5">
        <v>23.222000000000001</v>
      </c>
      <c r="E24" s="6">
        <f t="shared" si="0"/>
        <v>1.0030234968901175</v>
      </c>
      <c r="F24" s="2">
        <v>7.8680000000000003</v>
      </c>
      <c r="G24" s="5">
        <v>7.9189999999999996</v>
      </c>
      <c r="H24" s="6">
        <f t="shared" si="1"/>
        <v>1.0064819522114894</v>
      </c>
      <c r="I24" s="2">
        <v>2.5</v>
      </c>
      <c r="J24" s="5">
        <v>2.5059999999999998</v>
      </c>
      <c r="K24" s="6">
        <f t="shared" si="2"/>
        <v>1.0024</v>
      </c>
      <c r="L24" s="2"/>
      <c r="M24" s="11">
        <f t="shared" ca="1" si="3"/>
        <v>23.236999999999998</v>
      </c>
    </row>
  </sheetData>
  <mergeCells count="3">
    <mergeCell ref="C3:D3"/>
    <mergeCell ref="F3:G3"/>
    <mergeCell ref="I3:J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AF93-BD49-43B1-85B6-900AFFF9EDF8}">
  <dimension ref="B1:V24"/>
  <sheetViews>
    <sheetView tabSelected="1" workbookViewId="0">
      <selection activeCell="G25" sqref="G25"/>
    </sheetView>
  </sheetViews>
  <sheetFormatPr defaultRowHeight="14.25" x14ac:dyDescent="0.45"/>
  <cols>
    <col min="2" max="2" width="4.9296875" style="1" customWidth="1"/>
    <col min="3" max="19" width="10.265625" customWidth="1"/>
  </cols>
  <sheetData>
    <row r="1" spans="2:22" x14ac:dyDescent="0.45">
      <c r="C1" s="10"/>
      <c r="D1" s="10">
        <v>0.5</v>
      </c>
      <c r="E1" s="10"/>
      <c r="F1" s="10"/>
      <c r="G1" s="10"/>
      <c r="H1" s="10"/>
      <c r="I1" s="10"/>
      <c r="J1" s="10">
        <v>0.3</v>
      </c>
      <c r="K1" s="10"/>
      <c r="L1" s="10"/>
      <c r="M1" s="10"/>
      <c r="N1" s="10"/>
      <c r="O1" s="10"/>
      <c r="P1" s="10">
        <v>0.05</v>
      </c>
      <c r="Q1" s="10"/>
      <c r="R1" s="10"/>
      <c r="S1" s="10"/>
      <c r="T1" s="10"/>
    </row>
    <row r="2" spans="2:22" s="9" customFormat="1" ht="15.75" x14ac:dyDescent="0.45">
      <c r="C2" s="9">
        <f>23.2-0.5</f>
        <v>22.7</v>
      </c>
      <c r="D2" s="9">
        <f>23.2+0.5</f>
        <v>23.7</v>
      </c>
      <c r="I2" s="9">
        <f>7.8-0.3</f>
        <v>7.5</v>
      </c>
      <c r="J2" s="9">
        <f>7.8+0.3</f>
        <v>8.1</v>
      </c>
      <c r="O2" s="9">
        <f>2.5-0.05</f>
        <v>2.4500000000000002</v>
      </c>
      <c r="P2" s="9">
        <f>2.5+0.05</f>
        <v>2.5499999999999998</v>
      </c>
    </row>
    <row r="3" spans="2:22" x14ac:dyDescent="0.45">
      <c r="C3" s="13" t="s">
        <v>0</v>
      </c>
      <c r="D3" s="13"/>
      <c r="E3" s="3"/>
      <c r="F3" s="3"/>
      <c r="G3" s="3"/>
      <c r="H3" s="3"/>
      <c r="I3" s="13" t="s">
        <v>1</v>
      </c>
      <c r="J3" s="13"/>
      <c r="K3" s="3"/>
      <c r="L3" s="3"/>
      <c r="M3" s="3"/>
      <c r="N3" s="3"/>
      <c r="O3" s="13" t="s">
        <v>2</v>
      </c>
      <c r="P3" s="13"/>
      <c r="Q3" s="3"/>
      <c r="R3" s="3"/>
      <c r="S3" s="3"/>
    </row>
    <row r="4" spans="2:22" x14ac:dyDescent="0.45">
      <c r="C4" s="3" t="s">
        <v>3</v>
      </c>
      <c r="D4" s="4" t="s">
        <v>5</v>
      </c>
      <c r="E4" s="4" t="s">
        <v>6</v>
      </c>
      <c r="F4" s="4" t="s">
        <v>7</v>
      </c>
      <c r="G4" s="4" t="s">
        <v>8</v>
      </c>
      <c r="H4" s="4"/>
      <c r="I4" s="3" t="s">
        <v>3</v>
      </c>
      <c r="J4" s="4" t="s">
        <v>5</v>
      </c>
      <c r="K4" s="4" t="s">
        <v>6</v>
      </c>
      <c r="L4" s="4" t="s">
        <v>7</v>
      </c>
      <c r="M4" s="4" t="s">
        <v>8</v>
      </c>
      <c r="N4" s="4"/>
      <c r="O4" s="3" t="s">
        <v>3</v>
      </c>
      <c r="P4" s="4" t="s">
        <v>5</v>
      </c>
      <c r="Q4" s="4" t="s">
        <v>6</v>
      </c>
      <c r="R4" s="4" t="s">
        <v>7</v>
      </c>
      <c r="S4" s="4" t="s">
        <v>8</v>
      </c>
      <c r="T4" s="4"/>
    </row>
    <row r="5" spans="2:22" ht="15" x14ac:dyDescent="0.55000000000000004">
      <c r="B5" s="8">
        <v>1</v>
      </c>
      <c r="C5" s="2">
        <v>23.065000000000001</v>
      </c>
      <c r="D5" s="5">
        <v>23.222000000000001</v>
      </c>
      <c r="E5" s="5">
        <v>23.013999999999999</v>
      </c>
      <c r="F5" s="5">
        <v>23.015999999999998</v>
      </c>
      <c r="G5" s="5">
        <v>23.035</v>
      </c>
      <c r="H5" s="6">
        <f t="shared" ref="H5:H24" si="0">D5/C5</f>
        <v>1.0068068502059397</v>
      </c>
      <c r="I5" s="2">
        <v>7.8380000000000001</v>
      </c>
      <c r="J5" s="5">
        <v>7.9189999999999996</v>
      </c>
      <c r="K5" s="5">
        <v>7.8869999999999996</v>
      </c>
      <c r="L5" s="5">
        <v>7.9029999999999996</v>
      </c>
      <c r="M5" s="5">
        <v>7.8789999999999996</v>
      </c>
      <c r="N5" s="6">
        <f>J5/I5</f>
        <v>1.0103342689461596</v>
      </c>
      <c r="O5" s="2">
        <v>2.5110000000000001</v>
      </c>
      <c r="P5" s="5">
        <v>2.5059999999999998</v>
      </c>
      <c r="Q5" s="5">
        <v>2.524</v>
      </c>
      <c r="R5" s="5">
        <v>2.5230000000000001</v>
      </c>
      <c r="S5" s="5">
        <v>2.5110000000000001</v>
      </c>
      <c r="T5" s="6">
        <f>P5/O5</f>
        <v>0.99800876144962158</v>
      </c>
      <c r="U5" s="2"/>
      <c r="V5" s="11"/>
    </row>
    <row r="6" spans="2:22" ht="15" x14ac:dyDescent="0.55000000000000004">
      <c r="B6" s="8">
        <v>2</v>
      </c>
      <c r="C6" s="2">
        <v>23.047000000000001</v>
      </c>
      <c r="D6" s="5">
        <v>23.222000000000001</v>
      </c>
      <c r="E6" s="5">
        <v>23.006</v>
      </c>
      <c r="F6" s="5">
        <v>22.98</v>
      </c>
      <c r="G6" s="5">
        <v>22.998000000000001</v>
      </c>
      <c r="H6" s="6">
        <f t="shared" si="0"/>
        <v>1.0075931791556385</v>
      </c>
      <c r="I6" s="2">
        <v>7.8410000000000002</v>
      </c>
      <c r="J6" s="5">
        <v>7.9189999999999996</v>
      </c>
      <c r="K6" s="5">
        <v>7.8630000000000004</v>
      </c>
      <c r="L6" s="5">
        <v>7.8609999999999998</v>
      </c>
      <c r="M6" s="5">
        <v>7.8639999999999999</v>
      </c>
      <c r="N6" s="6">
        <f t="shared" ref="N6:N24" si="1">J6/I6</f>
        <v>1.0099477107511796</v>
      </c>
      <c r="O6" s="2">
        <v>2.508</v>
      </c>
      <c r="P6" s="5">
        <v>2.5059999999999998</v>
      </c>
      <c r="Q6" s="5">
        <v>2.5139999999999998</v>
      </c>
      <c r="R6" s="5">
        <v>2.5059999999999998</v>
      </c>
      <c r="S6" s="5">
        <v>2.512</v>
      </c>
      <c r="T6" s="6">
        <f t="shared" ref="T6:T24" si="2">P6/O6</f>
        <v>0.99920255183413065</v>
      </c>
      <c r="U6" s="2"/>
      <c r="V6" s="11"/>
    </row>
    <row r="7" spans="2:22" ht="15" x14ac:dyDescent="0.55000000000000004">
      <c r="B7" s="1">
        <v>3</v>
      </c>
      <c r="C7" s="2">
        <v>22.965</v>
      </c>
      <c r="D7" s="5">
        <v>23.175000000000001</v>
      </c>
      <c r="E7" s="5">
        <v>22.827999999999999</v>
      </c>
      <c r="F7" s="5">
        <v>22.838999999999999</v>
      </c>
      <c r="G7" s="5">
        <v>22.844000000000001</v>
      </c>
      <c r="H7" s="6">
        <f t="shared" si="0"/>
        <v>1.0091443500979753</v>
      </c>
      <c r="I7" s="2">
        <v>7.79</v>
      </c>
      <c r="J7" s="5">
        <v>7.9</v>
      </c>
      <c r="K7" s="5">
        <v>7.8209999999999997</v>
      </c>
      <c r="L7" s="5">
        <v>7.7919999999999998</v>
      </c>
      <c r="M7" s="5">
        <v>7.798</v>
      </c>
      <c r="N7" s="6">
        <f t="shared" si="1"/>
        <v>1.0141206675224648</v>
      </c>
      <c r="O7" s="2">
        <v>2.5169999999999999</v>
      </c>
      <c r="P7" s="5">
        <v>2.5059999999999998</v>
      </c>
      <c r="Q7" s="5">
        <v>2.5089999999999999</v>
      </c>
      <c r="R7" s="5">
        <v>2.5070000000000001</v>
      </c>
      <c r="S7" s="5">
        <v>2.5089999999999999</v>
      </c>
      <c r="T7" s="6">
        <f t="shared" si="2"/>
        <v>0.99562971791815646</v>
      </c>
      <c r="U7" s="2"/>
      <c r="V7" s="11"/>
    </row>
    <row r="8" spans="2:22" ht="15" x14ac:dyDescent="0.55000000000000004">
      <c r="B8" s="1">
        <v>4</v>
      </c>
      <c r="C8" s="2">
        <v>22.937000000000001</v>
      </c>
      <c r="D8" s="5">
        <v>23.260999999999999</v>
      </c>
      <c r="E8" s="5">
        <v>22.800999999999998</v>
      </c>
      <c r="F8" s="5">
        <v>22.806000000000001</v>
      </c>
      <c r="G8" s="5">
        <v>22.800999999999998</v>
      </c>
      <c r="H8" s="6">
        <f t="shared" si="0"/>
        <v>1.0141256485154988</v>
      </c>
      <c r="I8" s="2">
        <v>7.7789999999999999</v>
      </c>
      <c r="J8" s="5">
        <v>7.9379999999999997</v>
      </c>
      <c r="K8" s="5">
        <v>7.8129999999999997</v>
      </c>
      <c r="L8" s="5">
        <v>7.8250000000000002</v>
      </c>
      <c r="M8" s="5">
        <v>7.819</v>
      </c>
      <c r="N8" s="6">
        <f t="shared" si="1"/>
        <v>1.0204396451986115</v>
      </c>
      <c r="O8" s="2">
        <v>2.504</v>
      </c>
      <c r="P8" s="5">
        <v>2.4969999999999999</v>
      </c>
      <c r="Q8" s="5">
        <v>2.5049999999999999</v>
      </c>
      <c r="R8" s="5">
        <v>2.5059999999999998</v>
      </c>
      <c r="S8" s="5">
        <v>2.5059999999999998</v>
      </c>
      <c r="T8" s="6">
        <f t="shared" si="2"/>
        <v>0.99720447284345048</v>
      </c>
      <c r="U8" s="2"/>
      <c r="V8" s="11"/>
    </row>
    <row r="9" spans="2:22" ht="15" x14ac:dyDescent="0.55000000000000004">
      <c r="B9" s="1">
        <v>5</v>
      </c>
      <c r="C9" s="2">
        <v>22.975000000000001</v>
      </c>
      <c r="D9" s="5">
        <v>23.22</v>
      </c>
      <c r="E9" s="5">
        <v>22.91</v>
      </c>
      <c r="F9" s="5">
        <v>22.917999999999999</v>
      </c>
      <c r="G9" s="5">
        <v>22.905999999999999</v>
      </c>
      <c r="H9" s="6">
        <f t="shared" si="0"/>
        <v>1.010663764961915</v>
      </c>
      <c r="I9" s="2">
        <v>7.8049999999999997</v>
      </c>
      <c r="J9" s="5">
        <v>7.9109999999999996</v>
      </c>
      <c r="K9" s="5">
        <v>7.7690000000000001</v>
      </c>
      <c r="L9" s="5">
        <v>7.7880000000000003</v>
      </c>
      <c r="M9" s="5">
        <v>7.79</v>
      </c>
      <c r="N9" s="6">
        <f t="shared" si="1"/>
        <v>1.0135810377962844</v>
      </c>
      <c r="O9" s="2">
        <v>2.5230000000000001</v>
      </c>
      <c r="P9" s="5">
        <v>2.508</v>
      </c>
      <c r="Q9" s="5">
        <v>2.516</v>
      </c>
      <c r="R9" s="5">
        <v>2.5190000000000001</v>
      </c>
      <c r="S9" s="5">
        <v>2.5179999999999998</v>
      </c>
      <c r="T9" s="6">
        <f t="shared" si="2"/>
        <v>0.99405469678953617</v>
      </c>
      <c r="U9" s="2"/>
      <c r="V9" s="11"/>
    </row>
    <row r="10" spans="2:22" ht="15" x14ac:dyDescent="0.55000000000000004">
      <c r="B10" s="1">
        <v>6</v>
      </c>
      <c r="C10" s="2">
        <v>22.954000000000001</v>
      </c>
      <c r="D10" s="5">
        <v>23.157</v>
      </c>
      <c r="E10" s="5">
        <v>22.835999999999999</v>
      </c>
      <c r="F10" s="5">
        <v>22.841999999999999</v>
      </c>
      <c r="G10" s="5">
        <v>22.866</v>
      </c>
      <c r="H10" s="6">
        <f t="shared" si="0"/>
        <v>1.0088437745055328</v>
      </c>
      <c r="I10" s="2">
        <v>7.8</v>
      </c>
      <c r="J10" s="5">
        <v>7.9160000000000004</v>
      </c>
      <c r="K10" s="5">
        <v>7.8170000000000002</v>
      </c>
      <c r="L10" s="5">
        <v>7.8239999999999998</v>
      </c>
      <c r="M10" s="5">
        <v>7.8220000000000001</v>
      </c>
      <c r="N10" s="6">
        <f t="shared" si="1"/>
        <v>1.0148717948717949</v>
      </c>
      <c r="O10" s="2">
        <v>2.5019999999999998</v>
      </c>
      <c r="P10" s="5">
        <v>2.5030000000000001</v>
      </c>
      <c r="Q10" s="5">
        <v>2.5099999999999998</v>
      </c>
      <c r="R10" s="5">
        <v>2.5110000000000001</v>
      </c>
      <c r="S10" s="5">
        <v>2.504</v>
      </c>
      <c r="T10" s="6">
        <f t="shared" si="2"/>
        <v>1.0003996802557955</v>
      </c>
      <c r="U10" s="2"/>
      <c r="V10" s="11"/>
    </row>
    <row r="11" spans="2:22" ht="15" x14ac:dyDescent="0.55000000000000004">
      <c r="B11" s="1">
        <v>7</v>
      </c>
      <c r="C11" s="2">
        <v>23.181999999999999</v>
      </c>
      <c r="D11" s="5">
        <v>23.114000000000001</v>
      </c>
      <c r="E11" s="5">
        <v>23.14</v>
      </c>
      <c r="F11" s="5">
        <v>23.13</v>
      </c>
      <c r="G11" s="5">
        <v>23.128</v>
      </c>
      <c r="H11" s="6">
        <f t="shared" si="0"/>
        <v>0.99706668967302226</v>
      </c>
      <c r="I11" s="2">
        <v>7.9050000000000002</v>
      </c>
      <c r="J11" s="5">
        <v>7.9450000000000003</v>
      </c>
      <c r="K11" s="5">
        <v>7.9470000000000001</v>
      </c>
      <c r="L11" s="5">
        <v>7.944</v>
      </c>
      <c r="M11" s="5">
        <v>7.9459999999999997</v>
      </c>
      <c r="N11" s="6">
        <f t="shared" si="1"/>
        <v>1.0050600885515497</v>
      </c>
      <c r="O11" s="2">
        <v>2.504</v>
      </c>
      <c r="P11" s="5">
        <v>2.5099999999999998</v>
      </c>
      <c r="Q11" s="5">
        <v>2.5059999999999998</v>
      </c>
      <c r="R11" s="5">
        <v>2.508</v>
      </c>
      <c r="S11" s="5">
        <v>2.5049999999999999</v>
      </c>
      <c r="T11" s="6">
        <f t="shared" si="2"/>
        <v>1.0023961661341851</v>
      </c>
      <c r="U11" s="2"/>
      <c r="V11" s="11"/>
    </row>
    <row r="12" spans="2:22" ht="15" x14ac:dyDescent="0.55000000000000004">
      <c r="B12" s="1">
        <v>8</v>
      </c>
      <c r="C12" s="2">
        <v>22.997</v>
      </c>
      <c r="D12" s="5">
        <v>23.13</v>
      </c>
      <c r="E12" s="5">
        <v>22.902999999999999</v>
      </c>
      <c r="F12" s="5">
        <v>22.895</v>
      </c>
      <c r="G12" s="5">
        <v>22.901</v>
      </c>
      <c r="H12" s="6">
        <f t="shared" si="0"/>
        <v>1.0057833630473541</v>
      </c>
      <c r="I12" s="2">
        <v>7.7949999999999999</v>
      </c>
      <c r="J12" s="5">
        <v>7.9279999999999999</v>
      </c>
      <c r="K12" s="5">
        <v>7.84</v>
      </c>
      <c r="L12" s="5">
        <v>7.8680000000000003</v>
      </c>
      <c r="M12" s="5">
        <v>7.8650000000000002</v>
      </c>
      <c r="N12" s="6">
        <f t="shared" si="1"/>
        <v>1.0170622193713919</v>
      </c>
      <c r="O12" s="2">
        <v>2.5169999999999999</v>
      </c>
      <c r="P12" s="5">
        <v>2.5169999999999999</v>
      </c>
      <c r="Q12" s="5">
        <v>2.508</v>
      </c>
      <c r="R12" s="5">
        <v>2.5070000000000001</v>
      </c>
      <c r="S12" s="5">
        <v>2.508</v>
      </c>
      <c r="T12" s="6">
        <f t="shared" si="2"/>
        <v>1</v>
      </c>
      <c r="U12" s="2"/>
      <c r="V12" s="11"/>
    </row>
    <row r="13" spans="2:22" ht="15" x14ac:dyDescent="0.55000000000000004">
      <c r="B13" s="1">
        <v>9</v>
      </c>
      <c r="C13" s="2">
        <v>23.312000000000001</v>
      </c>
      <c r="D13" s="5">
        <v>23.268000000000001</v>
      </c>
      <c r="E13" s="5">
        <v>23.251999999999999</v>
      </c>
      <c r="F13" s="5">
        <v>23.254999999999999</v>
      </c>
      <c r="G13" s="5">
        <v>23.254999999999999</v>
      </c>
      <c r="H13" s="12">
        <f t="shared" si="0"/>
        <v>0.99811256005490734</v>
      </c>
      <c r="I13" s="2">
        <v>7.9169999999999998</v>
      </c>
      <c r="J13" s="5">
        <v>7.9160000000000004</v>
      </c>
      <c r="K13" s="5">
        <v>7.9329999999999998</v>
      </c>
      <c r="L13" s="5">
        <v>7.96</v>
      </c>
      <c r="M13" s="5">
        <v>7.9630000000000001</v>
      </c>
      <c r="N13" s="6">
        <f t="shared" si="1"/>
        <v>0.99987368952886202</v>
      </c>
      <c r="O13" s="2">
        <v>2.5059999999999998</v>
      </c>
      <c r="P13" s="5">
        <v>2.5129999999999999</v>
      </c>
      <c r="Q13" s="5">
        <v>2.5059999999999998</v>
      </c>
      <c r="R13" s="5">
        <v>2.5049999999999999</v>
      </c>
      <c r="S13" s="5">
        <v>2.504</v>
      </c>
      <c r="T13" s="6">
        <f t="shared" si="2"/>
        <v>1.0027932960893855</v>
      </c>
      <c r="U13" s="2"/>
      <c r="V13" s="11"/>
    </row>
    <row r="14" spans="2:22" ht="15" x14ac:dyDescent="0.55000000000000004">
      <c r="B14" s="1">
        <v>10</v>
      </c>
      <c r="C14" s="2">
        <v>23.276</v>
      </c>
      <c r="D14" s="5">
        <v>23.132000000000001</v>
      </c>
      <c r="E14" s="5">
        <v>23.228999999999999</v>
      </c>
      <c r="F14" s="5">
        <v>23.225000000000001</v>
      </c>
      <c r="G14" s="5">
        <v>23.202000000000002</v>
      </c>
      <c r="H14" s="6">
        <f t="shared" si="0"/>
        <v>0.9938133699948446</v>
      </c>
      <c r="I14" s="2">
        <v>7.9359999999999999</v>
      </c>
      <c r="J14" s="5">
        <v>7.9180000000000001</v>
      </c>
      <c r="K14" s="5">
        <v>7.9210000000000003</v>
      </c>
      <c r="L14" s="5">
        <v>7.9249999999999998</v>
      </c>
      <c r="M14" s="5">
        <v>7.95</v>
      </c>
      <c r="N14" s="6">
        <f t="shared" si="1"/>
        <v>0.99773185483870974</v>
      </c>
      <c r="O14" s="2">
        <v>2.52</v>
      </c>
      <c r="P14" s="5">
        <v>2.5030000000000001</v>
      </c>
      <c r="Q14" s="5">
        <v>2.5070000000000001</v>
      </c>
      <c r="R14" s="5">
        <v>2.504</v>
      </c>
      <c r="S14" s="5">
        <v>2.512</v>
      </c>
      <c r="T14" s="6">
        <f t="shared" si="2"/>
        <v>0.99325396825396828</v>
      </c>
      <c r="U14" s="2"/>
      <c r="V14" s="11"/>
    </row>
    <row r="15" spans="2:22" ht="15" x14ac:dyDescent="0.55000000000000004">
      <c r="B15" s="8">
        <v>11</v>
      </c>
      <c r="C15" s="2">
        <v>23.276</v>
      </c>
      <c r="D15" s="5">
        <v>23.033000000000001</v>
      </c>
      <c r="E15" s="5">
        <v>23.221</v>
      </c>
      <c r="F15" s="5">
        <v>23.224</v>
      </c>
      <c r="G15" s="5">
        <v>23.222000000000001</v>
      </c>
      <c r="H15" s="6">
        <f t="shared" si="0"/>
        <v>0.98956006186630008</v>
      </c>
      <c r="I15" s="2">
        <v>7.9029999999999996</v>
      </c>
      <c r="J15" s="5">
        <v>7.8920000000000003</v>
      </c>
      <c r="K15" s="5">
        <v>7.9240000000000004</v>
      </c>
      <c r="L15" s="5">
        <v>7.944</v>
      </c>
      <c r="M15" s="5">
        <v>7.9240000000000004</v>
      </c>
      <c r="N15" s="6">
        <f t="shared" si="1"/>
        <v>0.99860812349740613</v>
      </c>
      <c r="O15" s="2">
        <v>2.4990000000000001</v>
      </c>
      <c r="P15" s="5">
        <v>2.5139999999999998</v>
      </c>
      <c r="Q15" s="5">
        <v>2.5049999999999999</v>
      </c>
      <c r="R15" s="5">
        <v>2.5139999999999998</v>
      </c>
      <c r="S15" s="5">
        <v>2.5059999999999998</v>
      </c>
      <c r="T15" s="6">
        <f t="shared" si="2"/>
        <v>1.0060024009603841</v>
      </c>
      <c r="U15" s="2"/>
      <c r="V15" s="11"/>
    </row>
    <row r="16" spans="2:22" ht="15" x14ac:dyDescent="0.55000000000000004">
      <c r="B16" s="8">
        <v>12</v>
      </c>
      <c r="C16" s="2">
        <v>23.219000000000001</v>
      </c>
      <c r="D16" s="5">
        <v>23.033000000000001</v>
      </c>
      <c r="E16" s="5">
        <v>23.167999999999999</v>
      </c>
      <c r="F16" s="5">
        <v>23.184000000000001</v>
      </c>
      <c r="G16" s="5">
        <v>23.169</v>
      </c>
      <c r="H16" s="6">
        <f t="shared" si="0"/>
        <v>0.99198931909212285</v>
      </c>
      <c r="I16" s="2">
        <v>7.8710000000000004</v>
      </c>
      <c r="J16" s="5">
        <v>7.8920000000000003</v>
      </c>
      <c r="K16" s="5">
        <v>7.867</v>
      </c>
      <c r="L16" s="5">
        <v>7.8979999999999997</v>
      </c>
      <c r="M16" s="5">
        <v>7.891</v>
      </c>
      <c r="N16" s="6">
        <f t="shared" si="1"/>
        <v>1.0026680218523694</v>
      </c>
      <c r="O16" s="2">
        <v>2.5089999999999999</v>
      </c>
      <c r="P16" s="5">
        <v>2.5139999999999998</v>
      </c>
      <c r="Q16" s="5">
        <v>2.5059999999999998</v>
      </c>
      <c r="R16" s="5">
        <v>2.5129999999999999</v>
      </c>
      <c r="S16" s="5">
        <v>2.5</v>
      </c>
      <c r="T16" s="6">
        <f t="shared" si="2"/>
        <v>1.0019928258270228</v>
      </c>
      <c r="U16" s="2"/>
      <c r="V16" s="11"/>
    </row>
    <row r="17" spans="2:22" ht="15" x14ac:dyDescent="0.55000000000000004">
      <c r="B17" s="1">
        <v>13</v>
      </c>
      <c r="C17" s="2">
        <v>23.298999999999999</v>
      </c>
      <c r="D17" s="5">
        <v>22.998999999999999</v>
      </c>
      <c r="E17" s="5">
        <v>23.259</v>
      </c>
      <c r="F17" s="5">
        <v>23.26</v>
      </c>
      <c r="G17" s="5">
        <v>23.265000000000001</v>
      </c>
      <c r="H17" s="6">
        <f t="shared" si="0"/>
        <v>0.98712391089746343</v>
      </c>
      <c r="I17" s="2">
        <v>7.931</v>
      </c>
      <c r="J17" s="5">
        <v>7.8760000000000003</v>
      </c>
      <c r="K17" s="5">
        <v>7.9379999999999997</v>
      </c>
      <c r="L17" s="5">
        <v>7.9370000000000003</v>
      </c>
      <c r="M17" s="5">
        <v>7.9379999999999997</v>
      </c>
      <c r="N17" s="6">
        <f t="shared" si="1"/>
        <v>0.99306518723994452</v>
      </c>
      <c r="O17" s="2">
        <v>2.5019999999999998</v>
      </c>
      <c r="P17" s="5">
        <v>2.5110000000000001</v>
      </c>
      <c r="Q17" s="5">
        <v>2.5099999999999998</v>
      </c>
      <c r="R17" s="5">
        <v>2.5129999999999999</v>
      </c>
      <c r="S17" s="5">
        <v>2.5099999999999998</v>
      </c>
      <c r="T17" s="6">
        <f t="shared" si="2"/>
        <v>1.0035971223021585</v>
      </c>
      <c r="U17" s="2"/>
      <c r="V17" s="11"/>
    </row>
    <row r="18" spans="2:22" ht="15" x14ac:dyDescent="0.55000000000000004">
      <c r="B18" s="1">
        <v>14</v>
      </c>
      <c r="C18" s="2">
        <v>23.241</v>
      </c>
      <c r="D18" s="5">
        <v>22.841999999999999</v>
      </c>
      <c r="E18" s="5">
        <v>23.209</v>
      </c>
      <c r="F18" s="5">
        <v>23.221</v>
      </c>
      <c r="G18" s="5">
        <v>23.225999999999999</v>
      </c>
      <c r="H18" s="6">
        <f t="shared" si="0"/>
        <v>0.98283206402478374</v>
      </c>
      <c r="I18" s="2">
        <v>7.9080000000000004</v>
      </c>
      <c r="J18" s="5">
        <v>7.8159999999999998</v>
      </c>
      <c r="K18" s="5">
        <v>7.9089999999999998</v>
      </c>
      <c r="L18" s="5">
        <v>7.91</v>
      </c>
      <c r="M18" s="5">
        <v>7.8949999999999996</v>
      </c>
      <c r="N18" s="6">
        <f t="shared" si="1"/>
        <v>0.98836621143146175</v>
      </c>
      <c r="O18" s="2">
        <v>2.508</v>
      </c>
      <c r="P18" s="5">
        <v>2.5059999999999998</v>
      </c>
      <c r="Q18" s="5">
        <v>2.5089999999999999</v>
      </c>
      <c r="R18" s="5">
        <v>2.5030000000000001</v>
      </c>
      <c r="S18" s="5">
        <v>2.5049999999999999</v>
      </c>
      <c r="T18" s="6">
        <f t="shared" si="2"/>
        <v>0.99920255183413065</v>
      </c>
      <c r="U18" s="2"/>
      <c r="V18" s="11"/>
    </row>
    <row r="19" spans="2:22" ht="15" x14ac:dyDescent="0.55000000000000004">
      <c r="B19" s="1">
        <v>15</v>
      </c>
      <c r="C19" s="2">
        <v>23.234000000000002</v>
      </c>
      <c r="D19" s="5">
        <v>22.803000000000001</v>
      </c>
      <c r="E19" s="5">
        <v>23.155000000000001</v>
      </c>
      <c r="F19" s="5">
        <v>23.155000000000001</v>
      </c>
      <c r="G19" s="5">
        <v>23.135999999999999</v>
      </c>
      <c r="H19" s="6">
        <f t="shared" si="0"/>
        <v>0.9814495997245416</v>
      </c>
      <c r="I19" s="2">
        <v>7.9390000000000001</v>
      </c>
      <c r="J19" s="5">
        <v>7.8390000000000004</v>
      </c>
      <c r="K19" s="5">
        <v>7.9269999999999996</v>
      </c>
      <c r="L19" s="5">
        <v>7.9180000000000001</v>
      </c>
      <c r="M19" s="5">
        <v>7.9189999999999996</v>
      </c>
      <c r="N19" s="6">
        <f t="shared" si="1"/>
        <v>0.98740395515808044</v>
      </c>
      <c r="O19" s="2">
        <v>2.5099999999999998</v>
      </c>
      <c r="P19" s="5">
        <v>2.5059999999999998</v>
      </c>
      <c r="Q19" s="5">
        <v>2.5070000000000001</v>
      </c>
      <c r="R19" s="5">
        <v>2.5139999999999998</v>
      </c>
      <c r="S19" s="5">
        <v>2.5129999999999999</v>
      </c>
      <c r="T19" s="6">
        <f t="shared" si="2"/>
        <v>0.99840637450199199</v>
      </c>
      <c r="U19" s="2"/>
      <c r="V19" s="11"/>
    </row>
    <row r="20" spans="2:22" ht="15" x14ac:dyDescent="0.55000000000000004">
      <c r="B20" s="1">
        <v>16</v>
      </c>
      <c r="C20" s="2">
        <v>23.213999999999999</v>
      </c>
      <c r="D20" s="5">
        <v>22.908000000000001</v>
      </c>
      <c r="E20" s="5">
        <v>23.131</v>
      </c>
      <c r="F20" s="5">
        <v>23.109000000000002</v>
      </c>
      <c r="G20" s="5">
        <v>23.117000000000001</v>
      </c>
      <c r="H20" s="6">
        <f t="shared" si="0"/>
        <v>0.98681829930214537</v>
      </c>
      <c r="I20" s="2">
        <v>7.8689999999999998</v>
      </c>
      <c r="J20" s="5">
        <v>7.8140000000000001</v>
      </c>
      <c r="K20" s="5">
        <v>7.94</v>
      </c>
      <c r="L20" s="5">
        <v>7.9370000000000003</v>
      </c>
      <c r="M20" s="5">
        <v>7.9329999999999998</v>
      </c>
      <c r="N20" s="6">
        <f t="shared" si="1"/>
        <v>0.99301054771889696</v>
      </c>
      <c r="O20" s="2">
        <v>2.5129999999999999</v>
      </c>
      <c r="P20" s="5">
        <v>2.516</v>
      </c>
      <c r="Q20" s="5">
        <v>2.5190000000000001</v>
      </c>
      <c r="R20" s="5">
        <v>2.5129999999999999</v>
      </c>
      <c r="S20" s="5">
        <v>2.5089999999999999</v>
      </c>
      <c r="T20" s="6">
        <f t="shared" si="2"/>
        <v>1.0011937922801433</v>
      </c>
      <c r="U20" s="2"/>
      <c r="V20" s="11"/>
    </row>
    <row r="21" spans="2:22" ht="15" x14ac:dyDescent="0.55000000000000004">
      <c r="B21" s="1">
        <v>17</v>
      </c>
      <c r="C21" s="2">
        <v>23.167999999999999</v>
      </c>
      <c r="D21" s="5">
        <v>22.852</v>
      </c>
      <c r="E21" s="5">
        <v>23.143000000000001</v>
      </c>
      <c r="F21" s="5">
        <v>23.117000000000001</v>
      </c>
      <c r="G21" s="5">
        <v>23.126999999999999</v>
      </c>
      <c r="H21" s="6">
        <f t="shared" si="0"/>
        <v>0.98636049723756913</v>
      </c>
      <c r="I21" s="2">
        <v>7.8730000000000002</v>
      </c>
      <c r="J21" s="5">
        <v>7.8040000000000003</v>
      </c>
      <c r="K21" s="5">
        <v>7.9059999999999997</v>
      </c>
      <c r="L21" s="5">
        <v>7.9169999999999998</v>
      </c>
      <c r="M21" s="5">
        <v>7.923</v>
      </c>
      <c r="N21" s="6">
        <f t="shared" si="1"/>
        <v>0.99123586942715614</v>
      </c>
      <c r="O21" s="2">
        <v>2.516</v>
      </c>
      <c r="P21" s="5">
        <v>2.5059999999999998</v>
      </c>
      <c r="Q21" s="5">
        <v>2.5070000000000001</v>
      </c>
      <c r="R21" s="5">
        <v>2.5190000000000001</v>
      </c>
      <c r="S21" s="5">
        <v>2.5179999999999998</v>
      </c>
      <c r="T21" s="6">
        <f t="shared" si="2"/>
        <v>0.99602543720190773</v>
      </c>
      <c r="U21" s="2"/>
      <c r="V21" s="11"/>
    </row>
    <row r="22" spans="2:22" ht="15" x14ac:dyDescent="0.55000000000000004">
      <c r="B22" s="1">
        <v>18</v>
      </c>
      <c r="C22" s="2">
        <v>23.308</v>
      </c>
      <c r="D22" s="5">
        <v>23.123999999999999</v>
      </c>
      <c r="E22" s="5">
        <v>23.271999999999998</v>
      </c>
      <c r="F22" s="5">
        <v>23.271000000000001</v>
      </c>
      <c r="G22" s="5">
        <v>23.273</v>
      </c>
      <c r="H22" s="6">
        <f t="shared" si="0"/>
        <v>0.99210571477604248</v>
      </c>
      <c r="I22" s="2">
        <v>7.915</v>
      </c>
      <c r="J22" s="5">
        <v>7.9580000000000002</v>
      </c>
      <c r="K22" s="5">
        <v>7.9119999999999999</v>
      </c>
      <c r="L22" s="5">
        <v>7.9080000000000004</v>
      </c>
      <c r="M22" s="5">
        <v>7.915</v>
      </c>
      <c r="N22" s="6">
        <f t="shared" si="1"/>
        <v>1.0054327226784587</v>
      </c>
      <c r="O22" s="2">
        <v>2.52</v>
      </c>
      <c r="P22" s="5">
        <v>2.504</v>
      </c>
      <c r="Q22" s="5">
        <v>2.5089999999999999</v>
      </c>
      <c r="R22" s="5">
        <v>2.5190000000000001</v>
      </c>
      <c r="S22" s="5">
        <v>2.5150000000000001</v>
      </c>
      <c r="T22" s="6">
        <f t="shared" si="2"/>
        <v>0.99365079365079367</v>
      </c>
      <c r="U22" s="2"/>
      <c r="V22" s="11"/>
    </row>
    <row r="23" spans="2:22" ht="15" x14ac:dyDescent="0.55000000000000004">
      <c r="B23" s="1">
        <v>19</v>
      </c>
      <c r="C23" s="2">
        <v>23.184000000000001</v>
      </c>
      <c r="D23" s="5">
        <v>22.908000000000001</v>
      </c>
      <c r="E23" s="5">
        <v>23.146999999999998</v>
      </c>
      <c r="F23" s="5">
        <v>23.141999999999999</v>
      </c>
      <c r="G23" s="5">
        <v>23.134</v>
      </c>
      <c r="H23" s="6">
        <f t="shared" si="0"/>
        <v>0.98809523809523814</v>
      </c>
      <c r="I23" s="2">
        <v>7.883</v>
      </c>
      <c r="J23" s="5">
        <v>7.86</v>
      </c>
      <c r="K23" s="5">
        <v>7.8739999999999997</v>
      </c>
      <c r="L23" s="5">
        <v>7.9180000000000001</v>
      </c>
      <c r="M23" s="5">
        <v>7.9290000000000003</v>
      </c>
      <c r="N23" s="6">
        <f t="shared" si="1"/>
        <v>0.99708232906253969</v>
      </c>
      <c r="O23" s="2">
        <v>2.5019999999999998</v>
      </c>
      <c r="P23" s="5">
        <v>2.508</v>
      </c>
      <c r="Q23" s="5">
        <v>2.5019999999999998</v>
      </c>
      <c r="R23" s="5">
        <v>2.504</v>
      </c>
      <c r="S23" s="5">
        <v>2.504</v>
      </c>
      <c r="T23" s="6">
        <f t="shared" si="2"/>
        <v>1.0023980815347722</v>
      </c>
      <c r="U23" s="2"/>
      <c r="V23" s="11"/>
    </row>
    <row r="24" spans="2:22" ht="15" x14ac:dyDescent="0.55000000000000004">
      <c r="B24" s="1">
        <v>20</v>
      </c>
      <c r="C24" s="2">
        <v>23.152000000000001</v>
      </c>
      <c r="D24" s="5">
        <v>23.236999999999998</v>
      </c>
      <c r="E24" s="5">
        <v>23.077999999999999</v>
      </c>
      <c r="F24" s="5">
        <v>23.11</v>
      </c>
      <c r="G24" s="5">
        <v>23.117999999999999</v>
      </c>
      <c r="H24" s="6">
        <f t="shared" si="0"/>
        <v>1.0036713890808568</v>
      </c>
      <c r="I24" s="2">
        <v>7.8680000000000003</v>
      </c>
      <c r="J24" s="5">
        <v>7.9550000000000001</v>
      </c>
      <c r="K24" s="5">
        <v>7.8650000000000002</v>
      </c>
      <c r="L24" s="5">
        <v>7.8419999999999996</v>
      </c>
      <c r="M24" s="5">
        <v>7.8440000000000003</v>
      </c>
      <c r="N24" s="6">
        <f t="shared" si="1"/>
        <v>1.0110574478901881</v>
      </c>
      <c r="O24" s="2">
        <v>2.5</v>
      </c>
      <c r="P24" s="5">
        <v>2.5070000000000001</v>
      </c>
      <c r="Q24" s="5">
        <v>2.504</v>
      </c>
      <c r="R24" s="5">
        <v>2.5150000000000001</v>
      </c>
      <c r="S24" s="5">
        <v>2.5150000000000001</v>
      </c>
      <c r="T24" s="6">
        <f t="shared" si="2"/>
        <v>1.0028000000000001</v>
      </c>
      <c r="U24" s="2"/>
      <c r="V24" s="11"/>
    </row>
  </sheetData>
  <mergeCells count="3">
    <mergeCell ref="C3:D3"/>
    <mergeCell ref="I3:J3"/>
    <mergeCell ref="O3:P3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LOGASENAN</dc:creator>
  <cp:lastModifiedBy>M LOGASENAN</cp:lastModifiedBy>
  <dcterms:created xsi:type="dcterms:W3CDTF">2023-07-26T01:33:11Z</dcterms:created>
  <dcterms:modified xsi:type="dcterms:W3CDTF">2023-08-02T05:56:32Z</dcterms:modified>
</cp:coreProperties>
</file>