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ASJ\"/>
    </mc:Choice>
  </mc:AlternateContent>
  <bookViews>
    <workbookView xWindow="0" yWindow="0" windowWidth="20490" windowHeight="7065"/>
  </bookViews>
  <sheets>
    <sheet name="BTF" sheetId="2" r:id="rId1"/>
  </sheets>
  <definedNames>
    <definedName name="_xlnm.Print_Area" localSheetId="0">BTF!$B$1:$AX$73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54" i="2" l="1"/>
  <c r="AJ54" i="2"/>
  <c r="AG54" i="2"/>
  <c r="AD54" i="2"/>
  <c r="AA54" i="2"/>
  <c r="X54" i="2"/>
  <c r="U54" i="2"/>
  <c r="R54" i="2"/>
  <c r="O54" i="2"/>
  <c r="L54" i="2"/>
  <c r="I54" i="2"/>
  <c r="AP54" i="2"/>
  <c r="AS54" i="2"/>
  <c r="AS52" i="2"/>
  <c r="AS51" i="2"/>
  <c r="AS50" i="2"/>
  <c r="AS49" i="2"/>
  <c r="AS53" i="2" s="1"/>
  <c r="AP53" i="2"/>
  <c r="AM53" i="2"/>
  <c r="AJ53" i="2"/>
  <c r="AG53" i="2"/>
  <c r="AD53" i="2"/>
  <c r="AA53" i="2"/>
  <c r="X53" i="2"/>
  <c r="U53" i="2"/>
  <c r="R53" i="2"/>
  <c r="O53" i="2"/>
  <c r="L53" i="2"/>
  <c r="I53" i="2"/>
  <c r="AS45" i="2"/>
  <c r="AS44" i="2"/>
  <c r="AS43" i="2"/>
  <c r="AS42" i="2"/>
  <c r="AS41" i="2"/>
  <c r="L45" i="2"/>
  <c r="O45" i="2"/>
  <c r="R45" i="2"/>
  <c r="U45" i="2"/>
  <c r="X45" i="2"/>
  <c r="AA45" i="2"/>
  <c r="AD45" i="2"/>
  <c r="AG45" i="2"/>
  <c r="AJ45" i="2"/>
  <c r="AM45" i="2"/>
  <c r="AP45" i="2"/>
  <c r="I45" i="2"/>
</calcChain>
</file>

<file path=xl/sharedStrings.xml><?xml version="1.0" encoding="utf-8"?>
<sst xmlns="http://schemas.openxmlformats.org/spreadsheetml/2006/main" count="115" uniqueCount="80">
  <si>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</si>
  <si>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</si>
  <si>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</si>
  <si>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</si>
  <si>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</si>
  <si>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</si>
  <si>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</si>
  <si>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</si>
  <si>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</si>
  <si>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</si>
  <si>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</si>
  <si>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</si>
  <si>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</si>
  <si>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</si>
  <si>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</si>
  <si>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</si>
  <si>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</si>
  <si>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</si>
  <si>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</si>
  <si>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</si>
  <si>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</si>
  <si>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</si>
  <si>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</si>
  <si>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>■</t>
  </si>
  <si>
    <t>会議フォローアップ項目　　 Meeting Follow-Up</t>
  </si>
  <si>
    <t>Directors</t>
  </si>
  <si>
    <t>Mr. Sinna, Mr. Theva</t>
  </si>
  <si>
    <t>Mr. Rajen, Mr. Loga</t>
  </si>
  <si>
    <t>QA</t>
  </si>
  <si>
    <t>Mr. Siva, Mr. Loges</t>
  </si>
  <si>
    <t>Mr. Yasuhiro Ogawa</t>
  </si>
  <si>
    <t>ASJ Components [M] Sdn.Bhd</t>
  </si>
  <si>
    <t>Ms. Sun</t>
  </si>
  <si>
    <t>ASJ New Plant Opening Ceremony</t>
  </si>
  <si>
    <t>New Plant Opening Ceremony</t>
  </si>
  <si>
    <t>Current old plant produce 11B + New Plant 20B = 31B by year end 2019.</t>
  </si>
  <si>
    <t>New plant start operation in Apr with 3B of 0402 [7910M] and gradually increase to 10B by end 2018.</t>
  </si>
  <si>
    <t>Finance, Purchasing and Management Office.</t>
  </si>
  <si>
    <t>Ground Floor/1st Floor</t>
  </si>
  <si>
    <t>a)</t>
  </si>
  <si>
    <t>b)</t>
  </si>
  <si>
    <t>Substrate warehouse</t>
  </si>
  <si>
    <t>c)</t>
  </si>
  <si>
    <t>Canteen</t>
  </si>
  <si>
    <t>2nd Floor</t>
  </si>
  <si>
    <t>d)</t>
  </si>
  <si>
    <t>Fround line process printing</t>
  </si>
  <si>
    <t>3rd Floor</t>
  </si>
  <si>
    <t>e)</t>
  </si>
  <si>
    <t>Empty for next year 10B production planning</t>
  </si>
  <si>
    <t>0402 [7910M] crack</t>
  </si>
  <si>
    <t>Production feedback encounter minor crack issue for MARUWA substrate which under control. Request MARUWA continues</t>
  </si>
  <si>
    <t>improvement to reduce crack.</t>
  </si>
  <si>
    <t>I did inform that MARUWA want to open more ranks for 7910M. Official rank proposal and sample need to submit officially.</t>
  </si>
  <si>
    <t>2018 ASJ Usage &amp; MARUWA Commitment Qty</t>
  </si>
  <si>
    <t>2018 ASJ Usage Quantity</t>
  </si>
  <si>
    <t>0402/7910M</t>
  </si>
  <si>
    <t>0603/3080M</t>
  </si>
  <si>
    <t>0805/1598M</t>
  </si>
  <si>
    <t>1206/874M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</si>
  <si>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</si>
  <si>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</si>
  <si>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</si>
  <si>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</si>
  <si>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</si>
  <si>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</si>
  <si>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</si>
  <si>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</si>
  <si>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</si>
  <si>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</si>
  <si>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</si>
  <si>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</si>
  <si>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</si>
  <si>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Product</t>
  </si>
  <si>
    <t>Kpcs</t>
  </si>
  <si>
    <t>Mar-19 20B</t>
  </si>
  <si>
    <t>2018 MARUWA Commitment Quantity</t>
  </si>
  <si>
    <t xml:space="preserve">2018 MARUWA commitment 4480Kpcs for 20B production, 2019 30B production quantity expected to increase to 5,500Kpcs mainly </t>
  </si>
  <si>
    <t>0402/7910M increase to 1,600K/month request. KAMAYA 2019 will start new plant production. MARUWA need to give more support</t>
  </si>
  <si>
    <t>to local market/order which near (location advantage) and easier to monitor and control.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</si>
</sst>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4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2"/>
      <name val="MS PMincho"/>
      <family val="1"/>
    </font>
    <font>
      <sz val="12"/>
      <color theme="1"/>
      <name val="MS PMincho"/>
      <family val="1"/>
    </font>
    <font>
      <b/>
      <u val="double"/>
      <sz val="36"/>
      <color theme="1"/>
      <name val="MS PMincho"/>
      <family val="1"/>
    </font>
    <font>
      <b/>
      <sz val="12"/>
      <name val="MS PMincho"/>
      <family val="1"/>
    </font>
    <font>
      <b/>
      <u val="double"/>
      <sz val="12"/>
      <name val="MS PMincho"/>
      <family val="1"/>
    </font>
    <font>
      <b/>
      <u/>
      <sz val="12"/>
      <name val="MS PMincho"/>
      <family val="1"/>
    </font>
    <font>
      <b/>
      <u val="double"/>
      <sz val="12"/>
      <color theme="1"/>
      <name val="MS PMincho"/>
      <family val="1"/>
    </font>
    <font>
      <sz val="12"/>
      <color theme="8"/>
      <name val="MS PMincho"/>
      <family val="1"/>
    </font>
    <font>
      <b/>
      <sz val="20"/>
      <color theme="1"/>
      <name val="MS PMincho"/>
      <family val="1"/>
    </font>
    <font>
      <sz val="11"/>
      <color theme="1"/>
      <name val="Calibri"/>
      <family val="2"/>
      <charset val="128"/>
      <scheme val="minor"/>
    </font>
    <font>
      <sz val="8"/>
      <color theme="1"/>
      <name val="MS PMincho"/>
      <family val="1"/>
    </font>
    <font>
      <b/>
      <sz val="12"/>
      <color theme="1"/>
      <name val="MS PMincho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</cellStyleXfs>
  <cellXfs count="137">
    <xf numFmtId="0" fontId="0" fillId="0" borderId="0" xfId="0"/>
    <xf numFmtId="0" fontId="2" fillId="3" borderId="0" xfId="1" applyFont="1" applyFill="1" applyBorder="1" applyAlignment="1"/>
    <xf numFmtId="0" fontId="3" fillId="3" borderId="0" xfId="1" applyFont="1" applyFill="1" applyBorder="1">
      <alignment vertical="center"/>
    </xf>
    <xf numFmtId="0" fontId="5" fillId="3" borderId="0" xfId="1" applyFont="1" applyFill="1" applyBorder="1" applyAlignment="1"/>
    <xf numFmtId="0" fontId="3" fillId="3" borderId="0" xfId="1" applyFont="1" applyFill="1">
      <alignment vertical="center"/>
    </xf>
    <xf numFmtId="0" fontId="2" fillId="3" borderId="0" xfId="1" applyFont="1" applyFill="1" applyBorder="1" applyAlignment="1">
      <alignment vertical="center"/>
    </xf>
    <xf numFmtId="0" fontId="6" fillId="3" borderId="0" xfId="1" applyFont="1" applyFill="1" applyBorder="1" applyAlignment="1">
      <alignment vertical="center"/>
    </xf>
    <xf numFmtId="0" fontId="3" fillId="3" borderId="0" xfId="1" applyFont="1" applyFill="1" applyBorder="1" applyAlignment="1">
      <alignment horizontal="right" vertical="center"/>
    </xf>
    <xf numFmtId="0" fontId="2" fillId="3" borderId="0" xfId="1" applyFont="1" applyFill="1" applyBorder="1">
      <alignment vertical="center"/>
    </xf>
    <xf numFmtId="0" fontId="7" fillId="3" borderId="0" xfId="1" applyFont="1" applyFill="1" applyBorder="1" applyAlignment="1">
      <alignment vertical="center"/>
    </xf>
    <xf numFmtId="0" fontId="8" fillId="3" borderId="0" xfId="1" applyFont="1" applyFill="1" applyBorder="1" applyAlignment="1">
      <alignment horizontal="center" vertical="center"/>
    </xf>
    <xf numFmtId="0" fontId="2" fillId="3" borderId="0" xfId="0" applyFont="1" applyFill="1"/>
    <xf numFmtId="0" fontId="3" fillId="3" borderId="0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right" vertical="center"/>
    </xf>
    <xf numFmtId="0" fontId="3" fillId="3" borderId="3" xfId="1" applyNumberFormat="1" applyFont="1" applyFill="1" applyBorder="1" applyAlignment="1">
      <alignment horizontal="left" vertical="center"/>
    </xf>
    <xf numFmtId="0" fontId="2" fillId="3" borderId="3" xfId="1" quotePrefix="1" applyNumberFormat="1" applyFont="1" applyFill="1" applyBorder="1" applyAlignment="1">
      <alignment horizontal="left" vertical="center"/>
    </xf>
    <xf numFmtId="0" fontId="3" fillId="3" borderId="3" xfId="1" applyNumberFormat="1" applyFont="1" applyFill="1" applyBorder="1" applyAlignment="1">
      <alignment horizontal="right" vertical="center"/>
    </xf>
    <xf numFmtId="0" fontId="3" fillId="3" borderId="4" xfId="1" applyNumberFormat="1" applyFont="1" applyFill="1" applyBorder="1" applyAlignment="1">
      <alignment horizontal="left" vertical="center"/>
    </xf>
    <xf numFmtId="0" fontId="3" fillId="3" borderId="0" xfId="1" applyNumberFormat="1" applyFont="1" applyFill="1" applyBorder="1" applyAlignment="1">
      <alignment horizontal="left" vertical="center"/>
    </xf>
    <xf numFmtId="0" fontId="2" fillId="3" borderId="0" xfId="1" quotePrefix="1" applyNumberFormat="1" applyFont="1" applyFill="1" applyBorder="1" applyAlignment="1">
      <alignment horizontal="left" vertical="center"/>
    </xf>
    <xf numFmtId="0" fontId="3" fillId="3" borderId="0" xfId="1" applyNumberFormat="1" applyFont="1" applyFill="1" applyBorder="1" applyAlignment="1">
      <alignment horizontal="right" vertical="center"/>
    </xf>
    <xf numFmtId="0" fontId="3" fillId="3" borderId="6" xfId="1" applyNumberFormat="1" applyFont="1" applyFill="1" applyBorder="1" applyAlignment="1">
      <alignment horizontal="left" vertical="center"/>
    </xf>
    <xf numFmtId="0" fontId="3" fillId="3" borderId="1" xfId="1" applyNumberFormat="1" applyFont="1" applyFill="1" applyBorder="1" applyAlignment="1">
      <alignment horizontal="left" vertical="center"/>
    </xf>
    <xf numFmtId="0" fontId="3" fillId="3" borderId="1" xfId="1" applyNumberFormat="1" applyFont="1" applyFill="1" applyBorder="1" applyAlignment="1">
      <alignment horizontal="right" vertical="center"/>
    </xf>
    <xf numFmtId="0" fontId="3" fillId="3" borderId="8" xfId="1" applyNumberFormat="1" applyFont="1" applyFill="1" applyBorder="1" applyAlignment="1">
      <alignment horizontal="left" vertical="center"/>
    </xf>
    <xf numFmtId="0" fontId="3" fillId="3" borderId="3" xfId="1" quotePrefix="1" applyFont="1" applyFill="1" applyBorder="1">
      <alignment vertical="center"/>
    </xf>
    <xf numFmtId="0" fontId="3" fillId="3" borderId="3" xfId="1" applyFont="1" applyFill="1" applyBorder="1">
      <alignment vertical="center"/>
    </xf>
    <xf numFmtId="0" fontId="3" fillId="4" borderId="3" xfId="1" quotePrefix="1" applyFont="1" applyFill="1" applyBorder="1">
      <alignment vertical="center"/>
    </xf>
    <xf numFmtId="0" fontId="3" fillId="4" borderId="3" xfId="1" applyFont="1" applyFill="1" applyBorder="1">
      <alignment vertical="center"/>
    </xf>
    <xf numFmtId="0" fontId="3" fillId="4" borderId="4" xfId="1" applyFont="1" applyFill="1" applyBorder="1">
      <alignment vertical="center"/>
    </xf>
    <xf numFmtId="0" fontId="3" fillId="4" borderId="0" xfId="1" applyFont="1" applyFill="1" applyBorder="1">
      <alignment vertical="center"/>
    </xf>
    <xf numFmtId="0" fontId="3" fillId="4" borderId="6" xfId="1" applyFont="1" applyFill="1" applyBorder="1">
      <alignment vertical="center"/>
    </xf>
    <xf numFmtId="0" fontId="3" fillId="3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center" vertical="center"/>
    </xf>
    <xf numFmtId="0" fontId="3" fillId="3" borderId="7" xfId="1" applyFont="1" applyFill="1" applyBorder="1">
      <alignment vertical="center"/>
    </xf>
    <xf numFmtId="0" fontId="3" fillId="3" borderId="1" xfId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" xfId="1" applyFont="1" applyFill="1" applyBorder="1" applyAlignment="1">
      <alignment horizontal="left" vertical="center"/>
    </xf>
    <xf numFmtId="0" fontId="3" fillId="4" borderId="8" xfId="1" applyFont="1" applyFill="1" applyBorder="1">
      <alignment vertical="center"/>
    </xf>
    <xf numFmtId="0" fontId="3" fillId="3" borderId="5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2" fillId="3" borderId="1" xfId="1" applyFont="1" applyFill="1" applyBorder="1">
      <alignment vertical="center"/>
    </xf>
    <xf numFmtId="0" fontId="3" fillId="3" borderId="8" xfId="1" applyFont="1" applyFill="1" applyBorder="1">
      <alignment vertical="center"/>
    </xf>
    <xf numFmtId="0" fontId="3" fillId="3" borderId="1" xfId="1" quotePrefix="1" applyFont="1" applyFill="1" applyBorder="1">
      <alignment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 wrapText="1"/>
    </xf>
    <xf numFmtId="0" fontId="3" fillId="3" borderId="0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/>
    </xf>
    <xf numFmtId="0" fontId="3" fillId="3" borderId="0" xfId="1" quotePrefix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164" fontId="2" fillId="3" borderId="0" xfId="1" applyNumberFormat="1" applyFont="1" applyFill="1" applyBorder="1" applyAlignment="1">
      <alignment horizontal="center" vertical="center"/>
    </xf>
    <xf numFmtId="0" fontId="6" fillId="3" borderId="0" xfId="1" quotePrefix="1" applyFont="1" applyFill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 shrinkToFit="1"/>
    </xf>
    <xf numFmtId="0" fontId="3" fillId="3" borderId="2" xfId="1" quotePrefix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0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3" fontId="3" fillId="3" borderId="0" xfId="1" applyNumberFormat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3" fontId="3" fillId="3" borderId="11" xfId="1" applyNumberFormat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3" fontId="3" fillId="3" borderId="12" xfId="1" applyNumberFormat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3" fontId="3" fillId="3" borderId="10" xfId="1" applyNumberFormat="1" applyFont="1" applyFill="1" applyBorder="1" applyAlignment="1">
      <alignment horizontal="center" vertical="center"/>
    </xf>
    <xf numFmtId="0" fontId="3" fillId="3" borderId="13" xfId="1" applyFont="1" applyFill="1" applyBorder="1" applyAlignment="1">
      <alignment horizontal="center" vertical="center"/>
    </xf>
    <xf numFmtId="0" fontId="3" fillId="3" borderId="14" xfId="1" applyFont="1" applyFill="1" applyBorder="1" applyAlignment="1">
      <alignment horizontal="center" vertical="center"/>
    </xf>
    <xf numFmtId="0" fontId="3" fillId="3" borderId="15" xfId="1" applyFont="1" applyFill="1" applyBorder="1" applyAlignment="1">
      <alignment horizontal="center" vertical="center"/>
    </xf>
    <xf numFmtId="3" fontId="3" fillId="3" borderId="16" xfId="1" applyNumberFormat="1" applyFont="1" applyFill="1" applyBorder="1" applyAlignment="1">
      <alignment horizontal="center" vertical="center"/>
    </xf>
    <xf numFmtId="3" fontId="3" fillId="3" borderId="17" xfId="1" applyNumberFormat="1" applyFont="1" applyFill="1" applyBorder="1" applyAlignment="1">
      <alignment horizontal="center" vertical="center"/>
    </xf>
    <xf numFmtId="3" fontId="3" fillId="3" borderId="18" xfId="1" applyNumberFormat="1" applyFont="1" applyFill="1" applyBorder="1" applyAlignment="1">
      <alignment horizontal="center" vertical="center"/>
    </xf>
    <xf numFmtId="3" fontId="3" fillId="3" borderId="19" xfId="1" applyNumberFormat="1" applyFont="1" applyFill="1" applyBorder="1" applyAlignment="1">
      <alignment horizontal="center" vertical="center"/>
    </xf>
    <xf numFmtId="3" fontId="3" fillId="3" borderId="20" xfId="1" applyNumberFormat="1" applyFont="1" applyFill="1" applyBorder="1" applyAlignment="1">
      <alignment horizontal="center" vertical="center"/>
    </xf>
    <xf numFmtId="3" fontId="3" fillId="3" borderId="21" xfId="1" applyNumberFormat="1" applyFont="1" applyFill="1" applyBorder="1" applyAlignment="1">
      <alignment horizontal="center" vertical="center"/>
    </xf>
    <xf numFmtId="3" fontId="3" fillId="3" borderId="22" xfId="1" applyNumberFormat="1" applyFont="1" applyFill="1" applyBorder="1" applyAlignment="1">
      <alignment horizontal="center" vertical="center"/>
    </xf>
    <xf numFmtId="3" fontId="3" fillId="3" borderId="23" xfId="1" applyNumberFormat="1" applyFont="1" applyFill="1" applyBorder="1" applyAlignment="1">
      <alignment horizontal="center" vertical="center"/>
    </xf>
    <xf numFmtId="2" fontId="3" fillId="3" borderId="19" xfId="1" applyNumberFormat="1" applyFont="1" applyFill="1" applyBorder="1" applyAlignment="1">
      <alignment horizontal="center" vertical="center"/>
    </xf>
    <xf numFmtId="2" fontId="3" fillId="3" borderId="0" xfId="1" applyNumberFormat="1" applyFont="1" applyFill="1" applyBorder="1" applyAlignment="1">
      <alignment horizontal="center" vertical="center"/>
    </xf>
    <xf numFmtId="0" fontId="3" fillId="3" borderId="16" xfId="1" applyFont="1" applyFill="1" applyBorder="1" applyAlignment="1">
      <alignment horizontal="center" vertical="center"/>
    </xf>
    <xf numFmtId="0" fontId="3" fillId="3" borderId="17" xfId="1" applyFont="1" applyFill="1" applyBorder="1" applyAlignment="1">
      <alignment horizontal="center" vertical="center"/>
    </xf>
    <xf numFmtId="0" fontId="3" fillId="3" borderId="18" xfId="1" applyFont="1" applyFill="1" applyBorder="1" applyAlignment="1">
      <alignment horizontal="center" vertical="center"/>
    </xf>
    <xf numFmtId="2" fontId="3" fillId="3" borderId="20" xfId="1" applyNumberFormat="1" applyFont="1" applyFill="1" applyBorder="1" applyAlignment="1">
      <alignment horizontal="center" vertical="center"/>
    </xf>
    <xf numFmtId="2" fontId="3" fillId="3" borderId="21" xfId="1" applyNumberFormat="1" applyFont="1" applyFill="1" applyBorder="1" applyAlignment="1">
      <alignment horizontal="center" vertical="center"/>
    </xf>
    <xf numFmtId="2" fontId="3" fillId="3" borderId="22" xfId="1" applyNumberFormat="1" applyFont="1" applyFill="1" applyBorder="1" applyAlignment="1">
      <alignment horizontal="center" vertical="center"/>
    </xf>
    <xf numFmtId="2" fontId="3" fillId="3" borderId="23" xfId="1" applyNumberFormat="1" applyFont="1" applyFill="1" applyBorder="1" applyAlignment="1">
      <alignment horizontal="center" vertical="center"/>
    </xf>
    <xf numFmtId="2" fontId="3" fillId="3" borderId="16" xfId="1" applyNumberFormat="1" applyFont="1" applyFill="1" applyBorder="1" applyAlignment="1">
      <alignment horizontal="center" vertical="center"/>
    </xf>
    <xf numFmtId="2" fontId="3" fillId="3" borderId="17" xfId="1" applyNumberFormat="1" applyFont="1" applyFill="1" applyBorder="1" applyAlignment="1">
      <alignment horizontal="center" vertical="center"/>
    </xf>
    <xf numFmtId="2" fontId="3" fillId="3" borderId="18" xfId="1" applyNumberFormat="1" applyFont="1" applyFill="1" applyBorder="1" applyAlignment="1">
      <alignment horizontal="center" vertical="center"/>
    </xf>
    <xf numFmtId="9" fontId="12" fillId="3" borderId="6" xfId="3" applyFont="1" applyFill="1" applyBorder="1" applyAlignment="1">
      <alignment vertical="center"/>
    </xf>
    <xf numFmtId="9" fontId="3" fillId="3" borderId="17" xfId="3" applyFont="1" applyFill="1" applyBorder="1" applyAlignment="1">
      <alignment horizontal="center" vertical="center"/>
    </xf>
    <xf numFmtId="0" fontId="13" fillId="3" borderId="5" xfId="1" applyFont="1" applyFill="1" applyBorder="1">
      <alignment vertical="center"/>
    </xf>
    <xf numFmtId="0" fontId="3" fillId="5" borderId="9" xfId="1" applyFont="1" applyFill="1" applyBorder="1" applyAlignment="1">
      <alignment horizontal="center" vertical="center"/>
    </xf>
    <xf numFmtId="3" fontId="3" fillId="5" borderId="13" xfId="1" applyNumberFormat="1" applyFont="1" applyFill="1" applyBorder="1" applyAlignment="1">
      <alignment horizontal="center" vertical="center"/>
    </xf>
    <xf numFmtId="3" fontId="3" fillId="5" borderId="14" xfId="1" applyNumberFormat="1" applyFont="1" applyFill="1" applyBorder="1" applyAlignment="1">
      <alignment horizontal="center" vertical="center"/>
    </xf>
    <xf numFmtId="3" fontId="3" fillId="5" borderId="15" xfId="1" applyNumberFormat="1" applyFont="1" applyFill="1" applyBorder="1" applyAlignment="1">
      <alignment horizontal="center" vertical="center"/>
    </xf>
    <xf numFmtId="2" fontId="3" fillId="5" borderId="21" xfId="1" applyNumberFormat="1" applyFont="1" applyFill="1" applyBorder="1" applyAlignment="1">
      <alignment horizontal="center" vertical="center"/>
    </xf>
    <xf numFmtId="2" fontId="3" fillId="5" borderId="22" xfId="1" applyNumberFormat="1" applyFont="1" applyFill="1" applyBorder="1" applyAlignment="1">
      <alignment horizontal="center" vertical="center"/>
    </xf>
    <xf numFmtId="2" fontId="3" fillId="5" borderId="23" xfId="1" applyNumberFormat="1" applyFont="1" applyFill="1" applyBorder="1" applyAlignment="1">
      <alignment horizontal="center" vertical="center"/>
    </xf>
    <xf numFmtId="0" fontId="3" fillId="6" borderId="9" xfId="1" applyFont="1" applyFill="1" applyBorder="1" applyAlignment="1">
      <alignment horizontal="center" vertical="center"/>
    </xf>
    <xf numFmtId="3" fontId="3" fillId="6" borderId="13" xfId="1" applyNumberFormat="1" applyFont="1" applyFill="1" applyBorder="1" applyAlignment="1">
      <alignment horizontal="center" vertical="center"/>
    </xf>
    <xf numFmtId="3" fontId="3" fillId="6" borderId="14" xfId="1" applyNumberFormat="1" applyFont="1" applyFill="1" applyBorder="1" applyAlignment="1">
      <alignment horizontal="center" vertical="center"/>
    </xf>
    <xf numFmtId="3" fontId="3" fillId="6" borderId="15" xfId="1" applyNumberFormat="1" applyFont="1" applyFill="1" applyBorder="1" applyAlignment="1">
      <alignment horizontal="center" vertical="center"/>
    </xf>
    <xf numFmtId="2" fontId="3" fillId="6" borderId="21" xfId="1" applyNumberFormat="1" applyFont="1" applyFill="1" applyBorder="1" applyAlignment="1">
      <alignment horizontal="center" vertical="center"/>
    </xf>
    <xf numFmtId="2" fontId="3" fillId="6" borderId="22" xfId="1" applyNumberFormat="1" applyFont="1" applyFill="1" applyBorder="1" applyAlignment="1">
      <alignment horizontal="center" vertical="center"/>
    </xf>
    <xf numFmtId="2" fontId="3" fillId="6" borderId="23" xfId="1" applyNumberFormat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left" vertical="center"/>
    </xf>
    <xf numFmtId="0" fontId="3" fillId="3" borderId="7" xfId="1" applyFont="1" applyFill="1" applyBorder="1" applyAlignment="1">
      <alignment horizontal="left" vertical="center"/>
    </xf>
  </cellXfs>
  <cellStyles count="4">
    <cellStyle name="Comma 2" xfId="2"/>
    <cellStyle name="Normal" xfId="0" builtinId="0"/>
    <cellStyle name="Normal 2" xfId="1"/>
    <cellStyle name="Percent" xfId="3" builtinId="5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55244"/>
          <a:ext cx="2781299" cy="6229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N73"/>
  <sheetViews>
    <sheetView tabSelected="1" topLeftCell="A43" zoomScale="125" zoomScaleNormal="125" workbookViewId="0">
      <selection activeCell="N59" sqref="N59"/>
    </sheetView>
  </sheetViews>
  <sheetFormatPr defaultColWidth="2.5703125" defaultRowHeight="14.25"/>
  <cols>
    <col min="1" max="1" width="2.5703125" style="4"/>
    <col min="2" max="50" width="2.5703125" style="4" customWidth="1"/>
    <col min="51" max="16384" width="2.5703125" style="4"/>
  </cols>
  <sheetData>
    <row r="1" spans="2:66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58" t="s">
        <v>8</v>
      </c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2"/>
      <c r="AL1" s="3" t="s">
        <v>15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2:66" ht="14.25" customHeight="1">
      <c r="B2" s="2"/>
      <c r="C2" s="5"/>
      <c r="D2" s="5"/>
      <c r="E2" s="5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2"/>
      <c r="AL2" s="2" t="s">
        <v>7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7" t="s">
        <v>4</v>
      </c>
    </row>
    <row r="3" spans="2:66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2"/>
      <c r="AL3" s="2" t="s">
        <v>6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7" t="s">
        <v>5</v>
      </c>
    </row>
    <row r="4" spans="2:66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"/>
      <c r="AL4" s="2" t="s">
        <v>26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7" t="s">
        <v>25</v>
      </c>
    </row>
    <row r="5" spans="2:66" ht="14.25" customHeight="1">
      <c r="B5" s="56" t="s">
        <v>11</v>
      </c>
      <c r="C5" s="56"/>
      <c r="D5" s="56"/>
      <c r="E5" s="56"/>
      <c r="F5" s="56"/>
      <c r="G5" s="61">
        <v>43109</v>
      </c>
      <c r="H5" s="61"/>
      <c r="I5" s="61"/>
      <c r="J5" s="61"/>
      <c r="K5" s="61"/>
      <c r="L5" s="61"/>
      <c r="M5" s="61"/>
      <c r="N5" s="61"/>
      <c r="O5" s="61"/>
      <c r="P5" s="61"/>
      <c r="Q5" s="61"/>
      <c r="R5" s="2"/>
      <c r="S5" s="48" t="s">
        <v>9</v>
      </c>
      <c r="T5" s="48"/>
      <c r="U5" s="48"/>
      <c r="V5" s="48"/>
      <c r="W5" s="48"/>
      <c r="X5" s="48"/>
      <c r="Y5" s="52" t="s">
        <v>21</v>
      </c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2"/>
      <c r="AL5" s="2" t="s">
        <v>27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7" t="s">
        <v>25</v>
      </c>
      <c r="BN5" s="11"/>
    </row>
    <row r="6" spans="2:66" ht="14.25" customHeight="1" thickBot="1">
      <c r="B6" s="56"/>
      <c r="C6" s="56"/>
      <c r="D6" s="56"/>
      <c r="E6" s="56"/>
      <c r="F6" s="56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2"/>
      <c r="S6" s="59"/>
      <c r="T6" s="59"/>
      <c r="U6" s="59"/>
      <c r="V6" s="59"/>
      <c r="W6" s="59"/>
      <c r="X6" s="59"/>
      <c r="Y6" s="53" t="s">
        <v>20</v>
      </c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2"/>
      <c r="AL6" s="8" t="s">
        <v>29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7" t="s">
        <v>28</v>
      </c>
      <c r="AY6" s="2"/>
    </row>
    <row r="7" spans="2:66" ht="14.25" customHeight="1">
      <c r="B7" s="67" t="s">
        <v>3</v>
      </c>
      <c r="C7" s="67"/>
      <c r="D7" s="67"/>
      <c r="E7" s="67"/>
      <c r="F7" s="67"/>
      <c r="G7" s="2"/>
      <c r="H7" s="56" t="s">
        <v>17</v>
      </c>
      <c r="I7" s="56"/>
      <c r="J7" s="56"/>
      <c r="K7" s="2"/>
      <c r="L7" s="57" t="s">
        <v>18</v>
      </c>
      <c r="M7" s="57"/>
      <c r="N7" s="57"/>
      <c r="O7" s="2"/>
      <c r="P7" s="2"/>
      <c r="Q7" s="2"/>
      <c r="R7" s="2"/>
      <c r="S7" s="60" t="s">
        <v>10</v>
      </c>
      <c r="T7" s="60"/>
      <c r="U7" s="60"/>
      <c r="V7" s="60"/>
      <c r="W7" s="60"/>
      <c r="X7" s="6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2"/>
      <c r="AL7" s="8" t="s">
        <v>12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66" ht="14.25" customHeight="1">
      <c r="B8" s="67"/>
      <c r="C8" s="67"/>
      <c r="D8" s="67"/>
      <c r="E8" s="67"/>
      <c r="F8" s="67"/>
      <c r="G8" s="2"/>
      <c r="H8" s="56"/>
      <c r="I8" s="56"/>
      <c r="J8" s="56"/>
      <c r="K8" s="12"/>
      <c r="L8" s="57"/>
      <c r="M8" s="57"/>
      <c r="N8" s="57"/>
      <c r="O8" s="2"/>
      <c r="P8" s="2"/>
      <c r="Q8" s="2"/>
      <c r="R8" s="2"/>
      <c r="S8" s="48"/>
      <c r="T8" s="48"/>
      <c r="U8" s="48"/>
      <c r="V8" s="48"/>
      <c r="W8" s="48"/>
      <c r="X8" s="48"/>
      <c r="Y8" s="51" t="s">
        <v>30</v>
      </c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2"/>
      <c r="AL8" s="5" t="s">
        <v>19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2:66" ht="14.25" customHeight="1" thickBot="1">
      <c r="B9" s="67"/>
      <c r="C9" s="67"/>
      <c r="D9" s="67"/>
      <c r="E9" s="67"/>
      <c r="F9" s="67"/>
      <c r="G9" s="2"/>
      <c r="H9" s="56"/>
      <c r="I9" s="56"/>
      <c r="J9" s="56"/>
      <c r="K9" s="2"/>
      <c r="L9" s="57"/>
      <c r="M9" s="57"/>
      <c r="N9" s="57"/>
      <c r="O9" s="2"/>
      <c r="P9" s="2"/>
      <c r="Q9" s="2"/>
      <c r="R9" s="2"/>
      <c r="S9" s="59"/>
      <c r="T9" s="59"/>
      <c r="U9" s="59"/>
      <c r="V9" s="59"/>
      <c r="W9" s="59"/>
      <c r="X9" s="59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2"/>
      <c r="AL9" s="13" t="s">
        <v>13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7"/>
      <c r="AY9" s="2"/>
    </row>
    <row r="10" spans="2:66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14" t="s">
        <v>14</v>
      </c>
      <c r="AY10" s="2"/>
      <c r="AZ10" s="2"/>
    </row>
    <row r="11" spans="2:66" ht="13.5" customHeight="1">
      <c r="B11" s="63" t="s">
        <v>0</v>
      </c>
      <c r="C11" s="60"/>
      <c r="D11" s="60"/>
      <c r="E11" s="60"/>
      <c r="F11" s="60"/>
      <c r="G11" s="78" t="s">
        <v>31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80"/>
      <c r="Z11" s="68" t="s">
        <v>1</v>
      </c>
      <c r="AA11" s="60"/>
      <c r="AB11" s="60"/>
      <c r="AC11" s="60"/>
      <c r="AD11" s="64"/>
      <c r="AE11" s="15" t="s">
        <v>32</v>
      </c>
      <c r="AF11" s="15"/>
      <c r="AG11" s="16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7"/>
      <c r="AX11" s="18"/>
    </row>
    <row r="12" spans="2:66" ht="15" customHeight="1">
      <c r="B12" s="47"/>
      <c r="C12" s="48"/>
      <c r="D12" s="48"/>
      <c r="E12" s="48"/>
      <c r="F12" s="48"/>
      <c r="G12" s="81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3"/>
      <c r="Z12" s="47"/>
      <c r="AA12" s="48"/>
      <c r="AB12" s="48"/>
      <c r="AC12" s="48"/>
      <c r="AD12" s="49"/>
      <c r="AE12" s="19"/>
      <c r="AF12" s="19"/>
      <c r="AG12" s="20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21"/>
      <c r="AX12" s="22"/>
    </row>
    <row r="13" spans="2:66" ht="15" customHeight="1">
      <c r="B13" s="47"/>
      <c r="C13" s="48"/>
      <c r="D13" s="48"/>
      <c r="E13" s="48"/>
      <c r="F13" s="48"/>
      <c r="G13" s="81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3"/>
      <c r="Z13" s="47"/>
      <c r="AA13" s="48"/>
      <c r="AB13" s="48"/>
      <c r="AC13" s="48"/>
      <c r="AD13" s="49"/>
      <c r="AE13" s="19"/>
      <c r="AF13" s="19"/>
      <c r="AG13" s="20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21"/>
      <c r="AX13" s="22"/>
    </row>
    <row r="14" spans="2:66" ht="15.75" customHeight="1" thickBot="1">
      <c r="B14" s="65"/>
      <c r="C14" s="59"/>
      <c r="D14" s="59"/>
      <c r="E14" s="59"/>
      <c r="F14" s="59"/>
      <c r="G14" s="84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6"/>
      <c r="Z14" s="65"/>
      <c r="AA14" s="59"/>
      <c r="AB14" s="59"/>
      <c r="AC14" s="59"/>
      <c r="AD14" s="66"/>
      <c r="AE14" s="19"/>
      <c r="AF14" s="19"/>
      <c r="AG14" s="20"/>
      <c r="AH14" s="19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4"/>
      <c r="AX14" s="25"/>
      <c r="BE14" s="62"/>
      <c r="BF14" s="62"/>
    </row>
    <row r="15" spans="2:66" ht="14.25" customHeight="1">
      <c r="B15" s="63" t="s">
        <v>22</v>
      </c>
      <c r="C15" s="60"/>
      <c r="D15" s="60"/>
      <c r="E15" s="60"/>
      <c r="F15" s="64"/>
      <c r="G15" s="26" t="s">
        <v>23</v>
      </c>
      <c r="H15" s="27" t="s">
        <v>33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69" t="s">
        <v>24</v>
      </c>
      <c r="AA15" s="70"/>
      <c r="AB15" s="70"/>
      <c r="AC15" s="70"/>
      <c r="AD15" s="71"/>
      <c r="AE15" s="28" t="s">
        <v>23</v>
      </c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30"/>
      <c r="BE15" s="62"/>
      <c r="BF15" s="62"/>
    </row>
    <row r="16" spans="2:66">
      <c r="B16" s="47"/>
      <c r="C16" s="48"/>
      <c r="D16" s="48"/>
      <c r="E16" s="48"/>
      <c r="F16" s="49"/>
      <c r="G16" s="2" t="s">
        <v>23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72"/>
      <c r="AA16" s="73"/>
      <c r="AB16" s="73"/>
      <c r="AC16" s="73"/>
      <c r="AD16" s="74"/>
      <c r="AE16" s="31" t="s">
        <v>23</v>
      </c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2"/>
    </row>
    <row r="17" spans="2:50">
      <c r="B17" s="47"/>
      <c r="C17" s="48"/>
      <c r="D17" s="48"/>
      <c r="E17" s="48"/>
      <c r="F17" s="49"/>
      <c r="G17" s="2" t="s">
        <v>23</v>
      </c>
      <c r="H17" s="3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72"/>
      <c r="AA17" s="73"/>
      <c r="AB17" s="73"/>
      <c r="AC17" s="73"/>
      <c r="AD17" s="74"/>
      <c r="AE17" s="31" t="s">
        <v>23</v>
      </c>
      <c r="AF17" s="34"/>
      <c r="AG17" s="35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2"/>
    </row>
    <row r="18" spans="2:50">
      <c r="B18" s="47"/>
      <c r="C18" s="48"/>
      <c r="D18" s="48"/>
      <c r="E18" s="48"/>
      <c r="F18" s="49"/>
      <c r="G18" s="2" t="s">
        <v>23</v>
      </c>
      <c r="H18" s="3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72"/>
      <c r="AA18" s="73"/>
      <c r="AB18" s="73"/>
      <c r="AC18" s="73"/>
      <c r="AD18" s="74"/>
      <c r="AE18" s="31" t="s">
        <v>23</v>
      </c>
      <c r="AF18" s="34"/>
      <c r="AG18" s="35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2"/>
    </row>
    <row r="19" spans="2:50">
      <c r="B19" s="47"/>
      <c r="C19" s="48"/>
      <c r="D19" s="48"/>
      <c r="E19" s="48"/>
      <c r="F19" s="49"/>
      <c r="G19" s="2" t="s">
        <v>23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72"/>
      <c r="AA19" s="73"/>
      <c r="AB19" s="73"/>
      <c r="AC19" s="73"/>
      <c r="AD19" s="74"/>
      <c r="AE19" s="31" t="s">
        <v>23</v>
      </c>
      <c r="AF19" s="34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2"/>
    </row>
    <row r="20" spans="2:50" ht="15" thickBot="1">
      <c r="B20" s="65"/>
      <c r="C20" s="59"/>
      <c r="D20" s="59"/>
      <c r="E20" s="59"/>
      <c r="F20" s="66"/>
      <c r="G20" s="36" t="s">
        <v>23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75"/>
      <c r="AA20" s="76"/>
      <c r="AB20" s="76"/>
      <c r="AC20" s="76"/>
      <c r="AD20" s="77"/>
      <c r="AE20" s="38" t="s">
        <v>23</v>
      </c>
      <c r="AF20" s="39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40"/>
    </row>
    <row r="21" spans="2:50" ht="13.5" customHeight="1">
      <c r="B21" s="47" t="s">
        <v>2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9"/>
    </row>
    <row r="22" spans="2:50">
      <c r="B22" s="4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8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42"/>
    </row>
    <row r="23" spans="2:50">
      <c r="B23" s="120" t="s">
        <v>34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8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42"/>
    </row>
    <row r="24" spans="2:50">
      <c r="B24" s="41" t="s">
        <v>23</v>
      </c>
      <c r="C24" s="2" t="s">
        <v>35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8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42"/>
    </row>
    <row r="25" spans="2:50">
      <c r="B25" s="41"/>
      <c r="C25" s="2" t="s">
        <v>36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8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42"/>
    </row>
    <row r="26" spans="2:50">
      <c r="B26" s="41"/>
      <c r="C26" s="2" t="s">
        <v>38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 t="s">
        <v>39</v>
      </c>
      <c r="O26" s="2" t="s">
        <v>37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8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42"/>
    </row>
    <row r="27" spans="2:50">
      <c r="B27" s="4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 t="s">
        <v>40</v>
      </c>
      <c r="O27" s="2" t="s">
        <v>41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8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42"/>
    </row>
    <row r="28" spans="2:50">
      <c r="B28" s="4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 t="s">
        <v>42</v>
      </c>
      <c r="O28" s="2" t="s">
        <v>43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8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42"/>
    </row>
    <row r="29" spans="2:50">
      <c r="B29" s="41"/>
      <c r="C29" s="2" t="s">
        <v>44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 t="s">
        <v>45</v>
      </c>
      <c r="O29" s="2" t="s">
        <v>46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8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42"/>
    </row>
    <row r="30" spans="2:50">
      <c r="B30" s="41"/>
      <c r="C30" s="2" t="s">
        <v>47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 t="s">
        <v>48</v>
      </c>
      <c r="O30" s="2" t="s">
        <v>49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8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42"/>
    </row>
    <row r="31" spans="2:50">
      <c r="B31" s="4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8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42"/>
    </row>
    <row r="32" spans="2:50">
      <c r="B32" s="120" t="s">
        <v>50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8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42"/>
    </row>
    <row r="33" spans="2:50">
      <c r="B33" s="41" t="s">
        <v>23</v>
      </c>
      <c r="C33" s="2" t="s">
        <v>51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8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42"/>
    </row>
    <row r="34" spans="2:50">
      <c r="B34" s="41"/>
      <c r="C34" s="2" t="s">
        <v>52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8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42"/>
    </row>
    <row r="35" spans="2:50">
      <c r="B35" s="41" t="s">
        <v>23</v>
      </c>
      <c r="C35" s="2" t="s">
        <v>53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8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42"/>
    </row>
    <row r="36" spans="2:50">
      <c r="B36" s="4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8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42"/>
    </row>
    <row r="37" spans="2:50" ht="15" customHeight="1">
      <c r="B37" s="120" t="s">
        <v>54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8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42"/>
    </row>
    <row r="38" spans="2:50">
      <c r="B38" s="4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8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42"/>
    </row>
    <row r="39" spans="2:50" ht="14.25" customHeight="1">
      <c r="B39" s="41" t="s">
        <v>55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8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7" t="s">
        <v>74</v>
      </c>
      <c r="AS39" s="2"/>
      <c r="AT39" s="2"/>
      <c r="AU39" s="2"/>
      <c r="AV39" s="2"/>
      <c r="AW39" s="2"/>
      <c r="AX39" s="42"/>
    </row>
    <row r="40" spans="2:50" ht="14.25" customHeight="1">
      <c r="B40" s="41"/>
      <c r="C40" s="88" t="s">
        <v>73</v>
      </c>
      <c r="D40" s="88"/>
      <c r="E40" s="88"/>
      <c r="F40" s="88"/>
      <c r="G40" s="88"/>
      <c r="H40" s="88"/>
      <c r="I40" s="95" t="s">
        <v>63</v>
      </c>
      <c r="J40" s="96"/>
      <c r="K40" s="97"/>
      <c r="L40" s="95" t="s">
        <v>64</v>
      </c>
      <c r="M40" s="96"/>
      <c r="N40" s="97"/>
      <c r="O40" s="95" t="s">
        <v>65</v>
      </c>
      <c r="P40" s="96"/>
      <c r="Q40" s="97"/>
      <c r="R40" s="95" t="s">
        <v>66</v>
      </c>
      <c r="S40" s="96"/>
      <c r="T40" s="97"/>
      <c r="U40" s="95" t="s">
        <v>67</v>
      </c>
      <c r="V40" s="96"/>
      <c r="W40" s="97"/>
      <c r="X40" s="95" t="s">
        <v>68</v>
      </c>
      <c r="Y40" s="96"/>
      <c r="Z40" s="97"/>
      <c r="AA40" s="95" t="s">
        <v>69</v>
      </c>
      <c r="AB40" s="96"/>
      <c r="AC40" s="97"/>
      <c r="AD40" s="95" t="s">
        <v>70</v>
      </c>
      <c r="AE40" s="96"/>
      <c r="AF40" s="97"/>
      <c r="AG40" s="95" t="s">
        <v>71</v>
      </c>
      <c r="AH40" s="96"/>
      <c r="AI40" s="97"/>
      <c r="AJ40" s="95" t="s">
        <v>60</v>
      </c>
      <c r="AK40" s="96"/>
      <c r="AL40" s="97"/>
      <c r="AM40" s="95" t="s">
        <v>61</v>
      </c>
      <c r="AN40" s="96"/>
      <c r="AO40" s="97"/>
      <c r="AP40" s="95" t="s">
        <v>62</v>
      </c>
      <c r="AQ40" s="96"/>
      <c r="AR40" s="97"/>
      <c r="AS40" s="108" t="s">
        <v>75</v>
      </c>
      <c r="AT40" s="109"/>
      <c r="AU40" s="109"/>
      <c r="AV40" s="109"/>
      <c r="AW40" s="110"/>
      <c r="AX40" s="42"/>
    </row>
    <row r="41" spans="2:50">
      <c r="B41" s="41"/>
      <c r="C41" s="89" t="s">
        <v>56</v>
      </c>
      <c r="D41" s="89"/>
      <c r="E41" s="89"/>
      <c r="F41" s="89"/>
      <c r="G41" s="89"/>
      <c r="H41" s="89"/>
      <c r="I41" s="98">
        <v>1226</v>
      </c>
      <c r="J41" s="99"/>
      <c r="K41" s="100"/>
      <c r="L41" s="98">
        <v>1450</v>
      </c>
      <c r="M41" s="99"/>
      <c r="N41" s="100"/>
      <c r="O41" s="98">
        <v>1620</v>
      </c>
      <c r="P41" s="99"/>
      <c r="Q41" s="100"/>
      <c r="R41" s="98">
        <v>1650</v>
      </c>
      <c r="S41" s="99"/>
      <c r="T41" s="100"/>
      <c r="U41" s="98">
        <v>1620</v>
      </c>
      <c r="V41" s="99"/>
      <c r="W41" s="100"/>
      <c r="X41" s="98">
        <v>1620</v>
      </c>
      <c r="Y41" s="99"/>
      <c r="Z41" s="100"/>
      <c r="AA41" s="98">
        <v>1650</v>
      </c>
      <c r="AB41" s="99"/>
      <c r="AC41" s="100"/>
      <c r="AD41" s="98">
        <v>1620</v>
      </c>
      <c r="AE41" s="99"/>
      <c r="AF41" s="100"/>
      <c r="AG41" s="98">
        <v>1650</v>
      </c>
      <c r="AH41" s="99"/>
      <c r="AI41" s="100"/>
      <c r="AJ41" s="98">
        <v>1650</v>
      </c>
      <c r="AK41" s="99"/>
      <c r="AL41" s="100"/>
      <c r="AM41" s="90">
        <v>1650</v>
      </c>
      <c r="AN41" s="90"/>
      <c r="AO41" s="90"/>
      <c r="AP41" s="90">
        <v>1650</v>
      </c>
      <c r="AQ41" s="90"/>
      <c r="AR41" s="90"/>
      <c r="AS41" s="115">
        <f>(AP41*7910)/1000000</f>
        <v>13.051500000000001</v>
      </c>
      <c r="AT41" s="116"/>
      <c r="AU41" s="116"/>
      <c r="AV41" s="116"/>
      <c r="AW41" s="117"/>
      <c r="AX41" s="42"/>
    </row>
    <row r="42" spans="2:50" ht="15" customHeight="1">
      <c r="B42" s="41"/>
      <c r="C42" s="93" t="s">
        <v>57</v>
      </c>
      <c r="D42" s="93"/>
      <c r="E42" s="93"/>
      <c r="F42" s="93"/>
      <c r="G42" s="93"/>
      <c r="H42" s="93"/>
      <c r="I42" s="101">
        <v>707</v>
      </c>
      <c r="J42" s="87"/>
      <c r="K42" s="102"/>
      <c r="L42" s="101">
        <v>808</v>
      </c>
      <c r="M42" s="87"/>
      <c r="N42" s="102"/>
      <c r="O42" s="101">
        <v>955</v>
      </c>
      <c r="P42" s="87"/>
      <c r="Q42" s="102"/>
      <c r="R42" s="101">
        <v>955</v>
      </c>
      <c r="S42" s="87"/>
      <c r="T42" s="102"/>
      <c r="U42" s="101">
        <v>955</v>
      </c>
      <c r="V42" s="87"/>
      <c r="W42" s="102"/>
      <c r="X42" s="101">
        <v>955</v>
      </c>
      <c r="Y42" s="87"/>
      <c r="Z42" s="102"/>
      <c r="AA42" s="101">
        <v>955</v>
      </c>
      <c r="AB42" s="87"/>
      <c r="AC42" s="102"/>
      <c r="AD42" s="101">
        <v>955</v>
      </c>
      <c r="AE42" s="87"/>
      <c r="AF42" s="102"/>
      <c r="AG42" s="101">
        <v>955</v>
      </c>
      <c r="AH42" s="87"/>
      <c r="AI42" s="102"/>
      <c r="AJ42" s="101">
        <v>955</v>
      </c>
      <c r="AK42" s="87"/>
      <c r="AL42" s="102"/>
      <c r="AM42" s="94">
        <v>955</v>
      </c>
      <c r="AN42" s="94"/>
      <c r="AO42" s="94"/>
      <c r="AP42" s="94">
        <v>955</v>
      </c>
      <c r="AQ42" s="94"/>
      <c r="AR42" s="94"/>
      <c r="AS42" s="106">
        <f>(AP42*3080)/1000000</f>
        <v>2.9413999999999998</v>
      </c>
      <c r="AT42" s="107"/>
      <c r="AU42" s="107"/>
      <c r="AV42" s="107"/>
      <c r="AW42" s="111"/>
      <c r="AX42" s="42"/>
    </row>
    <row r="43" spans="2:50">
      <c r="B43" s="41"/>
      <c r="C43" s="93" t="s">
        <v>58</v>
      </c>
      <c r="D43" s="93"/>
      <c r="E43" s="93"/>
      <c r="F43" s="93"/>
      <c r="G43" s="93"/>
      <c r="H43" s="93"/>
      <c r="I43" s="101">
        <v>906</v>
      </c>
      <c r="J43" s="87"/>
      <c r="K43" s="102"/>
      <c r="L43" s="101">
        <v>972</v>
      </c>
      <c r="M43" s="87"/>
      <c r="N43" s="102"/>
      <c r="O43" s="101">
        <v>1080</v>
      </c>
      <c r="P43" s="87"/>
      <c r="Q43" s="102"/>
      <c r="R43" s="101">
        <v>1136</v>
      </c>
      <c r="S43" s="87"/>
      <c r="T43" s="102"/>
      <c r="U43" s="101">
        <v>1136</v>
      </c>
      <c r="V43" s="87"/>
      <c r="W43" s="102"/>
      <c r="X43" s="101">
        <v>1080</v>
      </c>
      <c r="Y43" s="87"/>
      <c r="Z43" s="102"/>
      <c r="AA43" s="101">
        <v>1136</v>
      </c>
      <c r="AB43" s="87"/>
      <c r="AC43" s="102"/>
      <c r="AD43" s="101">
        <v>1080</v>
      </c>
      <c r="AE43" s="87"/>
      <c r="AF43" s="102"/>
      <c r="AG43" s="101">
        <v>1136</v>
      </c>
      <c r="AH43" s="87"/>
      <c r="AI43" s="102"/>
      <c r="AJ43" s="101">
        <v>1136</v>
      </c>
      <c r="AK43" s="87"/>
      <c r="AL43" s="102"/>
      <c r="AM43" s="94">
        <v>1136</v>
      </c>
      <c r="AN43" s="94"/>
      <c r="AO43" s="94"/>
      <c r="AP43" s="94">
        <v>1136</v>
      </c>
      <c r="AQ43" s="94"/>
      <c r="AR43" s="94"/>
      <c r="AS43" s="106">
        <f>(AP43*1598)/1000000</f>
        <v>1.8153280000000001</v>
      </c>
      <c r="AT43" s="107"/>
      <c r="AU43" s="107"/>
      <c r="AV43" s="107"/>
      <c r="AW43" s="111"/>
      <c r="AX43" s="42"/>
    </row>
    <row r="44" spans="2:50">
      <c r="B44" s="41"/>
      <c r="C44" s="91" t="s">
        <v>59</v>
      </c>
      <c r="D44" s="91"/>
      <c r="E44" s="91"/>
      <c r="F44" s="91"/>
      <c r="G44" s="91"/>
      <c r="H44" s="91"/>
      <c r="I44" s="103">
        <v>2212</v>
      </c>
      <c r="J44" s="104"/>
      <c r="K44" s="105"/>
      <c r="L44" s="103">
        <v>2500</v>
      </c>
      <c r="M44" s="104"/>
      <c r="N44" s="105"/>
      <c r="O44" s="103">
        <v>2900</v>
      </c>
      <c r="P44" s="104"/>
      <c r="Q44" s="105"/>
      <c r="R44" s="103">
        <v>2900</v>
      </c>
      <c r="S44" s="104"/>
      <c r="T44" s="105"/>
      <c r="U44" s="103">
        <v>2900</v>
      </c>
      <c r="V44" s="104"/>
      <c r="W44" s="105"/>
      <c r="X44" s="103">
        <v>2900</v>
      </c>
      <c r="Y44" s="104"/>
      <c r="Z44" s="105"/>
      <c r="AA44" s="103">
        <v>2900</v>
      </c>
      <c r="AB44" s="104"/>
      <c r="AC44" s="105"/>
      <c r="AD44" s="103">
        <v>2900</v>
      </c>
      <c r="AE44" s="104"/>
      <c r="AF44" s="105"/>
      <c r="AG44" s="103">
        <v>2900</v>
      </c>
      <c r="AH44" s="104"/>
      <c r="AI44" s="105"/>
      <c r="AJ44" s="103">
        <v>2900</v>
      </c>
      <c r="AK44" s="104"/>
      <c r="AL44" s="105"/>
      <c r="AM44" s="92">
        <v>2900</v>
      </c>
      <c r="AN44" s="92"/>
      <c r="AO44" s="92"/>
      <c r="AP44" s="92">
        <v>2900</v>
      </c>
      <c r="AQ44" s="92"/>
      <c r="AR44" s="92"/>
      <c r="AS44" s="112">
        <f>(AP44*874)/1000000</f>
        <v>2.5346000000000002</v>
      </c>
      <c r="AT44" s="113"/>
      <c r="AU44" s="113"/>
      <c r="AV44" s="113"/>
      <c r="AW44" s="114"/>
      <c r="AX44" s="42"/>
    </row>
    <row r="45" spans="2:50">
      <c r="B45" s="41"/>
      <c r="C45" s="128" t="s">
        <v>72</v>
      </c>
      <c r="D45" s="128"/>
      <c r="E45" s="128"/>
      <c r="F45" s="128"/>
      <c r="G45" s="128"/>
      <c r="H45" s="128"/>
      <c r="I45" s="129">
        <f>SUM(I41:K44)</f>
        <v>5051</v>
      </c>
      <c r="J45" s="130"/>
      <c r="K45" s="131"/>
      <c r="L45" s="129">
        <f t="shared" ref="L45" si="0">SUM(L41:N44)</f>
        <v>5730</v>
      </c>
      <c r="M45" s="130"/>
      <c r="N45" s="131"/>
      <c r="O45" s="129">
        <f t="shared" ref="O45" si="1">SUM(O41:Q44)</f>
        <v>6555</v>
      </c>
      <c r="P45" s="130"/>
      <c r="Q45" s="131"/>
      <c r="R45" s="129">
        <f t="shared" ref="R45" si="2">SUM(R41:T44)</f>
        <v>6641</v>
      </c>
      <c r="S45" s="130"/>
      <c r="T45" s="131"/>
      <c r="U45" s="129">
        <f t="shared" ref="U45" si="3">SUM(U41:W44)</f>
        <v>6611</v>
      </c>
      <c r="V45" s="130"/>
      <c r="W45" s="131"/>
      <c r="X45" s="129">
        <f t="shared" ref="X45" si="4">SUM(X41:Z44)</f>
        <v>6555</v>
      </c>
      <c r="Y45" s="130"/>
      <c r="Z45" s="131"/>
      <c r="AA45" s="129">
        <f t="shared" ref="AA45" si="5">SUM(AA41:AC44)</f>
        <v>6641</v>
      </c>
      <c r="AB45" s="130"/>
      <c r="AC45" s="131"/>
      <c r="AD45" s="129">
        <f t="shared" ref="AD45" si="6">SUM(AD41:AF44)</f>
        <v>6555</v>
      </c>
      <c r="AE45" s="130"/>
      <c r="AF45" s="131"/>
      <c r="AG45" s="129">
        <f t="shared" ref="AG45" si="7">SUM(AG41:AI44)</f>
        <v>6641</v>
      </c>
      <c r="AH45" s="130"/>
      <c r="AI45" s="131"/>
      <c r="AJ45" s="129">
        <f t="shared" ref="AJ45" si="8">SUM(AJ41:AL44)</f>
        <v>6641</v>
      </c>
      <c r="AK45" s="130"/>
      <c r="AL45" s="131"/>
      <c r="AM45" s="129">
        <f t="shared" ref="AM45" si="9">SUM(AM41:AO44)</f>
        <v>6641</v>
      </c>
      <c r="AN45" s="130"/>
      <c r="AO45" s="131"/>
      <c r="AP45" s="129">
        <f t="shared" ref="AP45" si="10">SUM(AP41:AR44)</f>
        <v>6641</v>
      </c>
      <c r="AQ45" s="130"/>
      <c r="AR45" s="131"/>
      <c r="AS45" s="132">
        <f>SUM(AS41:AU44)</f>
        <v>20.342828000000001</v>
      </c>
      <c r="AT45" s="133"/>
      <c r="AU45" s="133"/>
      <c r="AV45" s="133"/>
      <c r="AW45" s="134"/>
      <c r="AX45" s="42"/>
    </row>
    <row r="46" spans="2:50">
      <c r="B46" s="4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8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42"/>
    </row>
    <row r="47" spans="2:50">
      <c r="B47" s="41" t="s">
        <v>76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8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7" t="s">
        <v>74</v>
      </c>
      <c r="AS47" s="2"/>
      <c r="AT47" s="2"/>
      <c r="AU47" s="2"/>
      <c r="AV47" s="2"/>
      <c r="AW47" s="2"/>
      <c r="AX47" s="42"/>
    </row>
    <row r="48" spans="2:50">
      <c r="B48" s="41"/>
      <c r="C48" s="88" t="s">
        <v>73</v>
      </c>
      <c r="D48" s="88"/>
      <c r="E48" s="88"/>
      <c r="F48" s="88"/>
      <c r="G48" s="88"/>
      <c r="H48" s="88"/>
      <c r="I48" s="95" t="s">
        <v>63</v>
      </c>
      <c r="J48" s="96"/>
      <c r="K48" s="97"/>
      <c r="L48" s="95" t="s">
        <v>64</v>
      </c>
      <c r="M48" s="96"/>
      <c r="N48" s="97"/>
      <c r="O48" s="95" t="s">
        <v>65</v>
      </c>
      <c r="P48" s="96"/>
      <c r="Q48" s="97"/>
      <c r="R48" s="95" t="s">
        <v>66</v>
      </c>
      <c r="S48" s="96"/>
      <c r="T48" s="97"/>
      <c r="U48" s="95" t="s">
        <v>67</v>
      </c>
      <c r="V48" s="96"/>
      <c r="W48" s="97"/>
      <c r="X48" s="95" t="s">
        <v>68</v>
      </c>
      <c r="Y48" s="96"/>
      <c r="Z48" s="97"/>
      <c r="AA48" s="95" t="s">
        <v>69</v>
      </c>
      <c r="AB48" s="96"/>
      <c r="AC48" s="97"/>
      <c r="AD48" s="95" t="s">
        <v>70</v>
      </c>
      <c r="AE48" s="96"/>
      <c r="AF48" s="97"/>
      <c r="AG48" s="95" t="s">
        <v>71</v>
      </c>
      <c r="AH48" s="96"/>
      <c r="AI48" s="97"/>
      <c r="AJ48" s="95" t="s">
        <v>60</v>
      </c>
      <c r="AK48" s="96"/>
      <c r="AL48" s="97"/>
      <c r="AM48" s="95" t="s">
        <v>61</v>
      </c>
      <c r="AN48" s="96"/>
      <c r="AO48" s="97"/>
      <c r="AP48" s="95" t="s">
        <v>62</v>
      </c>
      <c r="AQ48" s="96"/>
      <c r="AR48" s="97"/>
      <c r="AS48" s="108" t="s">
        <v>75</v>
      </c>
      <c r="AT48" s="109"/>
      <c r="AU48" s="109"/>
      <c r="AV48" s="109"/>
      <c r="AW48" s="110"/>
      <c r="AX48" s="42"/>
    </row>
    <row r="49" spans="2:50">
      <c r="B49" s="41"/>
      <c r="C49" s="89" t="s">
        <v>56</v>
      </c>
      <c r="D49" s="89"/>
      <c r="E49" s="89"/>
      <c r="F49" s="89"/>
      <c r="G49" s="89"/>
      <c r="H49" s="89"/>
      <c r="I49" s="98">
        <v>691</v>
      </c>
      <c r="J49" s="99"/>
      <c r="K49" s="100"/>
      <c r="L49" s="98">
        <v>806</v>
      </c>
      <c r="M49" s="99"/>
      <c r="N49" s="100"/>
      <c r="O49" s="98">
        <v>896</v>
      </c>
      <c r="P49" s="99"/>
      <c r="Q49" s="100"/>
      <c r="R49" s="98">
        <v>896</v>
      </c>
      <c r="S49" s="99"/>
      <c r="T49" s="100"/>
      <c r="U49" s="98">
        <v>896</v>
      </c>
      <c r="V49" s="99"/>
      <c r="W49" s="100"/>
      <c r="X49" s="98">
        <v>896</v>
      </c>
      <c r="Y49" s="99"/>
      <c r="Z49" s="100"/>
      <c r="AA49" s="98">
        <v>896</v>
      </c>
      <c r="AB49" s="99"/>
      <c r="AC49" s="100"/>
      <c r="AD49" s="98">
        <v>896</v>
      </c>
      <c r="AE49" s="99"/>
      <c r="AF49" s="100"/>
      <c r="AG49" s="98">
        <v>896</v>
      </c>
      <c r="AH49" s="99"/>
      <c r="AI49" s="100"/>
      <c r="AJ49" s="98">
        <v>896</v>
      </c>
      <c r="AK49" s="99"/>
      <c r="AL49" s="100"/>
      <c r="AM49" s="90">
        <v>896</v>
      </c>
      <c r="AN49" s="90"/>
      <c r="AO49" s="90"/>
      <c r="AP49" s="90">
        <v>896</v>
      </c>
      <c r="AQ49" s="90"/>
      <c r="AR49" s="90"/>
      <c r="AS49" s="115">
        <f>(AP49*7910)/1000000</f>
        <v>7.0873600000000003</v>
      </c>
      <c r="AT49" s="116"/>
      <c r="AU49" s="116"/>
      <c r="AV49" s="116"/>
      <c r="AW49" s="117"/>
      <c r="AX49" s="42"/>
    </row>
    <row r="50" spans="2:50">
      <c r="B50" s="41"/>
      <c r="C50" s="93" t="s">
        <v>57</v>
      </c>
      <c r="D50" s="93"/>
      <c r="E50" s="93"/>
      <c r="F50" s="93"/>
      <c r="G50" s="93"/>
      <c r="H50" s="93"/>
      <c r="I50" s="101">
        <v>672</v>
      </c>
      <c r="J50" s="87"/>
      <c r="K50" s="102"/>
      <c r="L50" s="101">
        <v>672</v>
      </c>
      <c r="M50" s="87"/>
      <c r="N50" s="102"/>
      <c r="O50" s="101">
        <v>784</v>
      </c>
      <c r="P50" s="87"/>
      <c r="Q50" s="102"/>
      <c r="R50" s="101">
        <v>784</v>
      </c>
      <c r="S50" s="87"/>
      <c r="T50" s="102"/>
      <c r="U50" s="101">
        <v>784</v>
      </c>
      <c r="V50" s="87"/>
      <c r="W50" s="102"/>
      <c r="X50" s="101">
        <v>784</v>
      </c>
      <c r="Y50" s="87"/>
      <c r="Z50" s="102"/>
      <c r="AA50" s="101">
        <v>784</v>
      </c>
      <c r="AB50" s="87"/>
      <c r="AC50" s="102"/>
      <c r="AD50" s="101">
        <v>784</v>
      </c>
      <c r="AE50" s="87"/>
      <c r="AF50" s="102"/>
      <c r="AG50" s="101">
        <v>784</v>
      </c>
      <c r="AH50" s="87"/>
      <c r="AI50" s="102"/>
      <c r="AJ50" s="101">
        <v>784</v>
      </c>
      <c r="AK50" s="87"/>
      <c r="AL50" s="102"/>
      <c r="AM50" s="94">
        <v>784</v>
      </c>
      <c r="AN50" s="94"/>
      <c r="AO50" s="94"/>
      <c r="AP50" s="94">
        <v>784</v>
      </c>
      <c r="AQ50" s="94"/>
      <c r="AR50" s="94"/>
      <c r="AS50" s="106">
        <f>(AP50*3080)/1000000</f>
        <v>2.41472</v>
      </c>
      <c r="AT50" s="107"/>
      <c r="AU50" s="107"/>
      <c r="AV50" s="107"/>
      <c r="AW50" s="111"/>
      <c r="AX50" s="42"/>
    </row>
    <row r="51" spans="2:50">
      <c r="B51" s="41"/>
      <c r="C51" s="93" t="s">
        <v>58</v>
      </c>
      <c r="D51" s="93"/>
      <c r="E51" s="93"/>
      <c r="F51" s="93"/>
      <c r="G51" s="93"/>
      <c r="H51" s="93"/>
      <c r="I51" s="101">
        <v>672</v>
      </c>
      <c r="J51" s="87"/>
      <c r="K51" s="102"/>
      <c r="L51" s="101">
        <v>672</v>
      </c>
      <c r="M51" s="87"/>
      <c r="N51" s="102"/>
      <c r="O51" s="101">
        <v>784</v>
      </c>
      <c r="P51" s="87"/>
      <c r="Q51" s="102"/>
      <c r="R51" s="101">
        <v>784</v>
      </c>
      <c r="S51" s="87"/>
      <c r="T51" s="102"/>
      <c r="U51" s="101">
        <v>784</v>
      </c>
      <c r="V51" s="87"/>
      <c r="W51" s="102"/>
      <c r="X51" s="101">
        <v>784</v>
      </c>
      <c r="Y51" s="87"/>
      <c r="Z51" s="102"/>
      <c r="AA51" s="101">
        <v>784</v>
      </c>
      <c r="AB51" s="87"/>
      <c r="AC51" s="102"/>
      <c r="AD51" s="101">
        <v>784</v>
      </c>
      <c r="AE51" s="87"/>
      <c r="AF51" s="102"/>
      <c r="AG51" s="101">
        <v>784</v>
      </c>
      <c r="AH51" s="87"/>
      <c r="AI51" s="102"/>
      <c r="AJ51" s="101">
        <v>784</v>
      </c>
      <c r="AK51" s="87"/>
      <c r="AL51" s="102"/>
      <c r="AM51" s="94">
        <v>784</v>
      </c>
      <c r="AN51" s="94"/>
      <c r="AO51" s="94"/>
      <c r="AP51" s="94">
        <v>784</v>
      </c>
      <c r="AQ51" s="94"/>
      <c r="AR51" s="94"/>
      <c r="AS51" s="106">
        <f>(AP51*1598)/1000000</f>
        <v>1.2528319999999999</v>
      </c>
      <c r="AT51" s="107"/>
      <c r="AU51" s="107"/>
      <c r="AV51" s="107"/>
      <c r="AW51" s="111"/>
      <c r="AX51" s="42"/>
    </row>
    <row r="52" spans="2:50">
      <c r="B52" s="41"/>
      <c r="C52" s="91" t="s">
        <v>59</v>
      </c>
      <c r="D52" s="91"/>
      <c r="E52" s="91"/>
      <c r="F52" s="91"/>
      <c r="G52" s="91"/>
      <c r="H52" s="91"/>
      <c r="I52" s="103">
        <v>1920</v>
      </c>
      <c r="J52" s="104"/>
      <c r="K52" s="105"/>
      <c r="L52" s="103">
        <v>1920</v>
      </c>
      <c r="M52" s="104"/>
      <c r="N52" s="105"/>
      <c r="O52" s="103">
        <v>2016</v>
      </c>
      <c r="P52" s="104"/>
      <c r="Q52" s="105"/>
      <c r="R52" s="103">
        <v>2016</v>
      </c>
      <c r="S52" s="104"/>
      <c r="T52" s="105"/>
      <c r="U52" s="103">
        <v>2016</v>
      </c>
      <c r="V52" s="104"/>
      <c r="W52" s="105"/>
      <c r="X52" s="103">
        <v>2016</v>
      </c>
      <c r="Y52" s="104"/>
      <c r="Z52" s="105"/>
      <c r="AA52" s="103">
        <v>2016</v>
      </c>
      <c r="AB52" s="104"/>
      <c r="AC52" s="105"/>
      <c r="AD52" s="103">
        <v>2016</v>
      </c>
      <c r="AE52" s="104"/>
      <c r="AF52" s="105"/>
      <c r="AG52" s="103">
        <v>2016</v>
      </c>
      <c r="AH52" s="104"/>
      <c r="AI52" s="105"/>
      <c r="AJ52" s="103">
        <v>2016</v>
      </c>
      <c r="AK52" s="104"/>
      <c r="AL52" s="105"/>
      <c r="AM52" s="92">
        <v>2016</v>
      </c>
      <c r="AN52" s="92"/>
      <c r="AO52" s="92"/>
      <c r="AP52" s="92">
        <v>2016</v>
      </c>
      <c r="AQ52" s="92"/>
      <c r="AR52" s="92"/>
      <c r="AS52" s="112">
        <f>(AP52*874)/1000000</f>
        <v>1.761984</v>
      </c>
      <c r="AT52" s="113"/>
      <c r="AU52" s="113"/>
      <c r="AV52" s="113"/>
      <c r="AW52" s="114"/>
      <c r="AX52" s="118"/>
    </row>
    <row r="53" spans="2:50">
      <c r="B53" s="41"/>
      <c r="C53" s="121" t="s">
        <v>72</v>
      </c>
      <c r="D53" s="121"/>
      <c r="E53" s="121"/>
      <c r="F53" s="121"/>
      <c r="G53" s="121"/>
      <c r="H53" s="121"/>
      <c r="I53" s="122">
        <f>SUM(I49:K52)</f>
        <v>3955</v>
      </c>
      <c r="J53" s="123"/>
      <c r="K53" s="124"/>
      <c r="L53" s="122">
        <f t="shared" ref="L53" si="11">SUM(L49:N52)</f>
        <v>4070</v>
      </c>
      <c r="M53" s="123"/>
      <c r="N53" s="124"/>
      <c r="O53" s="122">
        <f t="shared" ref="O53" si="12">SUM(O49:Q52)</f>
        <v>4480</v>
      </c>
      <c r="P53" s="123"/>
      <c r="Q53" s="124"/>
      <c r="R53" s="122">
        <f t="shared" ref="R53" si="13">SUM(R49:T52)</f>
        <v>4480</v>
      </c>
      <c r="S53" s="123"/>
      <c r="T53" s="124"/>
      <c r="U53" s="122">
        <f t="shared" ref="U53" si="14">SUM(U49:W52)</f>
        <v>4480</v>
      </c>
      <c r="V53" s="123"/>
      <c r="W53" s="124"/>
      <c r="X53" s="122">
        <f t="shared" ref="X53" si="15">SUM(X49:Z52)</f>
        <v>4480</v>
      </c>
      <c r="Y53" s="123"/>
      <c r="Z53" s="124"/>
      <c r="AA53" s="122">
        <f t="shared" ref="AA53" si="16">SUM(AA49:AC52)</f>
        <v>4480</v>
      </c>
      <c r="AB53" s="123"/>
      <c r="AC53" s="124"/>
      <c r="AD53" s="122">
        <f t="shared" ref="AD53" si="17">SUM(AD49:AF52)</f>
        <v>4480</v>
      </c>
      <c r="AE53" s="123"/>
      <c r="AF53" s="124"/>
      <c r="AG53" s="122">
        <f t="shared" ref="AG53" si="18">SUM(AG49:AI52)</f>
        <v>4480</v>
      </c>
      <c r="AH53" s="123"/>
      <c r="AI53" s="124"/>
      <c r="AJ53" s="122">
        <f t="shared" ref="AJ53" si="19">SUM(AJ49:AL52)</f>
        <v>4480</v>
      </c>
      <c r="AK53" s="123"/>
      <c r="AL53" s="124"/>
      <c r="AM53" s="122">
        <f t="shared" ref="AM53" si="20">SUM(AM49:AO52)</f>
        <v>4480</v>
      </c>
      <c r="AN53" s="123"/>
      <c r="AO53" s="124"/>
      <c r="AP53" s="122">
        <f t="shared" ref="AP53" si="21">SUM(AP49:AR52)</f>
        <v>4480</v>
      </c>
      <c r="AQ53" s="123"/>
      <c r="AR53" s="124"/>
      <c r="AS53" s="125">
        <f>SUM(AS49:AU52)</f>
        <v>12.516895999999999</v>
      </c>
      <c r="AT53" s="126"/>
      <c r="AU53" s="126"/>
      <c r="AV53" s="126"/>
      <c r="AW53" s="127"/>
      <c r="AX53" s="42"/>
    </row>
    <row r="54" spans="2:50">
      <c r="B54" s="41"/>
      <c r="C54" s="2"/>
      <c r="D54" s="2"/>
      <c r="E54" s="2"/>
      <c r="F54" s="2"/>
      <c r="G54" s="2"/>
      <c r="H54" s="2"/>
      <c r="I54" s="119">
        <f t="shared" ref="I54" si="22">I53/I45</f>
        <v>0.78301326470005939</v>
      </c>
      <c r="J54" s="119"/>
      <c r="K54" s="119"/>
      <c r="L54" s="119">
        <f t="shared" ref="L54" si="23">L53/L45</f>
        <v>0.71029668411867364</v>
      </c>
      <c r="M54" s="119"/>
      <c r="N54" s="119"/>
      <c r="O54" s="119">
        <f t="shared" ref="O54" si="24">O53/O45</f>
        <v>0.68344774980930589</v>
      </c>
      <c r="P54" s="119"/>
      <c r="Q54" s="119"/>
      <c r="R54" s="119">
        <f t="shared" ref="R54" si="25">R53/R45</f>
        <v>0.67459719921698535</v>
      </c>
      <c r="S54" s="119"/>
      <c r="T54" s="119"/>
      <c r="U54" s="119">
        <f t="shared" ref="U54" si="26">U53/U45</f>
        <v>0.6776584480411435</v>
      </c>
      <c r="V54" s="119"/>
      <c r="W54" s="119"/>
      <c r="X54" s="119">
        <f t="shared" ref="X54" si="27">X53/X45</f>
        <v>0.68344774980930589</v>
      </c>
      <c r="Y54" s="119"/>
      <c r="Z54" s="119"/>
      <c r="AA54" s="119">
        <f t="shared" ref="AA54" si="28">AA53/AA45</f>
        <v>0.67459719921698535</v>
      </c>
      <c r="AB54" s="119"/>
      <c r="AC54" s="119"/>
      <c r="AD54" s="119">
        <f t="shared" ref="AD54" si="29">AD53/AD45</f>
        <v>0.68344774980930589</v>
      </c>
      <c r="AE54" s="119"/>
      <c r="AF54" s="119"/>
      <c r="AG54" s="119">
        <f t="shared" ref="AG54" si="30">AG53/AG45</f>
        <v>0.67459719921698535</v>
      </c>
      <c r="AH54" s="119"/>
      <c r="AI54" s="119"/>
      <c r="AJ54" s="119">
        <f t="shared" ref="AJ54" si="31">AJ53/AJ45</f>
        <v>0.67459719921698535</v>
      </c>
      <c r="AK54" s="119"/>
      <c r="AL54" s="119"/>
      <c r="AM54" s="119">
        <f t="shared" ref="AM54" si="32">AM53/AM45</f>
        <v>0.67459719921698535</v>
      </c>
      <c r="AN54" s="119"/>
      <c r="AO54" s="119"/>
      <c r="AP54" s="119">
        <f>AP53/AP45</f>
        <v>0.67459719921698535</v>
      </c>
      <c r="AQ54" s="119"/>
      <c r="AR54" s="119"/>
      <c r="AS54" s="119">
        <f>AS53/AS45</f>
        <v>0.61529773539844113</v>
      </c>
      <c r="AT54" s="119"/>
      <c r="AU54" s="119"/>
      <c r="AV54" s="119"/>
      <c r="AW54" s="119"/>
      <c r="AX54" s="42"/>
    </row>
    <row r="55" spans="2:50">
      <c r="B55" s="4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8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42"/>
    </row>
    <row r="56" spans="2:50">
      <c r="B56" s="4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8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42"/>
    </row>
    <row r="57" spans="2:50">
      <c r="B57" s="4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8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42"/>
    </row>
    <row r="58" spans="2:50">
      <c r="B58" s="4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8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42"/>
    </row>
    <row r="59" spans="2:50">
      <c r="B59" s="4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8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42"/>
    </row>
    <row r="60" spans="2:50">
      <c r="B60" s="4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8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42"/>
    </row>
    <row r="61" spans="2:50">
      <c r="B61" s="4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8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42"/>
    </row>
    <row r="62" spans="2:50">
      <c r="B62" s="4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8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42"/>
    </row>
    <row r="63" spans="2:50">
      <c r="B63" s="4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8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42"/>
    </row>
    <row r="64" spans="2:50">
      <c r="B64" s="4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8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42"/>
    </row>
    <row r="65" spans="2:50">
      <c r="B65" s="4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8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42"/>
    </row>
    <row r="66" spans="2:50">
      <c r="B66" s="4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8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42"/>
    </row>
    <row r="67" spans="2:50">
      <c r="B67" s="4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8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42"/>
    </row>
    <row r="68" spans="2:50" ht="15" thickBot="1">
      <c r="B68" s="36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43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44"/>
    </row>
    <row r="69" spans="2:50">
      <c r="B69" s="54" t="s">
        <v>16</v>
      </c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5"/>
    </row>
    <row r="70" spans="2:50">
      <c r="B70" s="135" t="s">
        <v>77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46"/>
    </row>
    <row r="71" spans="2:50">
      <c r="B71" s="135" t="s">
        <v>78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46"/>
    </row>
    <row r="72" spans="2:50">
      <c r="B72" s="135" t="s">
        <v>79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8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42"/>
    </row>
    <row r="73" spans="2:50" ht="15" thickBot="1">
      <c r="B73" s="136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45"/>
      <c r="U73" s="45"/>
      <c r="V73" s="45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43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44"/>
    </row>
  </sheetData>
  <mergeCells count="202">
    <mergeCell ref="AM54:AO54"/>
    <mergeCell ref="AP54:AR54"/>
    <mergeCell ref="AS54:AW54"/>
    <mergeCell ref="X54:Z54"/>
    <mergeCell ref="AA54:AC54"/>
    <mergeCell ref="AD54:AF54"/>
    <mergeCell ref="AG54:AI54"/>
    <mergeCell ref="AJ54:AL54"/>
    <mergeCell ref="I54:K54"/>
    <mergeCell ref="L54:N54"/>
    <mergeCell ref="O54:Q54"/>
    <mergeCell ref="R54:T54"/>
    <mergeCell ref="U54:W54"/>
    <mergeCell ref="AP52:AR52"/>
    <mergeCell ref="AS52:AW52"/>
    <mergeCell ref="C53:H53"/>
    <mergeCell ref="I53:K53"/>
    <mergeCell ref="L53:N53"/>
    <mergeCell ref="O53:Q53"/>
    <mergeCell ref="R53:T53"/>
    <mergeCell ref="U53:W53"/>
    <mergeCell ref="X53:Z53"/>
    <mergeCell ref="AA53:AC53"/>
    <mergeCell ref="AD53:AF53"/>
    <mergeCell ref="AG53:AI53"/>
    <mergeCell ref="AJ53:AL53"/>
    <mergeCell ref="AM53:AO53"/>
    <mergeCell ref="AP53:AR53"/>
    <mergeCell ref="AS53:AW53"/>
    <mergeCell ref="AJ51:AL51"/>
    <mergeCell ref="AM51:AO51"/>
    <mergeCell ref="AP51:AR51"/>
    <mergeCell ref="AS51:AW51"/>
    <mergeCell ref="C52:H52"/>
    <mergeCell ref="I52:K52"/>
    <mergeCell ref="L52:N52"/>
    <mergeCell ref="O52:Q52"/>
    <mergeCell ref="R52:T52"/>
    <mergeCell ref="U52:W52"/>
    <mergeCell ref="X52:Z52"/>
    <mergeCell ref="AA52:AC52"/>
    <mergeCell ref="AD52:AF52"/>
    <mergeCell ref="AG52:AI52"/>
    <mergeCell ref="AJ52:AL52"/>
    <mergeCell ref="AM52:AO52"/>
    <mergeCell ref="U51:W51"/>
    <mergeCell ref="X51:Z51"/>
    <mergeCell ref="AA51:AC51"/>
    <mergeCell ref="AD51:AF51"/>
    <mergeCell ref="AG51:AI51"/>
    <mergeCell ref="C51:H51"/>
    <mergeCell ref="I51:K51"/>
    <mergeCell ref="L51:N51"/>
    <mergeCell ref="O51:Q51"/>
    <mergeCell ref="R51:T51"/>
    <mergeCell ref="AP49:AR49"/>
    <mergeCell ref="AS49:AW49"/>
    <mergeCell ref="C50:H50"/>
    <mergeCell ref="I50:K50"/>
    <mergeCell ref="L50:N50"/>
    <mergeCell ref="O50:Q50"/>
    <mergeCell ref="R50:T50"/>
    <mergeCell ref="U50:W50"/>
    <mergeCell ref="X50:Z50"/>
    <mergeCell ref="AA50:AC50"/>
    <mergeCell ref="AD50:AF50"/>
    <mergeCell ref="AG50:AI50"/>
    <mergeCell ref="AJ50:AL50"/>
    <mergeCell ref="AM50:AO50"/>
    <mergeCell ref="AP50:AR50"/>
    <mergeCell ref="AS50:AW50"/>
    <mergeCell ref="AJ48:AL48"/>
    <mergeCell ref="AM48:AO48"/>
    <mergeCell ref="AP48:AR48"/>
    <mergeCell ref="AS48:AW48"/>
    <mergeCell ref="C49:H49"/>
    <mergeCell ref="I49:K49"/>
    <mergeCell ref="L49:N49"/>
    <mergeCell ref="O49:Q49"/>
    <mergeCell ref="R49:T49"/>
    <mergeCell ref="U49:W49"/>
    <mergeCell ref="X49:Z49"/>
    <mergeCell ref="AA49:AC49"/>
    <mergeCell ref="AD49:AF49"/>
    <mergeCell ref="AG49:AI49"/>
    <mergeCell ref="AJ49:AL49"/>
    <mergeCell ref="AM49:AO49"/>
    <mergeCell ref="U48:W48"/>
    <mergeCell ref="X48:Z48"/>
    <mergeCell ref="AA48:AC48"/>
    <mergeCell ref="AD48:AF48"/>
    <mergeCell ref="AG48:AI48"/>
    <mergeCell ref="C48:H48"/>
    <mergeCell ref="I48:K48"/>
    <mergeCell ref="L48:N48"/>
    <mergeCell ref="O48:Q48"/>
    <mergeCell ref="R48:T48"/>
    <mergeCell ref="AS41:AW41"/>
    <mergeCell ref="AS42:AW42"/>
    <mergeCell ref="AS43:AW43"/>
    <mergeCell ref="AS44:AW44"/>
    <mergeCell ref="AS45:AW45"/>
    <mergeCell ref="AM45:AO45"/>
    <mergeCell ref="AP45:AR45"/>
    <mergeCell ref="C40:H40"/>
    <mergeCell ref="C41:H41"/>
    <mergeCell ref="C42:H42"/>
    <mergeCell ref="C43:H43"/>
    <mergeCell ref="C44:H44"/>
    <mergeCell ref="C45:H45"/>
    <mergeCell ref="X45:Z45"/>
    <mergeCell ref="AA45:AC45"/>
    <mergeCell ref="AD45:AF45"/>
    <mergeCell ref="AG45:AI45"/>
    <mergeCell ref="AJ45:AL45"/>
    <mergeCell ref="I45:K45"/>
    <mergeCell ref="L45:N45"/>
    <mergeCell ref="O45:Q45"/>
    <mergeCell ref="R45:T45"/>
    <mergeCell ref="U45:W45"/>
    <mergeCell ref="AM43:AO43"/>
    <mergeCell ref="AP43:AR43"/>
    <mergeCell ref="I44:K44"/>
    <mergeCell ref="L44:N44"/>
    <mergeCell ref="O44:Q44"/>
    <mergeCell ref="R44:T44"/>
    <mergeCell ref="U44:W44"/>
    <mergeCell ref="X44:Z44"/>
    <mergeCell ref="AA44:AC44"/>
    <mergeCell ref="AD44:AF44"/>
    <mergeCell ref="AG44:AI44"/>
    <mergeCell ref="AJ44:AL44"/>
    <mergeCell ref="AM44:AO44"/>
    <mergeCell ref="AP44:AR44"/>
    <mergeCell ref="X43:Z43"/>
    <mergeCell ref="AA43:AC43"/>
    <mergeCell ref="AD43:AF43"/>
    <mergeCell ref="AG43:AI43"/>
    <mergeCell ref="AJ43:AL43"/>
    <mergeCell ref="I43:K43"/>
    <mergeCell ref="L43:N43"/>
    <mergeCell ref="O43:Q43"/>
    <mergeCell ref="R43:T43"/>
    <mergeCell ref="U43:W43"/>
    <mergeCell ref="AM41:AO41"/>
    <mergeCell ref="AP41:AR41"/>
    <mergeCell ref="I42:K42"/>
    <mergeCell ref="L42:N42"/>
    <mergeCell ref="O42:Q42"/>
    <mergeCell ref="R42:T42"/>
    <mergeCell ref="U42:W42"/>
    <mergeCell ref="X42:Z42"/>
    <mergeCell ref="AA42:AC42"/>
    <mergeCell ref="AD42:AF42"/>
    <mergeCell ref="AG42:AI42"/>
    <mergeCell ref="AJ42:AL42"/>
    <mergeCell ref="AM42:AO42"/>
    <mergeCell ref="AP42:AR42"/>
    <mergeCell ref="X41:Z41"/>
    <mergeCell ref="AA41:AC41"/>
    <mergeCell ref="AD41:AF41"/>
    <mergeCell ref="AG41:AI41"/>
    <mergeCell ref="AJ41:AL41"/>
    <mergeCell ref="I41:K41"/>
    <mergeCell ref="L41:N41"/>
    <mergeCell ref="O41:Q41"/>
    <mergeCell ref="R41:T41"/>
    <mergeCell ref="U41:W41"/>
    <mergeCell ref="I40:K40"/>
    <mergeCell ref="L40:N40"/>
    <mergeCell ref="O40:Q40"/>
    <mergeCell ref="R40:T40"/>
    <mergeCell ref="U40:W40"/>
    <mergeCell ref="X40:Z40"/>
    <mergeCell ref="AA40:AC40"/>
    <mergeCell ref="AD40:AF40"/>
    <mergeCell ref="AG40:AI40"/>
    <mergeCell ref="AJ40:AL40"/>
    <mergeCell ref="AM40:AO40"/>
    <mergeCell ref="AP40:AR40"/>
    <mergeCell ref="AS40:AW40"/>
    <mergeCell ref="BE14:BF15"/>
    <mergeCell ref="B15:F20"/>
    <mergeCell ref="B7:F9"/>
    <mergeCell ref="B11:F14"/>
    <mergeCell ref="Z11:AD14"/>
    <mergeCell ref="Z15:AD20"/>
    <mergeCell ref="G11:Y14"/>
    <mergeCell ref="S1:AJ3"/>
    <mergeCell ref="B5:F6"/>
    <mergeCell ref="S5:X6"/>
    <mergeCell ref="S7:X9"/>
    <mergeCell ref="Y6:AJ6"/>
    <mergeCell ref="Y5:AJ5"/>
    <mergeCell ref="G5:Q6"/>
    <mergeCell ref="B21:AX21"/>
    <mergeCell ref="Y7:AJ7"/>
    <mergeCell ref="Y8:AJ8"/>
    <mergeCell ref="Y9:AJ9"/>
    <mergeCell ref="B69:AX69"/>
    <mergeCell ref="H7:J9"/>
    <mergeCell ref="L7:N9"/>
  </mergeCells>
  <printOptions horizontalCentered="1" verticalCentered="1"/>
  <pageMargins left="0.19685039370078741" right="0.19685039370078741" top="0" bottom="0" header="0.19685039370078741" footer="0.19685039370078741"/>
  <pageSetup paperSize="9" scale="78" orientation="portrait" r:id="rId1"/>
  <headerFooter>
    <oddFooter>&amp;L&amp;D&amp;C&amp;P&amp;R&amp;F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2018-03-02T14:26:33Z</cp:lastPrinted>
  <dcterms:created xsi:type="dcterms:W3CDTF">2016-09-01T00:00:56Z</dcterms:created>
  <dcterms:modified xsi:type="dcterms:W3CDTF">2018-03-24T03:21:13Z</dcterms:modified>
</cp:coreProperties>
</file>