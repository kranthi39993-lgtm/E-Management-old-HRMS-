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"/>
    </mc:Choice>
  </mc:AlternateContent>
  <bookViews>
    <workbookView xWindow="0" yWindow="0" windowWidth="20490" windowHeight="7365"/>
  </bookViews>
  <sheets>
    <sheet name="BTF" sheetId="1" r:id="rId1"/>
    <sheet name="ASJ SENAI-30-05-2019" sheetId="2" r:id="rId2"/>
    <sheet name="Sheet1" sheetId="3" r:id="rId3"/>
  </sheets>
  <definedNames>
    <definedName name="_xlnm.Print_Area" localSheetId="0">BTF!$B$1:$AX$75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4" i="2" l="1"/>
  <c r="E113" i="2"/>
  <c r="E110" i="2"/>
  <c r="E108" i="2"/>
  <c r="E102" i="2"/>
  <c r="E114" i="2" s="1"/>
  <c r="E98" i="2"/>
  <c r="E85" i="2"/>
  <c r="E79" i="2"/>
  <c r="E71" i="2"/>
  <c r="E56" i="2"/>
  <c r="E46" i="2"/>
  <c r="E35" i="2"/>
  <c r="E31" i="2"/>
  <c r="E27" i="2"/>
  <c r="E20" i="2"/>
  <c r="E12" i="2"/>
  <c r="E5" i="2"/>
</calcChain>
</file>

<file path=xl/sharedStrings.xml><?xml version="1.0" encoding="utf-8"?>
<sst xmlns="http://schemas.openxmlformats.org/spreadsheetml/2006/main" count="791" uniqueCount="233">
  <si>
    <t>出張報告書</t>
  </si>
  <si>
    <t>報告先・Report To:</t>
  </si>
  <si>
    <t>Datuk Anthony</t>
  </si>
  <si>
    <t>CEO</t>
  </si>
  <si>
    <t>Mr. Ogawa</t>
  </si>
  <si>
    <t>MD</t>
  </si>
  <si>
    <t>Mr. Sinna, Mr. Theva</t>
  </si>
  <si>
    <t>Directors</t>
  </si>
  <si>
    <t>　期間 　Date</t>
  </si>
  <si>
    <t xml:space="preserve">出張者　     Name </t>
  </si>
  <si>
    <t>ロスリー　アフマド</t>
  </si>
  <si>
    <t>Mr. Rajen, Mr. Loga</t>
  </si>
  <si>
    <t>Rosli Bin Ahmad</t>
  </si>
  <si>
    <t>Mr. Siva, Mr. Loges</t>
  </si>
  <si>
    <t>QA</t>
  </si>
  <si>
    <t>添付資料 Attachment</t>
  </si>
  <si>
    <t>有     Yes</t>
  </si>
  <si>
    <t>無    No</t>
  </si>
  <si>
    <t>同行者  　Colleuge</t>
  </si>
  <si>
    <t>関連事業部・Related Dept</t>
  </si>
  <si>
    <t>出張者・B/Trip Colleuge</t>
  </si>
  <si>
    <t>関係者・Related Person</t>
  </si>
  <si>
    <t>MM-IN-RD-9100-P06-04 Rev.2</t>
  </si>
  <si>
    <t>出張先 Customer</t>
  </si>
  <si>
    <t>相手先　  面談者  Attendance</t>
  </si>
  <si>
    <t>出張目的　　 Visit Purpose</t>
  </si>
  <si>
    <t>■</t>
  </si>
  <si>
    <t>会議フォローアップ項目　　 Meeting Follow-Up</t>
  </si>
  <si>
    <t>報告内容 Report</t>
  </si>
  <si>
    <t>意見・Opinion</t>
  </si>
  <si>
    <t>Product Type</t>
  </si>
  <si>
    <t>Pallet No</t>
  </si>
  <si>
    <t>Carton No</t>
  </si>
  <si>
    <t>Rank</t>
  </si>
  <si>
    <t>Qty By Rank</t>
  </si>
  <si>
    <t>Lot No</t>
  </si>
  <si>
    <t>Mould</t>
  </si>
  <si>
    <t>Qty</t>
  </si>
  <si>
    <t>Customer Name</t>
  </si>
  <si>
    <t>Ship Date CV00104957</t>
  </si>
  <si>
    <t>3080M</t>
  </si>
  <si>
    <t>19-A11025</t>
  </si>
  <si>
    <t>23A</t>
  </si>
  <si>
    <t>RT23</t>
  </si>
  <si>
    <t>E23</t>
  </si>
  <si>
    <t>ASJ SENAI</t>
  </si>
  <si>
    <t>19-E03183</t>
  </si>
  <si>
    <t>M25</t>
  </si>
  <si>
    <t>19-E03185</t>
  </si>
  <si>
    <t>19-E03223</t>
  </si>
  <si>
    <t>S14</t>
  </si>
  <si>
    <t>19-A00192</t>
  </si>
  <si>
    <t>23B</t>
  </si>
  <si>
    <t>LV11</t>
  </si>
  <si>
    <t>19-E03020</t>
  </si>
  <si>
    <t>N19</t>
  </si>
  <si>
    <t>19-E04742</t>
  </si>
  <si>
    <t>R13</t>
  </si>
  <si>
    <t>19-A00168</t>
  </si>
  <si>
    <t>19-A00265</t>
  </si>
  <si>
    <t>19-E03128</t>
  </si>
  <si>
    <t>19-E03187</t>
  </si>
  <si>
    <t>19-A00191</t>
  </si>
  <si>
    <t>23C</t>
  </si>
  <si>
    <t>19-A00261</t>
  </si>
  <si>
    <t>C23</t>
  </si>
  <si>
    <t>19-A00364</t>
  </si>
  <si>
    <t>19-E03053</t>
  </si>
  <si>
    <t>19-E03133</t>
  </si>
  <si>
    <t>19-E03159</t>
  </si>
  <si>
    <t>19-E03175</t>
  </si>
  <si>
    <t>19-E03828</t>
  </si>
  <si>
    <t>19-E03114</t>
  </si>
  <si>
    <t>23D</t>
  </si>
  <si>
    <t>19-E04739</t>
  </si>
  <si>
    <t>19-E04747</t>
  </si>
  <si>
    <t>19-A00124</t>
  </si>
  <si>
    <t>D24</t>
  </si>
  <si>
    <t>19-A00164</t>
  </si>
  <si>
    <t>19-E03179</t>
  </si>
  <si>
    <t>19-E03225</t>
  </si>
  <si>
    <t>19-E03023</t>
  </si>
  <si>
    <t>24A</t>
  </si>
  <si>
    <t>19-E04336</t>
  </si>
  <si>
    <t>18-L08404</t>
  </si>
  <si>
    <t>19-E03181</t>
  </si>
  <si>
    <t>19-E04433</t>
  </si>
  <si>
    <t>24B</t>
  </si>
  <si>
    <t>19-E04733</t>
  </si>
  <si>
    <t>19-E04810</t>
  </si>
  <si>
    <t>19-A00149</t>
  </si>
  <si>
    <t>18-L06111</t>
  </si>
  <si>
    <t>24C</t>
  </si>
  <si>
    <t>18-L06321</t>
  </si>
  <si>
    <t>19-A10913</t>
  </si>
  <si>
    <t>19-E03189</t>
  </si>
  <si>
    <t>18-L06208</t>
  </si>
  <si>
    <t>18-L08633</t>
  </si>
  <si>
    <t>18-L08691</t>
  </si>
  <si>
    <t>19-A00138</t>
  </si>
  <si>
    <t>19-A00151</t>
  </si>
  <si>
    <t>19-E03188</t>
  </si>
  <si>
    <t>19-E03826</t>
  </si>
  <si>
    <t>19-E04734</t>
  </si>
  <si>
    <t>24D</t>
  </si>
  <si>
    <t>19-E04787</t>
  </si>
  <si>
    <t>19-E04859</t>
  </si>
  <si>
    <t>18-L08580</t>
  </si>
  <si>
    <t>19-A00125</t>
  </si>
  <si>
    <t>19-E03241</t>
  </si>
  <si>
    <t>19-E03676</t>
  </si>
  <si>
    <t>19-E03703</t>
  </si>
  <si>
    <t>19-E03818</t>
  </si>
  <si>
    <t>19-E04917</t>
  </si>
  <si>
    <t>19-A10909</t>
  </si>
  <si>
    <t>34A</t>
  </si>
  <si>
    <t>F22</t>
  </si>
  <si>
    <t>19-E02769</t>
  </si>
  <si>
    <t>19-E04807</t>
  </si>
  <si>
    <t>19-E04837</t>
  </si>
  <si>
    <t>19-E04840</t>
  </si>
  <si>
    <t>19-E05190</t>
  </si>
  <si>
    <t>19-E05211</t>
  </si>
  <si>
    <t>Q19</t>
  </si>
  <si>
    <t>18-L05453</t>
  </si>
  <si>
    <t>19-A00127</t>
  </si>
  <si>
    <t>19-A00152</t>
  </si>
  <si>
    <t>19-A00292</t>
  </si>
  <si>
    <t>19-A02391</t>
  </si>
  <si>
    <t>19-A10907</t>
  </si>
  <si>
    <t>19-A13173</t>
  </si>
  <si>
    <t>19-E03186</t>
  </si>
  <si>
    <t>19-E02790</t>
  </si>
  <si>
    <t>34B</t>
  </si>
  <si>
    <t>19-E03190</t>
  </si>
  <si>
    <t>19-E04820</t>
  </si>
  <si>
    <t>19-E04843</t>
  </si>
  <si>
    <t>19-A00303</t>
  </si>
  <si>
    <t>19-A00343</t>
  </si>
  <si>
    <t>19-E03872</t>
  </si>
  <si>
    <t>19-E04196</t>
  </si>
  <si>
    <t>19-A00183</t>
  </si>
  <si>
    <t>34C</t>
  </si>
  <si>
    <t>19-A00133</t>
  </si>
  <si>
    <t>19-A00187</t>
  </si>
  <si>
    <t>19-A00206</t>
  </si>
  <si>
    <t>19-E03180</t>
  </si>
  <si>
    <t>19-E04750</t>
  </si>
  <si>
    <t>19-A00144</t>
  </si>
  <si>
    <t>34D</t>
  </si>
  <si>
    <t>19-A00194</t>
  </si>
  <si>
    <t>19-A00356</t>
  </si>
  <si>
    <t>19-E02764</t>
  </si>
  <si>
    <t>19-E03045</t>
  </si>
  <si>
    <t>19-E04740</t>
  </si>
  <si>
    <t>19-E04816</t>
  </si>
  <si>
    <t>19-A00140</t>
  </si>
  <si>
    <t>19-A00175</t>
  </si>
  <si>
    <t>19-A00196</t>
  </si>
  <si>
    <t>19-A00289</t>
  </si>
  <si>
    <t>19-E03182</t>
  </si>
  <si>
    <t>19-E03199</t>
  </si>
  <si>
    <t>19-A00153</t>
  </si>
  <si>
    <t>44A</t>
  </si>
  <si>
    <t>19-E04744</t>
  </si>
  <si>
    <t>19-A00166</t>
  </si>
  <si>
    <t>19-A08024</t>
  </si>
  <si>
    <t>19-E03121</t>
  </si>
  <si>
    <t>44B</t>
  </si>
  <si>
    <t>19-A00176</t>
  </si>
  <si>
    <t>19-A00184</t>
  </si>
  <si>
    <t>19-A00186</t>
  </si>
  <si>
    <t>19-E03126</t>
  </si>
  <si>
    <t>19-E03600</t>
  </si>
  <si>
    <t>19-E04804</t>
  </si>
  <si>
    <t>44C</t>
  </si>
  <si>
    <t>19-E03566</t>
  </si>
  <si>
    <t>19-E04752</t>
  </si>
  <si>
    <t>44D</t>
  </si>
  <si>
    <t>19-A00171</t>
  </si>
  <si>
    <t>19-A00348</t>
  </si>
  <si>
    <t>Total</t>
  </si>
  <si>
    <t>Mr. Amirul QA</t>
  </si>
  <si>
    <t>ASJ Components (M) Sdn.Bhd</t>
  </si>
  <si>
    <t>Jul schedule and Aug-Oct Forecast</t>
  </si>
  <si>
    <t>YA-Series and 0201 Type new project</t>
  </si>
  <si>
    <t xml:space="preserve">Crack improvement </t>
  </si>
  <si>
    <t>RoHS and HF sticker</t>
  </si>
  <si>
    <t>ASJ direction for 2019</t>
  </si>
  <si>
    <t>Others supplier status</t>
  </si>
  <si>
    <t>Ms. Sun</t>
  </si>
  <si>
    <t>Mr. Syafiq</t>
  </si>
  <si>
    <t>Mr. Penny</t>
  </si>
  <si>
    <t>Mr. Azlan</t>
  </si>
  <si>
    <t>Sample NCV 65*74*0.20T, YA2010 &amp; YA2512</t>
  </si>
  <si>
    <t>65*74*0.20T quotation</t>
  </si>
  <si>
    <t>ORDER FORECAST</t>
  </si>
  <si>
    <t>Jul production (27-Jun shipment) 8B had reduce back to 6B. M-Type 3B reduce to 0.6B production. Since 27-Jul shipment completed</t>
  </si>
  <si>
    <t>7910M</t>
  </si>
  <si>
    <t>1598M</t>
  </si>
  <si>
    <t>874M</t>
  </si>
  <si>
    <t>Before</t>
  </si>
  <si>
    <t>588K</t>
  </si>
  <si>
    <t>294K</t>
  </si>
  <si>
    <t>252K</t>
  </si>
  <si>
    <t>After</t>
  </si>
  <si>
    <t>29-Jul</t>
  </si>
  <si>
    <t>0K</t>
  </si>
  <si>
    <t>29-Aug</t>
  </si>
  <si>
    <t>840K</t>
  </si>
  <si>
    <t>30-Sep</t>
  </si>
  <si>
    <t>756K</t>
  </si>
  <si>
    <t>next shipment 29-Jul will be effected. Except 7910M 0402 5.7B production plan might increase on 30-Sep shipment.</t>
  </si>
  <si>
    <t>Total mainpower 600 workers reduce to 500 workers.</t>
  </si>
  <si>
    <t>NEW PROJECT</t>
  </si>
  <si>
    <t>YA-Series and 0201 plan to start by end 2019.</t>
  </si>
  <si>
    <t>65*74*0.20T</t>
  </si>
  <si>
    <t>YA1020</t>
  </si>
  <si>
    <t>YA2010</t>
  </si>
  <si>
    <t>YA2512</t>
  </si>
  <si>
    <t>Sample 30-Jul</t>
  </si>
  <si>
    <t>rank 66 &amp; 67 each 1Kpcs</t>
  </si>
  <si>
    <t>rank54 700 (140pcs/lot)</t>
  </si>
  <si>
    <t>Approved sample (200pcs/lot)</t>
  </si>
  <si>
    <t>rank56 700pcs (130pcs/lot)</t>
  </si>
  <si>
    <t>Approved Price</t>
  </si>
  <si>
    <t>USD0.1050</t>
  </si>
  <si>
    <t>Proposal Price</t>
  </si>
  <si>
    <t>USD0.2200</t>
  </si>
  <si>
    <t>Ralec C USD0.2300, Royal USD0.1600</t>
  </si>
  <si>
    <t>CRACK</t>
  </si>
  <si>
    <t>Mr. Amirul explain on tear and crack finding. New method with brightness spec will be set, result by 15-Jul.</t>
  </si>
  <si>
    <t>Mr. Penny commented that they found same lot no. from 2/3 shipment. What is MARUWA FIFO control ?.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</si>
</sst>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4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b/>
      <u val="double"/>
      <sz val="12"/>
      <color theme="1"/>
      <name val="MS UI Gothic"/>
      <family val="2"/>
    </font>
    <font>
      <sz val="12"/>
      <color theme="8"/>
      <name val="MS UI Gothic"/>
      <family val="2"/>
    </font>
    <font>
      <b/>
      <sz val="20"/>
      <color theme="1"/>
      <name val="MS UI Gothic"/>
      <family val="2"/>
    </font>
    <font>
      <sz val="12"/>
      <color theme="1"/>
      <name val="MS Gothic"/>
      <family val="3"/>
    </font>
    <font>
      <b/>
      <sz val="12"/>
      <color theme="1"/>
      <name val="MS UI Gothic"/>
      <family val="2"/>
    </font>
    <font>
      <sz val="12"/>
      <color rgb="FFFF0000"/>
      <name val="MS UI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9">
    <xf numFmtId="0" fontId="0" fillId="0" borderId="0" xfId="0"/>
    <xf numFmtId="0" fontId="2" fillId="2" borderId="0" xfId="1" applyFont="1" applyFill="1" applyBorder="1" applyAlignment="1"/>
    <xf numFmtId="0" fontId="3" fillId="2" borderId="0" xfId="1" applyFont="1" applyFill="1" applyBorder="1">
      <alignment vertical="center"/>
    </xf>
    <xf numFmtId="0" fontId="5" fillId="2" borderId="0" xfId="1" applyFont="1" applyFill="1" applyBorder="1" applyAlignment="1"/>
    <xf numFmtId="0" fontId="3" fillId="2" borderId="0" xfId="1" applyFont="1" applyFill="1">
      <alignment vertical="center"/>
    </xf>
    <xf numFmtId="0" fontId="2" fillId="2" borderId="0" xfId="1" applyFont="1" applyFill="1" applyBorder="1" applyAlignment="1">
      <alignment vertical="center"/>
    </xf>
    <xf numFmtId="0" fontId="6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/>
    </xf>
    <xf numFmtId="0" fontId="2" fillId="2" borderId="0" xfId="1" applyFont="1" applyFill="1" applyBorder="1">
      <alignment vertical="center"/>
    </xf>
    <xf numFmtId="0" fontId="7" fillId="2" borderId="0" xfId="1" applyFont="1" applyFill="1" applyBorder="1" applyAlignment="1">
      <alignment vertical="center"/>
    </xf>
    <xf numFmtId="0" fontId="8" fillId="2" borderId="0" xfId="1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9" fillId="2" borderId="1" xfId="1" applyFont="1" applyFill="1" applyBorder="1" applyAlignment="1">
      <alignment horizontal="right" vertical="center"/>
    </xf>
    <xf numFmtId="0" fontId="3" fillId="2" borderId="2" xfId="1" applyNumberFormat="1" applyFont="1" applyFill="1" applyBorder="1" applyAlignment="1">
      <alignment horizontal="left" vertical="center"/>
    </xf>
    <xf numFmtId="0" fontId="2" fillId="2" borderId="2" xfId="1" quotePrefix="1" applyNumberFormat="1" applyFont="1" applyFill="1" applyBorder="1" applyAlignment="1">
      <alignment horizontal="left" vertical="center"/>
    </xf>
    <xf numFmtId="0" fontId="3" fillId="2" borderId="2" xfId="1" applyNumberFormat="1" applyFont="1" applyFill="1" applyBorder="1" applyAlignment="1">
      <alignment horizontal="right" vertical="center"/>
    </xf>
    <xf numFmtId="0" fontId="3" fillId="2" borderId="4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left" vertical="center"/>
    </xf>
    <xf numFmtId="0" fontId="2" fillId="2" borderId="0" xfId="1" quotePrefix="1" applyNumberFormat="1" applyFont="1" applyFill="1" applyBorder="1" applyAlignment="1">
      <alignment horizontal="lef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6" xfId="1" applyNumberFormat="1" applyFont="1" applyFill="1" applyBorder="1" applyAlignment="1">
      <alignment horizontal="right" vertical="center"/>
    </xf>
    <xf numFmtId="0" fontId="3" fillId="2" borderId="1" xfId="1" applyNumberFormat="1" applyFont="1" applyFill="1" applyBorder="1" applyAlignment="1">
      <alignment horizontal="left"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8" xfId="1" applyNumberFormat="1" applyFont="1" applyFill="1" applyBorder="1" applyAlignment="1">
      <alignment horizontal="right" vertical="center"/>
    </xf>
    <xf numFmtId="0" fontId="3" fillId="2" borderId="2" xfId="1" quotePrefix="1" applyFont="1" applyFill="1" applyBorder="1">
      <alignment vertical="center"/>
    </xf>
    <xf numFmtId="0" fontId="3" fillId="2" borderId="2" xfId="1" applyFont="1" applyFill="1" applyBorder="1">
      <alignment vertical="center"/>
    </xf>
    <xf numFmtId="0" fontId="3" fillId="4" borderId="2" xfId="1" quotePrefix="1" applyFont="1" applyFill="1" applyBorder="1">
      <alignment vertical="center"/>
    </xf>
    <xf numFmtId="0" fontId="3" fillId="4" borderId="2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2" borderId="7" xfId="1" applyFont="1" applyFill="1" applyBorder="1">
      <alignment vertical="center"/>
    </xf>
    <xf numFmtId="0" fontId="3" fillId="2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2" borderId="5" xfId="1" applyFont="1" applyFill="1" applyBorder="1">
      <alignment vertical="center"/>
    </xf>
    <xf numFmtId="0" fontId="3" fillId="2" borderId="6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3" fillId="2" borderId="8" xfId="1" applyFont="1" applyFill="1" applyBorder="1">
      <alignment vertical="center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left" vertical="center"/>
    </xf>
    <xf numFmtId="0" fontId="3" fillId="2" borderId="1" xfId="1" quotePrefix="1" applyFont="1" applyFill="1" applyBorder="1">
      <alignment vertical="center"/>
    </xf>
    <xf numFmtId="0" fontId="0" fillId="2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0" fillId="2" borderId="0" xfId="0" applyFill="1"/>
    <xf numFmtId="0" fontId="0" fillId="2" borderId="9" xfId="0" applyFill="1" applyBorder="1"/>
    <xf numFmtId="0" fontId="0" fillId="2" borderId="9" xfId="0" applyFill="1" applyBorder="1" applyAlignment="1">
      <alignment horizontal="center"/>
    </xf>
    <xf numFmtId="0" fontId="0" fillId="2" borderId="9" xfId="0" applyFill="1" applyBorder="1" applyAlignment="1">
      <alignment horizontal="right"/>
    </xf>
    <xf numFmtId="3" fontId="0" fillId="2" borderId="9" xfId="0" applyNumberFormat="1" applyFill="1" applyBorder="1"/>
    <xf numFmtId="14" fontId="0" fillId="2" borderId="9" xfId="0" applyNumberForma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right"/>
    </xf>
    <xf numFmtId="3" fontId="0" fillId="2" borderId="0" xfId="0" applyNumberFormat="1" applyFill="1" applyBorder="1"/>
    <xf numFmtId="14" fontId="0" fillId="2" borderId="0" xfId="0" applyNumberFormat="1" applyFill="1" applyBorder="1"/>
    <xf numFmtId="0" fontId="0" fillId="2" borderId="10" xfId="0" applyFill="1" applyBorder="1"/>
    <xf numFmtId="0" fontId="0" fillId="2" borderId="10" xfId="0" applyFill="1" applyBorder="1" applyAlignment="1">
      <alignment horizontal="center"/>
    </xf>
    <xf numFmtId="3" fontId="0" fillId="2" borderId="10" xfId="0" applyNumberFormat="1" applyFill="1" applyBorder="1" applyAlignment="1">
      <alignment horizontal="right"/>
    </xf>
    <xf numFmtId="3" fontId="0" fillId="2" borderId="10" xfId="0" applyNumberFormat="1" applyFill="1" applyBorder="1"/>
    <xf numFmtId="14" fontId="0" fillId="2" borderId="10" xfId="0" applyNumberFormat="1" applyFill="1" applyBorder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3" fontId="0" fillId="2" borderId="0" xfId="0" applyNumberFormat="1" applyFill="1"/>
    <xf numFmtId="14" fontId="0" fillId="2" borderId="0" xfId="0" applyNumberFormat="1" applyFill="1"/>
    <xf numFmtId="3" fontId="0" fillId="2" borderId="0" xfId="0" applyNumberFormat="1" applyFill="1" applyAlignment="1">
      <alignment horizontal="right"/>
    </xf>
    <xf numFmtId="0" fontId="0" fillId="2" borderId="11" xfId="0" applyFill="1" applyBorder="1"/>
    <xf numFmtId="0" fontId="0" fillId="2" borderId="11" xfId="0" applyFill="1" applyBorder="1" applyAlignment="1">
      <alignment horizontal="center"/>
    </xf>
    <xf numFmtId="3" fontId="0" fillId="2" borderId="11" xfId="0" applyNumberFormat="1" applyFill="1" applyBorder="1" applyAlignment="1">
      <alignment horizontal="right"/>
    </xf>
    <xf numFmtId="3" fontId="0" fillId="2" borderId="11" xfId="0" applyNumberFormat="1" applyFill="1" applyBorder="1"/>
    <xf numFmtId="0" fontId="4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wrapText="1"/>
    </xf>
    <xf numFmtId="164" fontId="2" fillId="2" borderId="0" xfId="1" applyNumberFormat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0" xfId="1" quotePrefix="1" applyFont="1" applyFill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 shrinkToFit="1"/>
    </xf>
    <xf numFmtId="0" fontId="2" fillId="3" borderId="0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0" xfId="1" quotePrefix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3" fillId="2" borderId="3" xfId="1" quotePrefix="1" applyFont="1" applyFill="1" applyBorder="1" applyAlignment="1">
      <alignment horizontal="center" vertical="center" wrapText="1"/>
    </xf>
    <xf numFmtId="0" fontId="11" fillId="2" borderId="5" xfId="1" applyFont="1" applyFill="1" applyBorder="1">
      <alignment vertical="center"/>
    </xf>
    <xf numFmtId="0" fontId="12" fillId="2" borderId="5" xfId="1" applyFont="1" applyFill="1" applyBorder="1">
      <alignment vertical="center"/>
    </xf>
    <xf numFmtId="0" fontId="13" fillId="2" borderId="0" xfId="1" applyFont="1" applyFill="1" applyBorder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5244"/>
          <a:ext cx="2720339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5"/>
  <sheetViews>
    <sheetView tabSelected="1" topLeftCell="A37" zoomScale="125" zoomScaleNormal="125" workbookViewId="0">
      <selection activeCell="B51" sqref="B51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6" t="s">
        <v>0</v>
      </c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2"/>
      <c r="AL1" s="3" t="s">
        <v>1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2"/>
      <c r="AL2" s="2" t="s">
        <v>2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3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2"/>
      <c r="AL3" s="2" t="s">
        <v>4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7</v>
      </c>
    </row>
    <row r="5" spans="2:66" ht="14.25" customHeight="1">
      <c r="B5" s="77" t="s">
        <v>8</v>
      </c>
      <c r="C5" s="77"/>
      <c r="D5" s="77"/>
      <c r="E5" s="77"/>
      <c r="F5" s="77"/>
      <c r="G5" s="78">
        <v>43656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2"/>
      <c r="S5" s="79" t="s">
        <v>9</v>
      </c>
      <c r="T5" s="79"/>
      <c r="U5" s="79"/>
      <c r="V5" s="79"/>
      <c r="W5" s="79"/>
      <c r="X5" s="79"/>
      <c r="Y5" s="81" t="s">
        <v>10</v>
      </c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2"/>
      <c r="AL5" s="2" t="s">
        <v>11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77"/>
      <c r="C6" s="77"/>
      <c r="D6" s="77"/>
      <c r="E6" s="77"/>
      <c r="F6" s="77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2"/>
      <c r="S6" s="80"/>
      <c r="T6" s="80"/>
      <c r="U6" s="80"/>
      <c r="V6" s="80"/>
      <c r="W6" s="80"/>
      <c r="X6" s="80"/>
      <c r="Y6" s="82" t="s">
        <v>12</v>
      </c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2"/>
      <c r="AL6" s="8" t="s">
        <v>13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14</v>
      </c>
      <c r="AY6" s="2"/>
    </row>
    <row r="7" spans="2:66" ht="14.25" customHeight="1">
      <c r="B7" s="100" t="s">
        <v>15</v>
      </c>
      <c r="C7" s="100"/>
      <c r="D7" s="100"/>
      <c r="E7" s="100"/>
      <c r="F7" s="100"/>
      <c r="G7" s="2"/>
      <c r="H7" s="77" t="s">
        <v>16</v>
      </c>
      <c r="I7" s="77"/>
      <c r="J7" s="77"/>
      <c r="K7" s="2"/>
      <c r="L7" s="101" t="s">
        <v>17</v>
      </c>
      <c r="M7" s="101"/>
      <c r="N7" s="101"/>
      <c r="O7" s="2"/>
      <c r="P7" s="2"/>
      <c r="Q7" s="2"/>
      <c r="R7" s="2"/>
      <c r="S7" s="85" t="s">
        <v>18</v>
      </c>
      <c r="T7" s="85"/>
      <c r="U7" s="85"/>
      <c r="V7" s="85"/>
      <c r="W7" s="85"/>
      <c r="X7" s="85"/>
      <c r="Y7" s="102" t="s">
        <v>182</v>
      </c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2"/>
      <c r="AL7" s="8" t="s">
        <v>19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100"/>
      <c r="C8" s="100"/>
      <c r="D8" s="100"/>
      <c r="E8" s="100"/>
      <c r="F8" s="100"/>
      <c r="G8" s="2"/>
      <c r="H8" s="77"/>
      <c r="I8" s="77"/>
      <c r="J8" s="77"/>
      <c r="K8" s="12"/>
      <c r="L8" s="101"/>
      <c r="M8" s="101"/>
      <c r="N8" s="101"/>
      <c r="O8" s="2"/>
      <c r="P8" s="2"/>
      <c r="Q8" s="2"/>
      <c r="R8" s="2"/>
      <c r="S8" s="79"/>
      <c r="T8" s="79"/>
      <c r="U8" s="79"/>
      <c r="V8" s="79"/>
      <c r="W8" s="79"/>
      <c r="X8" s="79"/>
      <c r="Y8" s="103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2"/>
      <c r="AL8" s="5" t="s">
        <v>20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100"/>
      <c r="C9" s="100"/>
      <c r="D9" s="100"/>
      <c r="E9" s="100"/>
      <c r="F9" s="100"/>
      <c r="G9" s="2"/>
      <c r="H9" s="77"/>
      <c r="I9" s="77"/>
      <c r="J9" s="77"/>
      <c r="K9" s="2"/>
      <c r="L9" s="101"/>
      <c r="M9" s="101"/>
      <c r="N9" s="101"/>
      <c r="O9" s="2"/>
      <c r="P9" s="2"/>
      <c r="Q9" s="2"/>
      <c r="R9" s="2"/>
      <c r="S9" s="80"/>
      <c r="T9" s="80"/>
      <c r="U9" s="80"/>
      <c r="V9" s="80"/>
      <c r="W9" s="80"/>
      <c r="X9" s="80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2"/>
      <c r="AL9" s="13" t="s">
        <v>21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22</v>
      </c>
      <c r="AY10" s="2"/>
      <c r="AZ10" s="2"/>
    </row>
    <row r="11" spans="2:66" ht="13.5" customHeight="1">
      <c r="B11" s="84" t="s">
        <v>23</v>
      </c>
      <c r="C11" s="85"/>
      <c r="D11" s="85"/>
      <c r="E11" s="85"/>
      <c r="F11" s="85"/>
      <c r="G11" s="106" t="s">
        <v>183</v>
      </c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8"/>
      <c r="Z11" s="115" t="s">
        <v>24</v>
      </c>
      <c r="AA11" s="85"/>
      <c r="AB11" s="85"/>
      <c r="AC11" s="85"/>
      <c r="AD11" s="86"/>
      <c r="AE11" s="15" t="s">
        <v>190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18"/>
    </row>
    <row r="12" spans="2:66" ht="15" customHeight="1">
      <c r="B12" s="87"/>
      <c r="C12" s="79"/>
      <c r="D12" s="79"/>
      <c r="E12" s="79"/>
      <c r="F12" s="79"/>
      <c r="G12" s="109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1"/>
      <c r="Z12" s="87"/>
      <c r="AA12" s="79"/>
      <c r="AB12" s="79"/>
      <c r="AC12" s="79"/>
      <c r="AD12" s="88"/>
      <c r="AE12" s="19" t="s">
        <v>191</v>
      </c>
      <c r="AF12" s="19"/>
      <c r="AG12" s="20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21"/>
      <c r="AX12" s="22"/>
    </row>
    <row r="13" spans="2:66" ht="15" customHeight="1">
      <c r="B13" s="87"/>
      <c r="C13" s="79"/>
      <c r="D13" s="79"/>
      <c r="E13" s="79"/>
      <c r="F13" s="79"/>
      <c r="G13" s="109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1"/>
      <c r="Z13" s="87"/>
      <c r="AA13" s="79"/>
      <c r="AB13" s="79"/>
      <c r="AC13" s="79"/>
      <c r="AD13" s="88"/>
      <c r="AE13" s="19" t="s">
        <v>192</v>
      </c>
      <c r="AF13" s="19"/>
      <c r="AG13" s="20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21"/>
      <c r="AX13" s="22"/>
    </row>
    <row r="14" spans="2:66" ht="15.75" customHeight="1" thickBot="1">
      <c r="B14" s="89"/>
      <c r="C14" s="80"/>
      <c r="D14" s="80"/>
      <c r="E14" s="80"/>
      <c r="F14" s="80"/>
      <c r="G14" s="112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4"/>
      <c r="Z14" s="89"/>
      <c r="AA14" s="80"/>
      <c r="AB14" s="80"/>
      <c r="AC14" s="80"/>
      <c r="AD14" s="90"/>
      <c r="AE14" s="19" t="s">
        <v>193</v>
      </c>
      <c r="AF14" s="19"/>
      <c r="AG14" s="20"/>
      <c r="AH14" s="19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25"/>
      <c r="BE14" s="83"/>
      <c r="BF14" s="83"/>
    </row>
    <row r="15" spans="2:66" ht="14.25" customHeight="1">
      <c r="B15" s="84" t="s">
        <v>25</v>
      </c>
      <c r="C15" s="85"/>
      <c r="D15" s="85"/>
      <c r="E15" s="85"/>
      <c r="F15" s="86"/>
      <c r="G15" s="26" t="s">
        <v>26</v>
      </c>
      <c r="H15" s="27" t="s">
        <v>184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91" t="s">
        <v>27</v>
      </c>
      <c r="AA15" s="92"/>
      <c r="AB15" s="92"/>
      <c r="AC15" s="92"/>
      <c r="AD15" s="93"/>
      <c r="AE15" s="28" t="s">
        <v>26</v>
      </c>
      <c r="AF15" s="29" t="s">
        <v>194</v>
      </c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30"/>
      <c r="BE15" s="83"/>
      <c r="BF15" s="83"/>
    </row>
    <row r="16" spans="2:66">
      <c r="B16" s="87"/>
      <c r="C16" s="79"/>
      <c r="D16" s="79"/>
      <c r="E16" s="79"/>
      <c r="F16" s="88"/>
      <c r="G16" s="2" t="s">
        <v>26</v>
      </c>
      <c r="H16" s="2" t="s">
        <v>185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94"/>
      <c r="AA16" s="95"/>
      <c r="AB16" s="95"/>
      <c r="AC16" s="95"/>
      <c r="AD16" s="96"/>
      <c r="AE16" s="31" t="s">
        <v>26</v>
      </c>
      <c r="AF16" s="31" t="s">
        <v>195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2"/>
    </row>
    <row r="17" spans="2:50">
      <c r="B17" s="87"/>
      <c r="C17" s="79"/>
      <c r="D17" s="79"/>
      <c r="E17" s="79"/>
      <c r="F17" s="88"/>
      <c r="G17" s="2" t="s">
        <v>26</v>
      </c>
      <c r="H17" s="33" t="s">
        <v>186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94"/>
      <c r="AA17" s="95"/>
      <c r="AB17" s="95"/>
      <c r="AC17" s="95"/>
      <c r="AD17" s="96"/>
      <c r="AE17" s="31" t="s">
        <v>26</v>
      </c>
      <c r="AF17" s="34"/>
      <c r="AG17" s="35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2"/>
    </row>
    <row r="18" spans="2:50">
      <c r="B18" s="87"/>
      <c r="C18" s="79"/>
      <c r="D18" s="79"/>
      <c r="E18" s="79"/>
      <c r="F18" s="88"/>
      <c r="G18" s="2" t="s">
        <v>26</v>
      </c>
      <c r="H18" s="33" t="s">
        <v>187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94"/>
      <c r="AA18" s="95"/>
      <c r="AB18" s="95"/>
      <c r="AC18" s="95"/>
      <c r="AD18" s="96"/>
      <c r="AE18" s="31" t="s">
        <v>26</v>
      </c>
      <c r="AF18" s="34"/>
      <c r="AG18" s="35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2"/>
    </row>
    <row r="19" spans="2:50">
      <c r="B19" s="87"/>
      <c r="C19" s="79"/>
      <c r="D19" s="79"/>
      <c r="E19" s="79"/>
      <c r="F19" s="88"/>
      <c r="G19" s="2" t="s">
        <v>26</v>
      </c>
      <c r="H19" s="2" t="s">
        <v>188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94"/>
      <c r="AA19" s="95"/>
      <c r="AB19" s="95"/>
      <c r="AC19" s="95"/>
      <c r="AD19" s="96"/>
      <c r="AE19" s="31" t="s">
        <v>26</v>
      </c>
      <c r="AF19" s="34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2"/>
    </row>
    <row r="20" spans="2:50" ht="15" thickBot="1">
      <c r="B20" s="89"/>
      <c r="C20" s="80"/>
      <c r="D20" s="80"/>
      <c r="E20" s="80"/>
      <c r="F20" s="90"/>
      <c r="G20" s="36" t="s">
        <v>26</v>
      </c>
      <c r="H20" s="37" t="s">
        <v>189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97"/>
      <c r="AA20" s="98"/>
      <c r="AB20" s="98"/>
      <c r="AC20" s="98"/>
      <c r="AD20" s="99"/>
      <c r="AE20" s="38" t="s">
        <v>26</v>
      </c>
      <c r="AF20" s="39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40"/>
    </row>
    <row r="21" spans="2:50" ht="13.5" customHeight="1">
      <c r="B21" s="87" t="s">
        <v>28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88"/>
    </row>
    <row r="22" spans="2:50">
      <c r="B22" s="4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42"/>
    </row>
    <row r="23" spans="2:50">
      <c r="B23" s="117" t="s">
        <v>196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42"/>
    </row>
    <row r="24" spans="2:50">
      <c r="B24" s="116" t="s">
        <v>26</v>
      </c>
      <c r="C24" s="2" t="s">
        <v>197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42"/>
    </row>
    <row r="25" spans="2:50">
      <c r="B25" s="41"/>
      <c r="C25" s="2" t="s">
        <v>212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42"/>
    </row>
    <row r="26" spans="2:50">
      <c r="B26" s="4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42"/>
    </row>
    <row r="27" spans="2:50">
      <c r="B27" s="41"/>
      <c r="C27" s="2" t="s">
        <v>206</v>
      </c>
      <c r="D27" s="2"/>
      <c r="E27" s="2"/>
      <c r="F27" s="2"/>
      <c r="G27" s="2"/>
      <c r="H27" s="2"/>
      <c r="I27" s="2" t="s">
        <v>201</v>
      </c>
      <c r="J27" s="2"/>
      <c r="K27" s="2"/>
      <c r="L27" s="2"/>
      <c r="M27" s="2"/>
      <c r="N27" s="2" t="s">
        <v>205</v>
      </c>
      <c r="O27" s="2"/>
      <c r="P27" s="2"/>
      <c r="Q27" s="2"/>
      <c r="R27" s="2"/>
      <c r="S27" s="2"/>
      <c r="T27" s="2"/>
      <c r="U27" s="2" t="s">
        <v>208</v>
      </c>
      <c r="V27" s="2"/>
      <c r="W27" s="2"/>
      <c r="X27" s="2"/>
      <c r="Y27" s="2"/>
      <c r="Z27" s="2" t="s">
        <v>210</v>
      </c>
      <c r="AA27" s="2"/>
      <c r="AB27" s="2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42"/>
    </row>
    <row r="28" spans="2:50">
      <c r="B28" s="41"/>
      <c r="C28" s="2" t="s">
        <v>198</v>
      </c>
      <c r="D28" s="2"/>
      <c r="E28" s="2"/>
      <c r="F28" s="2"/>
      <c r="G28" s="2"/>
      <c r="H28" s="2"/>
      <c r="I28" s="2" t="s">
        <v>202</v>
      </c>
      <c r="J28" s="2"/>
      <c r="K28" s="2"/>
      <c r="L28" s="2"/>
      <c r="M28" s="2"/>
      <c r="N28" s="2" t="s">
        <v>202</v>
      </c>
      <c r="O28" s="2"/>
      <c r="P28" s="2"/>
      <c r="Q28" s="2"/>
      <c r="R28" s="2"/>
      <c r="S28" s="2"/>
      <c r="T28" s="2"/>
      <c r="U28" s="2" t="s">
        <v>209</v>
      </c>
      <c r="V28" s="2"/>
      <c r="W28" s="2"/>
      <c r="X28" s="2"/>
      <c r="Y28" s="2"/>
      <c r="Z28" s="118" t="s">
        <v>211</v>
      </c>
      <c r="AA28" s="2"/>
      <c r="AB28" s="2"/>
      <c r="AC28" s="2"/>
      <c r="AD28" s="2"/>
      <c r="AE28" s="2"/>
      <c r="AF28" s="2"/>
      <c r="AG28" s="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42"/>
    </row>
    <row r="29" spans="2:50">
      <c r="B29" s="41"/>
      <c r="C29" s="2" t="s">
        <v>40</v>
      </c>
      <c r="D29" s="2"/>
      <c r="E29" s="2"/>
      <c r="F29" s="2"/>
      <c r="G29" s="2"/>
      <c r="H29" s="2"/>
      <c r="I29" s="2" t="s">
        <v>203</v>
      </c>
      <c r="J29" s="2"/>
      <c r="K29" s="2"/>
      <c r="L29" s="2"/>
      <c r="M29" s="2"/>
      <c r="N29" s="2" t="s">
        <v>207</v>
      </c>
      <c r="O29" s="2"/>
      <c r="P29" s="2"/>
      <c r="Q29" s="2"/>
      <c r="R29" s="2"/>
      <c r="S29" s="2"/>
      <c r="T29" s="2"/>
      <c r="U29" s="2" t="s">
        <v>207</v>
      </c>
      <c r="V29" s="2"/>
      <c r="W29" s="2"/>
      <c r="X29" s="2"/>
      <c r="Y29" s="2"/>
      <c r="Z29" s="2" t="s">
        <v>203</v>
      </c>
      <c r="AA29" s="2"/>
      <c r="AB29" s="2"/>
      <c r="AC29" s="2"/>
      <c r="AD29" s="2"/>
      <c r="AE29" s="2"/>
      <c r="AF29" s="2"/>
      <c r="AG29" s="8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42"/>
    </row>
    <row r="30" spans="2:50">
      <c r="B30" s="41"/>
      <c r="C30" s="2" t="s">
        <v>199</v>
      </c>
      <c r="D30" s="2"/>
      <c r="E30" s="2"/>
      <c r="F30" s="2"/>
      <c r="G30" s="2"/>
      <c r="H30" s="2"/>
      <c r="I30" s="2" t="s">
        <v>204</v>
      </c>
      <c r="J30" s="2"/>
      <c r="K30" s="2"/>
      <c r="L30" s="2"/>
      <c r="M30" s="2"/>
      <c r="N30" s="2" t="s">
        <v>207</v>
      </c>
      <c r="O30" s="2"/>
      <c r="P30" s="2"/>
      <c r="Q30" s="2"/>
      <c r="R30" s="2"/>
      <c r="S30" s="2"/>
      <c r="T30" s="2"/>
      <c r="U30" s="2" t="s">
        <v>207</v>
      </c>
      <c r="V30" s="2"/>
      <c r="W30" s="2"/>
      <c r="X30" s="2"/>
      <c r="Y30" s="2"/>
      <c r="Z30" s="2" t="s">
        <v>204</v>
      </c>
      <c r="AA30" s="2"/>
      <c r="AB30" s="2"/>
      <c r="AC30" s="2"/>
      <c r="AD30" s="2"/>
      <c r="AE30" s="2"/>
      <c r="AF30" s="2"/>
      <c r="AG30" s="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42"/>
    </row>
    <row r="31" spans="2:50">
      <c r="B31" s="41"/>
      <c r="C31" s="2" t="s">
        <v>200</v>
      </c>
      <c r="D31" s="2"/>
      <c r="E31" s="2"/>
      <c r="F31" s="2"/>
      <c r="G31" s="2"/>
      <c r="H31" s="2"/>
      <c r="I31" s="2" t="s">
        <v>204</v>
      </c>
      <c r="J31" s="2"/>
      <c r="K31" s="2"/>
      <c r="L31" s="2"/>
      <c r="M31" s="2"/>
      <c r="N31" s="2" t="s">
        <v>207</v>
      </c>
      <c r="O31" s="2"/>
      <c r="P31" s="2"/>
      <c r="Q31" s="2"/>
      <c r="R31" s="2"/>
      <c r="S31" s="2"/>
      <c r="T31" s="2"/>
      <c r="U31" s="2" t="s">
        <v>207</v>
      </c>
      <c r="V31" s="2"/>
      <c r="W31" s="2"/>
      <c r="X31" s="2"/>
      <c r="Y31" s="2"/>
      <c r="Z31" s="2" t="s">
        <v>204</v>
      </c>
      <c r="AA31" s="2"/>
      <c r="AB31" s="2"/>
      <c r="AC31" s="2"/>
      <c r="AD31" s="2"/>
      <c r="AE31" s="2"/>
      <c r="AF31" s="2"/>
      <c r="AG31" s="8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42"/>
    </row>
    <row r="32" spans="2:50">
      <c r="B32" s="4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42"/>
    </row>
    <row r="33" spans="2:50">
      <c r="B33" s="116" t="s">
        <v>26</v>
      </c>
      <c r="C33" s="2" t="s">
        <v>213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42"/>
    </row>
    <row r="34" spans="2:50">
      <c r="B34" s="4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42"/>
    </row>
    <row r="35" spans="2:50">
      <c r="B35" s="4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42"/>
    </row>
    <row r="36" spans="2:50">
      <c r="B36" s="117" t="s">
        <v>214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42"/>
    </row>
    <row r="37" spans="2:50">
      <c r="B37" s="116" t="s">
        <v>26</v>
      </c>
      <c r="C37" s="2" t="s">
        <v>215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42"/>
    </row>
    <row r="38" spans="2:50">
      <c r="B38" s="11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42"/>
    </row>
    <row r="39" spans="2:50">
      <c r="B39" s="41"/>
      <c r="C39" s="2"/>
      <c r="D39" s="2"/>
      <c r="E39" s="2"/>
      <c r="F39" s="2"/>
      <c r="G39" s="2"/>
      <c r="H39" s="2"/>
      <c r="I39" s="2"/>
      <c r="J39" s="2" t="s">
        <v>220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 t="s">
        <v>225</v>
      </c>
      <c r="X39" s="2"/>
      <c r="Y39" s="2"/>
      <c r="Z39" s="2"/>
      <c r="AA39" s="2"/>
      <c r="AB39" s="2"/>
      <c r="AC39" s="2"/>
      <c r="AD39" s="2" t="s">
        <v>227</v>
      </c>
      <c r="AE39" s="2"/>
      <c r="AF39" s="8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42"/>
    </row>
    <row r="40" spans="2:50">
      <c r="B40" s="41"/>
      <c r="C40" s="2" t="s">
        <v>216</v>
      </c>
      <c r="D40" s="2"/>
      <c r="E40" s="2"/>
      <c r="F40" s="2"/>
      <c r="G40" s="2"/>
      <c r="H40" s="2"/>
      <c r="I40" s="2"/>
      <c r="J40" s="2" t="s">
        <v>221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s">
        <v>228</v>
      </c>
      <c r="AE40" s="2"/>
      <c r="AF40" s="8"/>
      <c r="AG40" s="2"/>
      <c r="AH40" s="2"/>
      <c r="AI40" s="2"/>
      <c r="AJ40" s="2" t="s">
        <v>229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42"/>
    </row>
    <row r="41" spans="2:50">
      <c r="B41" s="41"/>
      <c r="C41" s="2" t="s">
        <v>217</v>
      </c>
      <c r="D41" s="2"/>
      <c r="E41" s="2"/>
      <c r="F41" s="2"/>
      <c r="G41" s="2"/>
      <c r="H41" s="2"/>
      <c r="I41" s="2"/>
      <c r="J41" s="118" t="s">
        <v>223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 t="s">
        <v>226</v>
      </c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42"/>
    </row>
    <row r="42" spans="2:50" ht="15" customHeight="1">
      <c r="B42" s="41"/>
      <c r="C42" s="2" t="s">
        <v>218</v>
      </c>
      <c r="D42" s="2"/>
      <c r="E42" s="2"/>
      <c r="F42" s="2"/>
      <c r="G42" s="2"/>
      <c r="H42" s="2"/>
      <c r="I42" s="2"/>
      <c r="J42" s="2" t="s">
        <v>222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 t="s">
        <v>226</v>
      </c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42"/>
    </row>
    <row r="43" spans="2:50">
      <c r="B43" s="41"/>
      <c r="C43" s="2" t="s">
        <v>219</v>
      </c>
      <c r="D43" s="2"/>
      <c r="E43" s="2"/>
      <c r="F43" s="2"/>
      <c r="G43" s="2"/>
      <c r="H43" s="2"/>
      <c r="I43" s="2"/>
      <c r="J43" s="2" t="s">
        <v>224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 t="s">
        <v>226</v>
      </c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42"/>
    </row>
    <row r="44" spans="2:50">
      <c r="B44" s="4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42"/>
    </row>
    <row r="45" spans="2:50" ht="15" customHeight="1">
      <c r="B45" s="4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42"/>
    </row>
    <row r="46" spans="2:50" ht="15" customHeight="1">
      <c r="B46" s="117" t="s">
        <v>230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42"/>
    </row>
    <row r="47" spans="2:50" ht="15" customHeight="1">
      <c r="B47" s="41" t="s">
        <v>231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42"/>
    </row>
    <row r="48" spans="2:50" ht="15" customHeight="1">
      <c r="B48" s="4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42"/>
    </row>
    <row r="49" spans="2:50">
      <c r="B49" s="4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42"/>
    </row>
    <row r="50" spans="2:50">
      <c r="B50" s="41" t="s">
        <v>232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42"/>
    </row>
    <row r="51" spans="2:50">
      <c r="B51" s="4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42"/>
    </row>
    <row r="52" spans="2:50">
      <c r="B52" s="4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42"/>
    </row>
    <row r="53" spans="2:50">
      <c r="B53" s="4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42"/>
    </row>
    <row r="54" spans="2:50">
      <c r="B54" s="4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42"/>
    </row>
    <row r="55" spans="2:50">
      <c r="B55" s="4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42"/>
    </row>
    <row r="56" spans="2:50">
      <c r="B56" s="4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42"/>
    </row>
    <row r="57" spans="2:50">
      <c r="B57" s="4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42"/>
    </row>
    <row r="58" spans="2:50">
      <c r="B58" s="4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42"/>
    </row>
    <row r="59" spans="2:50">
      <c r="B59" s="4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42"/>
    </row>
    <row r="60" spans="2:50">
      <c r="B60" s="4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42"/>
    </row>
    <row r="61" spans="2:50">
      <c r="B61" s="4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42"/>
    </row>
    <row r="62" spans="2:50">
      <c r="B62" s="4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42"/>
    </row>
    <row r="63" spans="2:50">
      <c r="B63" s="4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42"/>
    </row>
    <row r="64" spans="2:50">
      <c r="B64" s="4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42"/>
    </row>
    <row r="65" spans="2:50">
      <c r="B65" s="4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42"/>
    </row>
    <row r="66" spans="2:50">
      <c r="B66" s="4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8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42"/>
    </row>
    <row r="67" spans="2:50">
      <c r="B67" s="4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8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42"/>
    </row>
    <row r="68" spans="2:50">
      <c r="B68" s="4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8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42"/>
    </row>
    <row r="69" spans="2:50">
      <c r="B69" s="4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8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42"/>
    </row>
    <row r="70" spans="2:50" ht="15" thickBot="1">
      <c r="B70" s="36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43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44"/>
    </row>
    <row r="71" spans="2:50">
      <c r="B71" s="104" t="s">
        <v>29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105"/>
    </row>
    <row r="72" spans="2:50">
      <c r="B72" s="45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46"/>
    </row>
    <row r="73" spans="2:50">
      <c r="B73" s="45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46"/>
    </row>
    <row r="74" spans="2:50">
      <c r="B74" s="4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8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42"/>
    </row>
    <row r="75" spans="2:50" ht="15" thickBot="1">
      <c r="B75" s="4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48"/>
      <c r="U75" s="48"/>
      <c r="V75" s="48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43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44"/>
    </row>
  </sheetData>
  <mergeCells count="21">
    <mergeCell ref="B71:AX71"/>
    <mergeCell ref="B21:AX21"/>
    <mergeCell ref="B11:F14"/>
    <mergeCell ref="G11:Y14"/>
    <mergeCell ref="Z11:AD14"/>
    <mergeCell ref="BE14:BF15"/>
    <mergeCell ref="B15:F20"/>
    <mergeCell ref="Z15:AD20"/>
    <mergeCell ref="B7:F9"/>
    <mergeCell ref="H7:J9"/>
    <mergeCell ref="L7:N9"/>
    <mergeCell ref="S7:X9"/>
    <mergeCell ref="Y7:AJ7"/>
    <mergeCell ref="Y8:AJ8"/>
    <mergeCell ref="Y9:AJ9"/>
    <mergeCell ref="S1:AJ3"/>
    <mergeCell ref="B5:F6"/>
    <mergeCell ref="G5:Q6"/>
    <mergeCell ref="S5:X6"/>
    <mergeCell ref="Y5:AJ5"/>
    <mergeCell ref="Y6:AJ6"/>
  </mergeCells>
  <printOptions horizontalCentered="1" verticalCentered="1"/>
  <pageMargins left="0.19685039370078741" right="0.19685039370078741" top="0" bottom="0" header="0.19685039370078741" footer="0.19685039370078741"/>
  <pageSetup paperSize="9" scale="77" orientation="portrait" r:id="rId1"/>
  <headerFooter>
    <oddFooter>&amp;L&amp;D&amp;C&amp;P&amp;R&amp;F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opLeftCell="A98" workbookViewId="0">
      <selection activeCell="M110" sqref="M110"/>
    </sheetView>
  </sheetViews>
  <sheetFormatPr defaultRowHeight="15"/>
  <cols>
    <col min="1" max="1" width="9.140625" style="51"/>
    <col min="2" max="2" width="10.42578125" style="67" customWidth="1"/>
    <col min="3" max="3" width="15.7109375" style="67" customWidth="1"/>
    <col min="4" max="4" width="9.140625" style="67"/>
    <col min="5" max="5" width="9.140625" style="68"/>
    <col min="6" max="7" width="9.140625" style="67"/>
    <col min="8" max="8" width="9.140625" style="69"/>
    <col min="9" max="9" width="11.42578125" style="67" customWidth="1"/>
    <col min="10" max="10" width="12" style="51" customWidth="1"/>
    <col min="11" max="16384" width="9.140625" style="51"/>
  </cols>
  <sheetData>
    <row r="1" spans="1:10" ht="30" customHeight="1">
      <c r="A1" s="49" t="s">
        <v>30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50" t="s">
        <v>37</v>
      </c>
      <c r="I1" s="49" t="s">
        <v>38</v>
      </c>
      <c r="J1" s="49" t="s">
        <v>39</v>
      </c>
    </row>
    <row r="2" spans="1:10">
      <c r="A2" s="52" t="s">
        <v>40</v>
      </c>
      <c r="B2" s="53">
        <v>1</v>
      </c>
      <c r="C2" s="53" t="s">
        <v>41</v>
      </c>
      <c r="D2" s="53" t="s">
        <v>42</v>
      </c>
      <c r="E2" s="54"/>
      <c r="F2" s="53" t="s">
        <v>43</v>
      </c>
      <c r="G2" s="53" t="s">
        <v>44</v>
      </c>
      <c r="H2" s="55">
        <v>1500</v>
      </c>
      <c r="I2" s="53" t="s">
        <v>45</v>
      </c>
      <c r="J2" s="56">
        <v>43615</v>
      </c>
    </row>
    <row r="3" spans="1:10">
      <c r="A3" s="57" t="s">
        <v>40</v>
      </c>
      <c r="B3" s="58">
        <v>1</v>
      </c>
      <c r="C3" s="58" t="s">
        <v>46</v>
      </c>
      <c r="D3" s="58" t="s">
        <v>42</v>
      </c>
      <c r="E3" s="59"/>
      <c r="F3" s="58" t="s">
        <v>43</v>
      </c>
      <c r="G3" s="58" t="s">
        <v>47</v>
      </c>
      <c r="H3" s="60">
        <v>1500</v>
      </c>
      <c r="I3" s="58" t="s">
        <v>45</v>
      </c>
      <c r="J3" s="61">
        <v>43615</v>
      </c>
    </row>
    <row r="4" spans="1:10">
      <c r="A4" s="57" t="s">
        <v>40</v>
      </c>
      <c r="B4" s="58">
        <v>1</v>
      </c>
      <c r="C4" s="58" t="s">
        <v>48</v>
      </c>
      <c r="D4" s="58" t="s">
        <v>42</v>
      </c>
      <c r="E4" s="59"/>
      <c r="F4" s="58" t="s">
        <v>43</v>
      </c>
      <c r="G4" s="58" t="s">
        <v>44</v>
      </c>
      <c r="H4" s="60">
        <v>1500</v>
      </c>
      <c r="I4" s="58" t="s">
        <v>45</v>
      </c>
      <c r="J4" s="61">
        <v>43615</v>
      </c>
    </row>
    <row r="5" spans="1:10">
      <c r="A5" s="62" t="s">
        <v>40</v>
      </c>
      <c r="B5" s="63">
        <v>1</v>
      </c>
      <c r="C5" s="63" t="s">
        <v>49</v>
      </c>
      <c r="D5" s="63" t="s">
        <v>42</v>
      </c>
      <c r="E5" s="64">
        <f>SUM(H2:H5)</f>
        <v>6000</v>
      </c>
      <c r="F5" s="63" t="s">
        <v>43</v>
      </c>
      <c r="G5" s="63" t="s">
        <v>50</v>
      </c>
      <c r="H5" s="65">
        <v>1500</v>
      </c>
      <c r="I5" s="63" t="s">
        <v>45</v>
      </c>
      <c r="J5" s="66">
        <v>43615</v>
      </c>
    </row>
    <row r="6" spans="1:10">
      <c r="A6" s="51" t="s">
        <v>40</v>
      </c>
      <c r="B6" s="67">
        <v>2</v>
      </c>
      <c r="C6" s="67" t="s">
        <v>51</v>
      </c>
      <c r="D6" s="67" t="s">
        <v>52</v>
      </c>
      <c r="F6" s="67" t="s">
        <v>53</v>
      </c>
      <c r="G6" s="67" t="s">
        <v>44</v>
      </c>
      <c r="H6" s="69">
        <v>1500</v>
      </c>
      <c r="I6" s="67" t="s">
        <v>45</v>
      </c>
      <c r="J6" s="70">
        <v>43615</v>
      </c>
    </row>
    <row r="7" spans="1:10">
      <c r="A7" s="51" t="s">
        <v>40</v>
      </c>
      <c r="B7" s="67">
        <v>2</v>
      </c>
      <c r="C7" s="67" t="s">
        <v>54</v>
      </c>
      <c r="D7" s="67" t="s">
        <v>52</v>
      </c>
      <c r="F7" s="67" t="s">
        <v>53</v>
      </c>
      <c r="G7" s="67" t="s">
        <v>55</v>
      </c>
      <c r="H7" s="69">
        <v>1500</v>
      </c>
      <c r="I7" s="67" t="s">
        <v>45</v>
      </c>
      <c r="J7" s="70">
        <v>43615</v>
      </c>
    </row>
    <row r="8" spans="1:10">
      <c r="A8" s="51" t="s">
        <v>40</v>
      </c>
      <c r="B8" s="67">
        <v>2</v>
      </c>
      <c r="C8" s="67" t="s">
        <v>56</v>
      </c>
      <c r="D8" s="67" t="s">
        <v>52</v>
      </c>
      <c r="F8" s="67" t="s">
        <v>53</v>
      </c>
      <c r="G8" s="67" t="s">
        <v>57</v>
      </c>
      <c r="H8" s="69">
        <v>1500</v>
      </c>
      <c r="I8" s="67" t="s">
        <v>45</v>
      </c>
      <c r="J8" s="70">
        <v>43615</v>
      </c>
    </row>
    <row r="9" spans="1:10">
      <c r="A9" s="51" t="s">
        <v>40</v>
      </c>
      <c r="B9" s="67">
        <v>1</v>
      </c>
      <c r="C9" s="67" t="s">
        <v>58</v>
      </c>
      <c r="D9" s="67" t="s">
        <v>52</v>
      </c>
      <c r="F9" s="67" t="s">
        <v>43</v>
      </c>
      <c r="G9" s="67" t="s">
        <v>47</v>
      </c>
      <c r="H9" s="69">
        <v>1500</v>
      </c>
      <c r="I9" s="67" t="s">
        <v>45</v>
      </c>
      <c r="J9" s="70">
        <v>43615</v>
      </c>
    </row>
    <row r="10" spans="1:10">
      <c r="A10" s="51" t="s">
        <v>40</v>
      </c>
      <c r="B10" s="67">
        <v>1</v>
      </c>
      <c r="C10" s="67" t="s">
        <v>59</v>
      </c>
      <c r="D10" s="67" t="s">
        <v>52</v>
      </c>
      <c r="F10" s="67" t="s">
        <v>43</v>
      </c>
      <c r="G10" s="67" t="s">
        <v>44</v>
      </c>
      <c r="H10" s="69">
        <v>1500</v>
      </c>
      <c r="I10" s="67" t="s">
        <v>45</v>
      </c>
      <c r="J10" s="70">
        <v>43615</v>
      </c>
    </row>
    <row r="11" spans="1:10">
      <c r="A11" s="51" t="s">
        <v>40</v>
      </c>
      <c r="B11" s="67">
        <v>1</v>
      </c>
      <c r="C11" s="67" t="s">
        <v>60</v>
      </c>
      <c r="D11" s="67" t="s">
        <v>52</v>
      </c>
      <c r="F11" s="67" t="s">
        <v>43</v>
      </c>
      <c r="G11" s="67" t="s">
        <v>57</v>
      </c>
      <c r="H11" s="69">
        <v>1500</v>
      </c>
      <c r="I11" s="67" t="s">
        <v>45</v>
      </c>
      <c r="J11" s="70">
        <v>43615</v>
      </c>
    </row>
    <row r="12" spans="1:10">
      <c r="A12" s="51" t="s">
        <v>40</v>
      </c>
      <c r="B12" s="67">
        <v>1</v>
      </c>
      <c r="C12" s="67" t="s">
        <v>61</v>
      </c>
      <c r="D12" s="67" t="s">
        <v>52</v>
      </c>
      <c r="E12" s="71">
        <f>SUM(H6:H12)</f>
        <v>10500</v>
      </c>
      <c r="F12" s="67" t="s">
        <v>43</v>
      </c>
      <c r="G12" s="67" t="s">
        <v>44</v>
      </c>
      <c r="H12" s="69">
        <v>1500</v>
      </c>
      <c r="I12" s="67" t="s">
        <v>45</v>
      </c>
      <c r="J12" s="70">
        <v>43615</v>
      </c>
    </row>
    <row r="13" spans="1:10">
      <c r="A13" s="52" t="s">
        <v>40</v>
      </c>
      <c r="B13" s="53">
        <v>2</v>
      </c>
      <c r="C13" s="53" t="s">
        <v>62</v>
      </c>
      <c r="D13" s="53" t="s">
        <v>63</v>
      </c>
      <c r="E13" s="54"/>
      <c r="F13" s="53" t="s">
        <v>53</v>
      </c>
      <c r="G13" s="53" t="s">
        <v>55</v>
      </c>
      <c r="H13" s="55">
        <v>1500</v>
      </c>
      <c r="I13" s="53" t="s">
        <v>45</v>
      </c>
      <c r="J13" s="56">
        <v>43615</v>
      </c>
    </row>
    <row r="14" spans="1:10">
      <c r="A14" s="57" t="s">
        <v>40</v>
      </c>
      <c r="B14" s="58">
        <v>2</v>
      </c>
      <c r="C14" s="58" t="s">
        <v>64</v>
      </c>
      <c r="D14" s="58" t="s">
        <v>63</v>
      </c>
      <c r="E14" s="59"/>
      <c r="F14" s="58" t="s">
        <v>53</v>
      </c>
      <c r="G14" s="58" t="s">
        <v>65</v>
      </c>
      <c r="H14" s="60">
        <v>1500</v>
      </c>
      <c r="I14" s="58" t="s">
        <v>45</v>
      </c>
      <c r="J14" s="61">
        <v>43615</v>
      </c>
    </row>
    <row r="15" spans="1:10">
      <c r="A15" s="57" t="s">
        <v>40</v>
      </c>
      <c r="B15" s="58">
        <v>2</v>
      </c>
      <c r="C15" s="58" t="s">
        <v>66</v>
      </c>
      <c r="D15" s="58" t="s">
        <v>63</v>
      </c>
      <c r="E15" s="59"/>
      <c r="F15" s="58" t="s">
        <v>53</v>
      </c>
      <c r="G15" s="58" t="s">
        <v>55</v>
      </c>
      <c r="H15" s="60">
        <v>1500</v>
      </c>
      <c r="I15" s="58" t="s">
        <v>45</v>
      </c>
      <c r="J15" s="61">
        <v>43615</v>
      </c>
    </row>
    <row r="16" spans="1:10">
      <c r="A16" s="57" t="s">
        <v>40</v>
      </c>
      <c r="B16" s="58">
        <v>2</v>
      </c>
      <c r="C16" s="58" t="s">
        <v>67</v>
      </c>
      <c r="D16" s="58" t="s">
        <v>63</v>
      </c>
      <c r="E16" s="59"/>
      <c r="F16" s="58" t="s">
        <v>53</v>
      </c>
      <c r="G16" s="58" t="s">
        <v>55</v>
      </c>
      <c r="H16" s="60">
        <v>1500</v>
      </c>
      <c r="I16" s="58" t="s">
        <v>45</v>
      </c>
      <c r="J16" s="61">
        <v>43615</v>
      </c>
    </row>
    <row r="17" spans="1:10">
      <c r="A17" s="57" t="s">
        <v>40</v>
      </c>
      <c r="B17" s="58">
        <v>1</v>
      </c>
      <c r="C17" s="58" t="s">
        <v>68</v>
      </c>
      <c r="D17" s="58" t="s">
        <v>63</v>
      </c>
      <c r="E17" s="59"/>
      <c r="F17" s="58" t="s">
        <v>43</v>
      </c>
      <c r="G17" s="58" t="s">
        <v>50</v>
      </c>
      <c r="H17" s="60">
        <v>1500</v>
      </c>
      <c r="I17" s="58" t="s">
        <v>45</v>
      </c>
      <c r="J17" s="61">
        <v>43615</v>
      </c>
    </row>
    <row r="18" spans="1:10">
      <c r="A18" s="57" t="s">
        <v>40</v>
      </c>
      <c r="B18" s="58">
        <v>1</v>
      </c>
      <c r="C18" s="58" t="s">
        <v>69</v>
      </c>
      <c r="D18" s="58" t="s">
        <v>63</v>
      </c>
      <c r="E18" s="59"/>
      <c r="F18" s="58" t="s">
        <v>43</v>
      </c>
      <c r="G18" s="58" t="s">
        <v>47</v>
      </c>
      <c r="H18" s="60">
        <v>1500</v>
      </c>
      <c r="I18" s="58" t="s">
        <v>45</v>
      </c>
      <c r="J18" s="61">
        <v>43615</v>
      </c>
    </row>
    <row r="19" spans="1:10">
      <c r="A19" s="57" t="s">
        <v>40</v>
      </c>
      <c r="B19" s="58">
        <v>1</v>
      </c>
      <c r="C19" s="58" t="s">
        <v>70</v>
      </c>
      <c r="D19" s="58" t="s">
        <v>63</v>
      </c>
      <c r="E19" s="59"/>
      <c r="F19" s="58" t="s">
        <v>43</v>
      </c>
      <c r="G19" s="58" t="s">
        <v>55</v>
      </c>
      <c r="H19" s="60">
        <v>1500</v>
      </c>
      <c r="I19" s="58" t="s">
        <v>45</v>
      </c>
      <c r="J19" s="61">
        <v>43615</v>
      </c>
    </row>
    <row r="20" spans="1:10">
      <c r="A20" s="62" t="s">
        <v>40</v>
      </c>
      <c r="B20" s="63">
        <v>1</v>
      </c>
      <c r="C20" s="63" t="s">
        <v>71</v>
      </c>
      <c r="D20" s="63" t="s">
        <v>63</v>
      </c>
      <c r="E20" s="64">
        <f>SUM(H13:H20)</f>
        <v>12000</v>
      </c>
      <c r="F20" s="63" t="s">
        <v>43</v>
      </c>
      <c r="G20" s="63" t="s">
        <v>47</v>
      </c>
      <c r="H20" s="65">
        <v>1500</v>
      </c>
      <c r="I20" s="63" t="s">
        <v>45</v>
      </c>
      <c r="J20" s="66">
        <v>43615</v>
      </c>
    </row>
    <row r="21" spans="1:10">
      <c r="A21" s="51" t="s">
        <v>40</v>
      </c>
      <c r="B21" s="67">
        <v>2</v>
      </c>
      <c r="C21" s="67" t="s">
        <v>72</v>
      </c>
      <c r="D21" s="67" t="s">
        <v>73</v>
      </c>
      <c r="F21" s="67" t="s">
        <v>53</v>
      </c>
      <c r="G21" s="67" t="s">
        <v>55</v>
      </c>
      <c r="H21" s="69">
        <v>1500</v>
      </c>
      <c r="I21" s="67" t="s">
        <v>45</v>
      </c>
      <c r="J21" s="70">
        <v>43615</v>
      </c>
    </row>
    <row r="22" spans="1:10">
      <c r="A22" s="51" t="s">
        <v>40</v>
      </c>
      <c r="B22" s="67">
        <v>2</v>
      </c>
      <c r="C22" s="67" t="s">
        <v>74</v>
      </c>
      <c r="D22" s="67" t="s">
        <v>73</v>
      </c>
      <c r="F22" s="67" t="s">
        <v>53</v>
      </c>
      <c r="G22" s="67" t="s">
        <v>50</v>
      </c>
      <c r="H22" s="69">
        <v>1500</v>
      </c>
      <c r="I22" s="67" t="s">
        <v>45</v>
      </c>
      <c r="J22" s="70">
        <v>43615</v>
      </c>
    </row>
    <row r="23" spans="1:10">
      <c r="A23" s="51" t="s">
        <v>40</v>
      </c>
      <c r="B23" s="67">
        <v>2</v>
      </c>
      <c r="C23" s="67" t="s">
        <v>75</v>
      </c>
      <c r="D23" s="67" t="s">
        <v>73</v>
      </c>
      <c r="F23" s="67" t="s">
        <v>53</v>
      </c>
      <c r="G23" s="67" t="s">
        <v>55</v>
      </c>
      <c r="H23" s="69">
        <v>1500</v>
      </c>
      <c r="I23" s="67" t="s">
        <v>45</v>
      </c>
      <c r="J23" s="70">
        <v>43615</v>
      </c>
    </row>
    <row r="24" spans="1:10">
      <c r="A24" s="51" t="s">
        <v>40</v>
      </c>
      <c r="B24" s="67">
        <v>1</v>
      </c>
      <c r="C24" s="67" t="s">
        <v>76</v>
      </c>
      <c r="D24" s="67" t="s">
        <v>73</v>
      </c>
      <c r="F24" s="67" t="s">
        <v>43</v>
      </c>
      <c r="G24" s="67" t="s">
        <v>77</v>
      </c>
      <c r="H24" s="69">
        <v>1500</v>
      </c>
      <c r="I24" s="67" t="s">
        <v>45</v>
      </c>
      <c r="J24" s="70">
        <v>43615</v>
      </c>
    </row>
    <row r="25" spans="1:10">
      <c r="A25" s="51" t="s">
        <v>40</v>
      </c>
      <c r="B25" s="67">
        <v>1</v>
      </c>
      <c r="C25" s="67" t="s">
        <v>78</v>
      </c>
      <c r="D25" s="67" t="s">
        <v>73</v>
      </c>
      <c r="F25" s="67" t="s">
        <v>43</v>
      </c>
      <c r="G25" s="67" t="s">
        <v>65</v>
      </c>
      <c r="H25" s="69">
        <v>1500</v>
      </c>
      <c r="I25" s="67" t="s">
        <v>45</v>
      </c>
      <c r="J25" s="70">
        <v>43615</v>
      </c>
    </row>
    <row r="26" spans="1:10">
      <c r="A26" s="51" t="s">
        <v>40</v>
      </c>
      <c r="B26" s="67">
        <v>1</v>
      </c>
      <c r="C26" s="67" t="s">
        <v>79</v>
      </c>
      <c r="D26" s="67" t="s">
        <v>73</v>
      </c>
      <c r="F26" s="67" t="s">
        <v>43</v>
      </c>
      <c r="G26" s="67" t="s">
        <v>77</v>
      </c>
      <c r="H26" s="69">
        <v>1500</v>
      </c>
      <c r="I26" s="67" t="s">
        <v>45</v>
      </c>
      <c r="J26" s="70">
        <v>43615</v>
      </c>
    </row>
    <row r="27" spans="1:10">
      <c r="A27" s="51" t="s">
        <v>40</v>
      </c>
      <c r="B27" s="67">
        <v>1</v>
      </c>
      <c r="C27" s="67" t="s">
        <v>80</v>
      </c>
      <c r="D27" s="67" t="s">
        <v>73</v>
      </c>
      <c r="E27" s="71">
        <f>SUM(H21:H27)</f>
        <v>10500</v>
      </c>
      <c r="F27" s="67" t="s">
        <v>43</v>
      </c>
      <c r="G27" s="67" t="s">
        <v>50</v>
      </c>
      <c r="H27" s="69">
        <v>1500</v>
      </c>
      <c r="I27" s="67" t="s">
        <v>45</v>
      </c>
      <c r="J27" s="70">
        <v>43615</v>
      </c>
    </row>
    <row r="28" spans="1:10">
      <c r="A28" s="52" t="s">
        <v>40</v>
      </c>
      <c r="B28" s="53">
        <v>2</v>
      </c>
      <c r="C28" s="53" t="s">
        <v>81</v>
      </c>
      <c r="D28" s="53" t="s">
        <v>82</v>
      </c>
      <c r="E28" s="54"/>
      <c r="F28" s="53" t="s">
        <v>53</v>
      </c>
      <c r="G28" s="53" t="s">
        <v>77</v>
      </c>
      <c r="H28" s="55">
        <v>1500</v>
      </c>
      <c r="I28" s="53" t="s">
        <v>45</v>
      </c>
      <c r="J28" s="56">
        <v>43615</v>
      </c>
    </row>
    <row r="29" spans="1:10">
      <c r="A29" s="57" t="s">
        <v>40</v>
      </c>
      <c r="B29" s="58">
        <v>2</v>
      </c>
      <c r="C29" s="58" t="s">
        <v>83</v>
      </c>
      <c r="D29" s="58" t="s">
        <v>82</v>
      </c>
      <c r="E29" s="59"/>
      <c r="F29" s="58" t="s">
        <v>53</v>
      </c>
      <c r="G29" s="58" t="s">
        <v>50</v>
      </c>
      <c r="H29" s="60">
        <v>1500</v>
      </c>
      <c r="I29" s="58" t="s">
        <v>45</v>
      </c>
      <c r="J29" s="61">
        <v>43615</v>
      </c>
    </row>
    <row r="30" spans="1:10">
      <c r="A30" s="57" t="s">
        <v>40</v>
      </c>
      <c r="B30" s="58">
        <v>1</v>
      </c>
      <c r="C30" s="58" t="s">
        <v>84</v>
      </c>
      <c r="D30" s="58" t="s">
        <v>82</v>
      </c>
      <c r="E30" s="59"/>
      <c r="F30" s="58" t="s">
        <v>43</v>
      </c>
      <c r="G30" s="58" t="s">
        <v>50</v>
      </c>
      <c r="H30" s="60">
        <v>1500</v>
      </c>
      <c r="I30" s="58" t="s">
        <v>45</v>
      </c>
      <c r="J30" s="61">
        <v>43615</v>
      </c>
    </row>
    <row r="31" spans="1:10">
      <c r="A31" s="62" t="s">
        <v>40</v>
      </c>
      <c r="B31" s="63">
        <v>1</v>
      </c>
      <c r="C31" s="63" t="s">
        <v>85</v>
      </c>
      <c r="D31" s="63" t="s">
        <v>82</v>
      </c>
      <c r="E31" s="64">
        <f>SUM(H28:H31)</f>
        <v>6000</v>
      </c>
      <c r="F31" s="63" t="s">
        <v>43</v>
      </c>
      <c r="G31" s="63" t="s">
        <v>77</v>
      </c>
      <c r="H31" s="65">
        <v>1500</v>
      </c>
      <c r="I31" s="63" t="s">
        <v>45</v>
      </c>
      <c r="J31" s="66">
        <v>43615</v>
      </c>
    </row>
    <row r="32" spans="1:10">
      <c r="A32" s="51" t="s">
        <v>40</v>
      </c>
      <c r="B32" s="67">
        <v>2</v>
      </c>
      <c r="C32" s="67" t="s">
        <v>86</v>
      </c>
      <c r="D32" s="67" t="s">
        <v>87</v>
      </c>
      <c r="F32" s="67" t="s">
        <v>53</v>
      </c>
      <c r="G32" s="67" t="s">
        <v>57</v>
      </c>
      <c r="H32" s="69">
        <v>1500</v>
      </c>
      <c r="I32" s="67" t="s">
        <v>45</v>
      </c>
      <c r="J32" s="70">
        <v>43615</v>
      </c>
    </row>
    <row r="33" spans="1:10">
      <c r="A33" s="51" t="s">
        <v>40</v>
      </c>
      <c r="B33" s="67">
        <v>2</v>
      </c>
      <c r="C33" s="67" t="s">
        <v>88</v>
      </c>
      <c r="D33" s="67" t="s">
        <v>87</v>
      </c>
      <c r="F33" s="67" t="s">
        <v>53</v>
      </c>
      <c r="G33" s="67" t="s">
        <v>50</v>
      </c>
      <c r="H33" s="69">
        <v>1500</v>
      </c>
      <c r="I33" s="67" t="s">
        <v>45</v>
      </c>
      <c r="J33" s="70">
        <v>43615</v>
      </c>
    </row>
    <row r="34" spans="1:10">
      <c r="A34" s="51" t="s">
        <v>40</v>
      </c>
      <c r="B34" s="67">
        <v>2</v>
      </c>
      <c r="C34" s="67" t="s">
        <v>89</v>
      </c>
      <c r="D34" s="67" t="s">
        <v>87</v>
      </c>
      <c r="F34" s="67" t="s">
        <v>53</v>
      </c>
      <c r="G34" s="67" t="s">
        <v>57</v>
      </c>
      <c r="H34" s="69">
        <v>1500</v>
      </c>
      <c r="I34" s="67" t="s">
        <v>45</v>
      </c>
      <c r="J34" s="70">
        <v>43615</v>
      </c>
    </row>
    <row r="35" spans="1:10">
      <c r="A35" s="51" t="s">
        <v>40</v>
      </c>
      <c r="B35" s="67">
        <v>1</v>
      </c>
      <c r="C35" s="67" t="s">
        <v>90</v>
      </c>
      <c r="D35" s="67" t="s">
        <v>87</v>
      </c>
      <c r="E35" s="71">
        <f>SUM(H32:H35)</f>
        <v>6000</v>
      </c>
      <c r="F35" s="67" t="s">
        <v>43</v>
      </c>
      <c r="G35" s="67" t="s">
        <v>77</v>
      </c>
      <c r="H35" s="69">
        <v>1500</v>
      </c>
      <c r="I35" s="67" t="s">
        <v>45</v>
      </c>
      <c r="J35" s="70">
        <v>43615</v>
      </c>
    </row>
    <row r="36" spans="1:10">
      <c r="A36" s="52" t="s">
        <v>40</v>
      </c>
      <c r="B36" s="53">
        <v>2</v>
      </c>
      <c r="C36" s="53" t="s">
        <v>91</v>
      </c>
      <c r="D36" s="53" t="s">
        <v>92</v>
      </c>
      <c r="E36" s="54"/>
      <c r="F36" s="53" t="s">
        <v>53</v>
      </c>
      <c r="G36" s="53" t="s">
        <v>50</v>
      </c>
      <c r="H36" s="55">
        <v>1500</v>
      </c>
      <c r="I36" s="53" t="s">
        <v>45</v>
      </c>
      <c r="J36" s="56">
        <v>43615</v>
      </c>
    </row>
    <row r="37" spans="1:10">
      <c r="A37" s="57" t="s">
        <v>40</v>
      </c>
      <c r="B37" s="58">
        <v>2</v>
      </c>
      <c r="C37" s="58" t="s">
        <v>93</v>
      </c>
      <c r="D37" s="58" t="s">
        <v>92</v>
      </c>
      <c r="E37" s="59"/>
      <c r="F37" s="58" t="s">
        <v>53</v>
      </c>
      <c r="G37" s="58" t="s">
        <v>50</v>
      </c>
      <c r="H37" s="60">
        <v>1500</v>
      </c>
      <c r="I37" s="58" t="s">
        <v>45</v>
      </c>
      <c r="J37" s="61">
        <v>43615</v>
      </c>
    </row>
    <row r="38" spans="1:10">
      <c r="A38" s="57" t="s">
        <v>40</v>
      </c>
      <c r="B38" s="58">
        <v>2</v>
      </c>
      <c r="C38" s="58" t="s">
        <v>94</v>
      </c>
      <c r="D38" s="58" t="s">
        <v>92</v>
      </c>
      <c r="E38" s="59"/>
      <c r="F38" s="58" t="s">
        <v>53</v>
      </c>
      <c r="G38" s="58" t="s">
        <v>77</v>
      </c>
      <c r="H38" s="60">
        <v>1500</v>
      </c>
      <c r="I38" s="58" t="s">
        <v>45</v>
      </c>
      <c r="J38" s="61">
        <v>43615</v>
      </c>
    </row>
    <row r="39" spans="1:10">
      <c r="A39" s="57" t="s">
        <v>40</v>
      </c>
      <c r="B39" s="58">
        <v>2</v>
      </c>
      <c r="C39" s="58" t="s">
        <v>95</v>
      </c>
      <c r="D39" s="58" t="s">
        <v>92</v>
      </c>
      <c r="E39" s="59"/>
      <c r="F39" s="58" t="s">
        <v>53</v>
      </c>
      <c r="G39" s="58" t="s">
        <v>77</v>
      </c>
      <c r="H39" s="60">
        <v>1500</v>
      </c>
      <c r="I39" s="58" t="s">
        <v>45</v>
      </c>
      <c r="J39" s="61">
        <v>43615</v>
      </c>
    </row>
    <row r="40" spans="1:10">
      <c r="A40" s="57" t="s">
        <v>40</v>
      </c>
      <c r="B40" s="58">
        <v>1</v>
      </c>
      <c r="C40" s="58" t="s">
        <v>96</v>
      </c>
      <c r="D40" s="58" t="s">
        <v>92</v>
      </c>
      <c r="E40" s="59"/>
      <c r="F40" s="58" t="s">
        <v>43</v>
      </c>
      <c r="G40" s="58" t="s">
        <v>65</v>
      </c>
      <c r="H40" s="60">
        <v>1500</v>
      </c>
      <c r="I40" s="58" t="s">
        <v>45</v>
      </c>
      <c r="J40" s="61">
        <v>43615</v>
      </c>
    </row>
    <row r="41" spans="1:10">
      <c r="A41" s="57" t="s">
        <v>40</v>
      </c>
      <c r="B41" s="58">
        <v>1</v>
      </c>
      <c r="C41" s="58" t="s">
        <v>97</v>
      </c>
      <c r="D41" s="58" t="s">
        <v>92</v>
      </c>
      <c r="E41" s="59"/>
      <c r="F41" s="58" t="s">
        <v>43</v>
      </c>
      <c r="G41" s="58" t="s">
        <v>55</v>
      </c>
      <c r="H41" s="60">
        <v>1500</v>
      </c>
      <c r="I41" s="58" t="s">
        <v>45</v>
      </c>
      <c r="J41" s="61">
        <v>43615</v>
      </c>
    </row>
    <row r="42" spans="1:10">
      <c r="A42" s="57" t="s">
        <v>40</v>
      </c>
      <c r="B42" s="58">
        <v>1</v>
      </c>
      <c r="C42" s="58" t="s">
        <v>98</v>
      </c>
      <c r="D42" s="58" t="s">
        <v>92</v>
      </c>
      <c r="E42" s="59"/>
      <c r="F42" s="58" t="s">
        <v>43</v>
      </c>
      <c r="G42" s="58" t="s">
        <v>50</v>
      </c>
      <c r="H42" s="60">
        <v>1500</v>
      </c>
      <c r="I42" s="58" t="s">
        <v>45</v>
      </c>
      <c r="J42" s="61">
        <v>43615</v>
      </c>
    </row>
    <row r="43" spans="1:10">
      <c r="A43" s="57" t="s">
        <v>40</v>
      </c>
      <c r="B43" s="58">
        <v>1</v>
      </c>
      <c r="C43" s="58" t="s">
        <v>99</v>
      </c>
      <c r="D43" s="58" t="s">
        <v>92</v>
      </c>
      <c r="E43" s="59"/>
      <c r="F43" s="58" t="s">
        <v>43</v>
      </c>
      <c r="G43" s="58" t="s">
        <v>77</v>
      </c>
      <c r="H43" s="60">
        <v>1500</v>
      </c>
      <c r="I43" s="58" t="s">
        <v>45</v>
      </c>
      <c r="J43" s="61">
        <v>43615</v>
      </c>
    </row>
    <row r="44" spans="1:10">
      <c r="A44" s="57" t="s">
        <v>40</v>
      </c>
      <c r="B44" s="58">
        <v>1</v>
      </c>
      <c r="C44" s="58" t="s">
        <v>100</v>
      </c>
      <c r="D44" s="58" t="s">
        <v>92</v>
      </c>
      <c r="E44" s="59"/>
      <c r="F44" s="58" t="s">
        <v>43</v>
      </c>
      <c r="G44" s="58" t="s">
        <v>77</v>
      </c>
      <c r="H44" s="60">
        <v>1500</v>
      </c>
      <c r="I44" s="58" t="s">
        <v>45</v>
      </c>
      <c r="J44" s="61">
        <v>43615</v>
      </c>
    </row>
    <row r="45" spans="1:10">
      <c r="A45" s="57" t="s">
        <v>40</v>
      </c>
      <c r="B45" s="58">
        <v>1</v>
      </c>
      <c r="C45" s="58" t="s">
        <v>101</v>
      </c>
      <c r="D45" s="58" t="s">
        <v>92</v>
      </c>
      <c r="E45" s="59"/>
      <c r="F45" s="58" t="s">
        <v>43</v>
      </c>
      <c r="G45" s="58" t="s">
        <v>44</v>
      </c>
      <c r="H45" s="60">
        <v>1500</v>
      </c>
      <c r="I45" s="58" t="s">
        <v>45</v>
      </c>
      <c r="J45" s="61">
        <v>43615</v>
      </c>
    </row>
    <row r="46" spans="1:10">
      <c r="A46" s="62" t="s">
        <v>40</v>
      </c>
      <c r="B46" s="63">
        <v>1</v>
      </c>
      <c r="C46" s="63" t="s">
        <v>102</v>
      </c>
      <c r="D46" s="63" t="s">
        <v>92</v>
      </c>
      <c r="E46" s="64">
        <f>SUM(H36:H46)</f>
        <v>16500</v>
      </c>
      <c r="F46" s="63" t="s">
        <v>43</v>
      </c>
      <c r="G46" s="63" t="s">
        <v>77</v>
      </c>
      <c r="H46" s="65">
        <v>1500</v>
      </c>
      <c r="I46" s="63" t="s">
        <v>45</v>
      </c>
      <c r="J46" s="66">
        <v>43615</v>
      </c>
    </row>
    <row r="47" spans="1:10">
      <c r="A47" s="51" t="s">
        <v>40</v>
      </c>
      <c r="B47" s="67">
        <v>2</v>
      </c>
      <c r="C47" s="67" t="s">
        <v>103</v>
      </c>
      <c r="D47" s="67" t="s">
        <v>104</v>
      </c>
      <c r="F47" s="67" t="s">
        <v>53</v>
      </c>
      <c r="G47" s="67" t="s">
        <v>57</v>
      </c>
      <c r="H47" s="69">
        <v>1500</v>
      </c>
      <c r="I47" s="67" t="s">
        <v>45</v>
      </c>
      <c r="J47" s="70">
        <v>43615</v>
      </c>
    </row>
    <row r="48" spans="1:10">
      <c r="A48" s="51" t="s">
        <v>40</v>
      </c>
      <c r="B48" s="67">
        <v>2</v>
      </c>
      <c r="C48" s="67" t="s">
        <v>105</v>
      </c>
      <c r="D48" s="67" t="s">
        <v>104</v>
      </c>
      <c r="F48" s="67" t="s">
        <v>53</v>
      </c>
      <c r="G48" s="67" t="s">
        <v>57</v>
      </c>
      <c r="H48" s="69">
        <v>1500</v>
      </c>
      <c r="I48" s="67" t="s">
        <v>45</v>
      </c>
      <c r="J48" s="70">
        <v>43615</v>
      </c>
    </row>
    <row r="49" spans="1:10">
      <c r="A49" s="51" t="s">
        <v>40</v>
      </c>
      <c r="B49" s="67">
        <v>2</v>
      </c>
      <c r="C49" s="67" t="s">
        <v>106</v>
      </c>
      <c r="D49" s="67" t="s">
        <v>104</v>
      </c>
      <c r="F49" s="67" t="s">
        <v>53</v>
      </c>
      <c r="G49" s="67" t="s">
        <v>57</v>
      </c>
      <c r="H49" s="69">
        <v>1500</v>
      </c>
      <c r="I49" s="67" t="s">
        <v>45</v>
      </c>
      <c r="J49" s="70">
        <v>43615</v>
      </c>
    </row>
    <row r="50" spans="1:10">
      <c r="A50" s="51" t="s">
        <v>40</v>
      </c>
      <c r="B50" s="67">
        <v>1</v>
      </c>
      <c r="C50" s="67" t="s">
        <v>107</v>
      </c>
      <c r="D50" s="67" t="s">
        <v>104</v>
      </c>
      <c r="F50" s="67" t="s">
        <v>43</v>
      </c>
      <c r="G50" s="67" t="s">
        <v>50</v>
      </c>
      <c r="H50" s="69">
        <v>1500</v>
      </c>
      <c r="I50" s="67" t="s">
        <v>45</v>
      </c>
      <c r="J50" s="70">
        <v>43615</v>
      </c>
    </row>
    <row r="51" spans="1:10">
      <c r="A51" s="51" t="s">
        <v>40</v>
      </c>
      <c r="B51" s="67">
        <v>1</v>
      </c>
      <c r="C51" s="67" t="s">
        <v>108</v>
      </c>
      <c r="D51" s="67" t="s">
        <v>104</v>
      </c>
      <c r="F51" s="67" t="s">
        <v>43</v>
      </c>
      <c r="G51" s="67" t="s">
        <v>77</v>
      </c>
      <c r="H51" s="69">
        <v>1500</v>
      </c>
      <c r="I51" s="67" t="s">
        <v>45</v>
      </c>
      <c r="J51" s="70">
        <v>43615</v>
      </c>
    </row>
    <row r="52" spans="1:10">
      <c r="A52" s="51" t="s">
        <v>40</v>
      </c>
      <c r="B52" s="67">
        <v>1</v>
      </c>
      <c r="C52" s="67" t="s">
        <v>109</v>
      </c>
      <c r="D52" s="67" t="s">
        <v>104</v>
      </c>
      <c r="F52" s="67" t="s">
        <v>43</v>
      </c>
      <c r="G52" s="67" t="s">
        <v>77</v>
      </c>
      <c r="H52" s="69">
        <v>1500</v>
      </c>
      <c r="I52" s="67" t="s">
        <v>45</v>
      </c>
      <c r="J52" s="70">
        <v>43615</v>
      </c>
    </row>
    <row r="53" spans="1:10">
      <c r="A53" s="51" t="s">
        <v>40</v>
      </c>
      <c r="B53" s="67">
        <v>1</v>
      </c>
      <c r="C53" s="67" t="s">
        <v>110</v>
      </c>
      <c r="D53" s="67" t="s">
        <v>104</v>
      </c>
      <c r="F53" s="67" t="s">
        <v>43</v>
      </c>
      <c r="G53" s="67" t="s">
        <v>50</v>
      </c>
      <c r="H53" s="69">
        <v>1500</v>
      </c>
      <c r="I53" s="67" t="s">
        <v>45</v>
      </c>
      <c r="J53" s="70">
        <v>43615</v>
      </c>
    </row>
    <row r="54" spans="1:10">
      <c r="A54" s="51" t="s">
        <v>40</v>
      </c>
      <c r="B54" s="67">
        <v>1</v>
      </c>
      <c r="C54" s="67" t="s">
        <v>111</v>
      </c>
      <c r="D54" s="67" t="s">
        <v>104</v>
      </c>
      <c r="F54" s="67" t="s">
        <v>43</v>
      </c>
      <c r="G54" s="67" t="s">
        <v>50</v>
      </c>
      <c r="H54" s="69">
        <v>1500</v>
      </c>
      <c r="I54" s="67" t="s">
        <v>45</v>
      </c>
      <c r="J54" s="70">
        <v>43615</v>
      </c>
    </row>
    <row r="55" spans="1:10">
      <c r="A55" s="51" t="s">
        <v>40</v>
      </c>
      <c r="B55" s="67">
        <v>1</v>
      </c>
      <c r="C55" s="67" t="s">
        <v>112</v>
      </c>
      <c r="D55" s="67" t="s">
        <v>104</v>
      </c>
      <c r="F55" s="67" t="s">
        <v>43</v>
      </c>
      <c r="G55" s="67" t="s">
        <v>47</v>
      </c>
      <c r="H55" s="69">
        <v>1500</v>
      </c>
      <c r="I55" s="67" t="s">
        <v>45</v>
      </c>
      <c r="J55" s="70">
        <v>43615</v>
      </c>
    </row>
    <row r="56" spans="1:10">
      <c r="A56" s="51" t="s">
        <v>40</v>
      </c>
      <c r="B56" s="67">
        <v>2</v>
      </c>
      <c r="C56" s="67" t="s">
        <v>113</v>
      </c>
      <c r="D56" s="67" t="s">
        <v>104</v>
      </c>
      <c r="E56" s="71">
        <f>SUM(H47:H56)</f>
        <v>15000</v>
      </c>
      <c r="F56" s="67" t="s">
        <v>43</v>
      </c>
      <c r="G56" s="67" t="s">
        <v>57</v>
      </c>
      <c r="H56" s="69">
        <v>1500</v>
      </c>
      <c r="I56" s="67" t="s">
        <v>45</v>
      </c>
      <c r="J56" s="70">
        <v>43615</v>
      </c>
    </row>
    <row r="57" spans="1:10">
      <c r="A57" s="52" t="s">
        <v>40</v>
      </c>
      <c r="B57" s="53">
        <v>2</v>
      </c>
      <c r="C57" s="53" t="s">
        <v>114</v>
      </c>
      <c r="D57" s="53" t="s">
        <v>115</v>
      </c>
      <c r="E57" s="54"/>
      <c r="F57" s="53" t="s">
        <v>53</v>
      </c>
      <c r="G57" s="53" t="s">
        <v>116</v>
      </c>
      <c r="H57" s="55">
        <v>1500</v>
      </c>
      <c r="I57" s="53" t="s">
        <v>45</v>
      </c>
      <c r="J57" s="56">
        <v>43615</v>
      </c>
    </row>
    <row r="58" spans="1:10">
      <c r="A58" s="57" t="s">
        <v>40</v>
      </c>
      <c r="B58" s="58">
        <v>2</v>
      </c>
      <c r="C58" s="58" t="s">
        <v>117</v>
      </c>
      <c r="D58" s="58" t="s">
        <v>115</v>
      </c>
      <c r="E58" s="59"/>
      <c r="F58" s="58" t="s">
        <v>53</v>
      </c>
      <c r="G58" s="58" t="s">
        <v>77</v>
      </c>
      <c r="H58" s="60">
        <v>1500</v>
      </c>
      <c r="I58" s="58" t="s">
        <v>45</v>
      </c>
      <c r="J58" s="61">
        <v>43615</v>
      </c>
    </row>
    <row r="59" spans="1:10">
      <c r="A59" s="57" t="s">
        <v>40</v>
      </c>
      <c r="B59" s="58">
        <v>2</v>
      </c>
      <c r="C59" s="58" t="s">
        <v>118</v>
      </c>
      <c r="D59" s="58" t="s">
        <v>115</v>
      </c>
      <c r="E59" s="59"/>
      <c r="F59" s="58" t="s">
        <v>53</v>
      </c>
      <c r="G59" s="58" t="s">
        <v>50</v>
      </c>
      <c r="H59" s="60">
        <v>1500</v>
      </c>
      <c r="I59" s="58" t="s">
        <v>45</v>
      </c>
      <c r="J59" s="61">
        <v>43615</v>
      </c>
    </row>
    <row r="60" spans="1:10">
      <c r="A60" s="57" t="s">
        <v>40</v>
      </c>
      <c r="B60" s="58">
        <v>2</v>
      </c>
      <c r="C60" s="58" t="s">
        <v>119</v>
      </c>
      <c r="D60" s="58" t="s">
        <v>115</v>
      </c>
      <c r="E60" s="59"/>
      <c r="F60" s="58" t="s">
        <v>53</v>
      </c>
      <c r="G60" s="58" t="s">
        <v>50</v>
      </c>
      <c r="H60" s="60">
        <v>1500</v>
      </c>
      <c r="I60" s="58" t="s">
        <v>45</v>
      </c>
      <c r="J60" s="61">
        <v>43615</v>
      </c>
    </row>
    <row r="61" spans="1:10">
      <c r="A61" s="57" t="s">
        <v>40</v>
      </c>
      <c r="B61" s="58">
        <v>2</v>
      </c>
      <c r="C61" s="58" t="s">
        <v>120</v>
      </c>
      <c r="D61" s="58" t="s">
        <v>115</v>
      </c>
      <c r="E61" s="59"/>
      <c r="F61" s="58" t="s">
        <v>53</v>
      </c>
      <c r="G61" s="58" t="s">
        <v>50</v>
      </c>
      <c r="H61" s="60">
        <v>1500</v>
      </c>
      <c r="I61" s="58" t="s">
        <v>45</v>
      </c>
      <c r="J61" s="61">
        <v>43615</v>
      </c>
    </row>
    <row r="62" spans="1:10">
      <c r="A62" s="57" t="s">
        <v>40</v>
      </c>
      <c r="B62" s="58">
        <v>2</v>
      </c>
      <c r="C62" s="58" t="s">
        <v>121</v>
      </c>
      <c r="D62" s="58" t="s">
        <v>115</v>
      </c>
      <c r="E62" s="59"/>
      <c r="F62" s="58" t="s">
        <v>53</v>
      </c>
      <c r="G62" s="58" t="s">
        <v>57</v>
      </c>
      <c r="H62" s="60">
        <v>1500</v>
      </c>
      <c r="I62" s="58" t="s">
        <v>45</v>
      </c>
      <c r="J62" s="61">
        <v>43615</v>
      </c>
    </row>
    <row r="63" spans="1:10">
      <c r="A63" s="57" t="s">
        <v>40</v>
      </c>
      <c r="B63" s="58">
        <v>2</v>
      </c>
      <c r="C63" s="58" t="s">
        <v>122</v>
      </c>
      <c r="D63" s="58" t="s">
        <v>115</v>
      </c>
      <c r="E63" s="59"/>
      <c r="F63" s="58" t="s">
        <v>53</v>
      </c>
      <c r="G63" s="58" t="s">
        <v>123</v>
      </c>
      <c r="H63" s="60">
        <v>1500</v>
      </c>
      <c r="I63" s="58" t="s">
        <v>45</v>
      </c>
      <c r="J63" s="61">
        <v>43615</v>
      </c>
    </row>
    <row r="64" spans="1:10">
      <c r="A64" s="57" t="s">
        <v>40</v>
      </c>
      <c r="B64" s="58">
        <v>1</v>
      </c>
      <c r="C64" s="58" t="s">
        <v>124</v>
      </c>
      <c r="D64" s="58" t="s">
        <v>115</v>
      </c>
      <c r="E64" s="59"/>
      <c r="F64" s="58" t="s">
        <v>43</v>
      </c>
      <c r="G64" s="58" t="s">
        <v>55</v>
      </c>
      <c r="H64" s="60">
        <v>1500</v>
      </c>
      <c r="I64" s="58" t="s">
        <v>45</v>
      </c>
      <c r="J64" s="61">
        <v>43615</v>
      </c>
    </row>
    <row r="65" spans="1:10">
      <c r="A65" s="57" t="s">
        <v>40</v>
      </c>
      <c r="B65" s="58">
        <v>1</v>
      </c>
      <c r="C65" s="58" t="s">
        <v>125</v>
      </c>
      <c r="D65" s="58" t="s">
        <v>115</v>
      </c>
      <c r="E65" s="59"/>
      <c r="F65" s="58" t="s">
        <v>43</v>
      </c>
      <c r="G65" s="58" t="s">
        <v>47</v>
      </c>
      <c r="H65" s="60">
        <v>1500</v>
      </c>
      <c r="I65" s="58" t="s">
        <v>45</v>
      </c>
      <c r="J65" s="61">
        <v>43615</v>
      </c>
    </row>
    <row r="66" spans="1:10">
      <c r="A66" s="57" t="s">
        <v>40</v>
      </c>
      <c r="B66" s="58">
        <v>1</v>
      </c>
      <c r="C66" s="58" t="s">
        <v>126</v>
      </c>
      <c r="D66" s="58" t="s">
        <v>115</v>
      </c>
      <c r="E66" s="59"/>
      <c r="F66" s="58" t="s">
        <v>43</v>
      </c>
      <c r="G66" s="58" t="s">
        <v>47</v>
      </c>
      <c r="H66" s="60">
        <v>1500</v>
      </c>
      <c r="I66" s="58" t="s">
        <v>45</v>
      </c>
      <c r="J66" s="61">
        <v>43615</v>
      </c>
    </row>
    <row r="67" spans="1:10">
      <c r="A67" s="57" t="s">
        <v>40</v>
      </c>
      <c r="B67" s="58">
        <v>1</v>
      </c>
      <c r="C67" s="58" t="s">
        <v>127</v>
      </c>
      <c r="D67" s="58" t="s">
        <v>115</v>
      </c>
      <c r="E67" s="59"/>
      <c r="F67" s="58" t="s">
        <v>43</v>
      </c>
      <c r="G67" s="58" t="s">
        <v>47</v>
      </c>
      <c r="H67" s="60">
        <v>1500</v>
      </c>
      <c r="I67" s="58" t="s">
        <v>45</v>
      </c>
      <c r="J67" s="61">
        <v>43615</v>
      </c>
    </row>
    <row r="68" spans="1:10">
      <c r="A68" s="57" t="s">
        <v>40</v>
      </c>
      <c r="B68" s="58">
        <v>1</v>
      </c>
      <c r="C68" s="58" t="s">
        <v>128</v>
      </c>
      <c r="D68" s="58" t="s">
        <v>115</v>
      </c>
      <c r="E68" s="59"/>
      <c r="F68" s="58" t="s">
        <v>43</v>
      </c>
      <c r="G68" s="58" t="s">
        <v>77</v>
      </c>
      <c r="H68" s="60">
        <v>1500</v>
      </c>
      <c r="I68" s="58" t="s">
        <v>45</v>
      </c>
      <c r="J68" s="61">
        <v>43615</v>
      </c>
    </row>
    <row r="69" spans="1:10">
      <c r="A69" s="57" t="s">
        <v>40</v>
      </c>
      <c r="B69" s="58">
        <v>1</v>
      </c>
      <c r="C69" s="58" t="s">
        <v>129</v>
      </c>
      <c r="D69" s="58" t="s">
        <v>115</v>
      </c>
      <c r="E69" s="59"/>
      <c r="F69" s="58" t="s">
        <v>43</v>
      </c>
      <c r="G69" s="58" t="s">
        <v>77</v>
      </c>
      <c r="H69" s="60">
        <v>1500</v>
      </c>
      <c r="I69" s="58" t="s">
        <v>45</v>
      </c>
      <c r="J69" s="61">
        <v>43615</v>
      </c>
    </row>
    <row r="70" spans="1:10">
      <c r="A70" s="57" t="s">
        <v>40</v>
      </c>
      <c r="B70" s="58">
        <v>1</v>
      </c>
      <c r="C70" s="58" t="s">
        <v>130</v>
      </c>
      <c r="D70" s="58" t="s">
        <v>115</v>
      </c>
      <c r="E70" s="59"/>
      <c r="F70" s="58" t="s">
        <v>43</v>
      </c>
      <c r="G70" s="58" t="s">
        <v>47</v>
      </c>
      <c r="H70" s="60">
        <v>1500</v>
      </c>
      <c r="I70" s="58" t="s">
        <v>45</v>
      </c>
      <c r="J70" s="61">
        <v>43615</v>
      </c>
    </row>
    <row r="71" spans="1:10">
      <c r="A71" s="62" t="s">
        <v>40</v>
      </c>
      <c r="B71" s="63">
        <v>1</v>
      </c>
      <c r="C71" s="63" t="s">
        <v>131</v>
      </c>
      <c r="D71" s="63" t="s">
        <v>115</v>
      </c>
      <c r="E71" s="64">
        <f>SUM(H57:H71)</f>
        <v>22500</v>
      </c>
      <c r="F71" s="63" t="s">
        <v>43</v>
      </c>
      <c r="G71" s="63" t="s">
        <v>77</v>
      </c>
      <c r="H71" s="65">
        <v>1500</v>
      </c>
      <c r="I71" s="63" t="s">
        <v>45</v>
      </c>
      <c r="J71" s="66">
        <v>43615</v>
      </c>
    </row>
    <row r="72" spans="1:10">
      <c r="A72" s="51" t="s">
        <v>40</v>
      </c>
      <c r="B72" s="67">
        <v>2</v>
      </c>
      <c r="C72" s="67" t="s">
        <v>132</v>
      </c>
      <c r="D72" s="67" t="s">
        <v>133</v>
      </c>
      <c r="F72" s="67" t="s">
        <v>53</v>
      </c>
      <c r="G72" s="67" t="s">
        <v>77</v>
      </c>
      <c r="H72" s="69">
        <v>1500</v>
      </c>
      <c r="I72" s="67" t="s">
        <v>45</v>
      </c>
      <c r="J72" s="70">
        <v>43615</v>
      </c>
    </row>
    <row r="73" spans="1:10">
      <c r="A73" s="51" t="s">
        <v>40</v>
      </c>
      <c r="B73" s="67">
        <v>2</v>
      </c>
      <c r="C73" s="67" t="s">
        <v>134</v>
      </c>
      <c r="D73" s="67" t="s">
        <v>133</v>
      </c>
      <c r="F73" s="67" t="s">
        <v>53</v>
      </c>
      <c r="G73" s="67" t="s">
        <v>77</v>
      </c>
      <c r="H73" s="69">
        <v>1500</v>
      </c>
      <c r="I73" s="67" t="s">
        <v>45</v>
      </c>
      <c r="J73" s="70">
        <v>43615</v>
      </c>
    </row>
    <row r="74" spans="1:10">
      <c r="A74" s="51" t="s">
        <v>40</v>
      </c>
      <c r="B74" s="67">
        <v>2</v>
      </c>
      <c r="C74" s="67" t="s">
        <v>135</v>
      </c>
      <c r="D74" s="67" t="s">
        <v>133</v>
      </c>
      <c r="F74" s="67" t="s">
        <v>53</v>
      </c>
      <c r="G74" s="67" t="s">
        <v>44</v>
      </c>
      <c r="H74" s="69">
        <v>1500</v>
      </c>
      <c r="I74" s="67" t="s">
        <v>45</v>
      </c>
      <c r="J74" s="70">
        <v>43615</v>
      </c>
    </row>
    <row r="75" spans="1:10">
      <c r="A75" s="51" t="s">
        <v>40</v>
      </c>
      <c r="B75" s="67">
        <v>2</v>
      </c>
      <c r="C75" s="67" t="s">
        <v>136</v>
      </c>
      <c r="D75" s="67" t="s">
        <v>133</v>
      </c>
      <c r="F75" s="67" t="s">
        <v>53</v>
      </c>
      <c r="G75" s="67" t="s">
        <v>116</v>
      </c>
      <c r="H75" s="69">
        <v>1500</v>
      </c>
      <c r="I75" s="67" t="s">
        <v>45</v>
      </c>
      <c r="J75" s="70">
        <v>43615</v>
      </c>
    </row>
    <row r="76" spans="1:10">
      <c r="A76" s="51" t="s">
        <v>40</v>
      </c>
      <c r="B76" s="67">
        <v>1</v>
      </c>
      <c r="C76" s="67" t="s">
        <v>137</v>
      </c>
      <c r="D76" s="67" t="s">
        <v>133</v>
      </c>
      <c r="F76" s="67" t="s">
        <v>43</v>
      </c>
      <c r="G76" s="67" t="s">
        <v>77</v>
      </c>
      <c r="H76" s="69">
        <v>1500</v>
      </c>
      <c r="I76" s="67" t="s">
        <v>45</v>
      </c>
      <c r="J76" s="70">
        <v>43615</v>
      </c>
    </row>
    <row r="77" spans="1:10">
      <c r="A77" s="51" t="s">
        <v>40</v>
      </c>
      <c r="B77" s="67">
        <v>1</v>
      </c>
      <c r="C77" s="67" t="s">
        <v>138</v>
      </c>
      <c r="D77" s="67" t="s">
        <v>133</v>
      </c>
      <c r="F77" s="67" t="s">
        <v>43</v>
      </c>
      <c r="G77" s="67" t="s">
        <v>77</v>
      </c>
      <c r="H77" s="69">
        <v>1500</v>
      </c>
      <c r="I77" s="67" t="s">
        <v>45</v>
      </c>
      <c r="J77" s="70">
        <v>43615</v>
      </c>
    </row>
    <row r="78" spans="1:10">
      <c r="A78" s="51" t="s">
        <v>40</v>
      </c>
      <c r="B78" s="67">
        <v>1</v>
      </c>
      <c r="C78" s="67" t="s">
        <v>139</v>
      </c>
      <c r="D78" s="67" t="s">
        <v>133</v>
      </c>
      <c r="F78" s="67" t="s">
        <v>43</v>
      </c>
      <c r="G78" s="67" t="s">
        <v>57</v>
      </c>
      <c r="H78" s="69">
        <v>1500</v>
      </c>
      <c r="I78" s="67" t="s">
        <v>45</v>
      </c>
      <c r="J78" s="70">
        <v>43615</v>
      </c>
    </row>
    <row r="79" spans="1:10">
      <c r="A79" s="51" t="s">
        <v>40</v>
      </c>
      <c r="B79" s="67">
        <v>1</v>
      </c>
      <c r="C79" s="67" t="s">
        <v>140</v>
      </c>
      <c r="D79" s="67" t="s">
        <v>133</v>
      </c>
      <c r="E79" s="71">
        <f>SUM(H72:H79)</f>
        <v>12000</v>
      </c>
      <c r="F79" s="67" t="s">
        <v>43</v>
      </c>
      <c r="G79" s="67" t="s">
        <v>50</v>
      </c>
      <c r="H79" s="69">
        <v>1500</v>
      </c>
      <c r="I79" s="67" t="s">
        <v>45</v>
      </c>
      <c r="J79" s="70">
        <v>43615</v>
      </c>
    </row>
    <row r="80" spans="1:10">
      <c r="A80" s="52" t="s">
        <v>40</v>
      </c>
      <c r="B80" s="53">
        <v>2</v>
      </c>
      <c r="C80" s="53" t="s">
        <v>141</v>
      </c>
      <c r="D80" s="53" t="s">
        <v>142</v>
      </c>
      <c r="E80" s="54"/>
      <c r="F80" s="53" t="s">
        <v>53</v>
      </c>
      <c r="G80" s="53" t="s">
        <v>47</v>
      </c>
      <c r="H80" s="55">
        <v>1500</v>
      </c>
      <c r="I80" s="53" t="s">
        <v>45</v>
      </c>
      <c r="J80" s="56">
        <v>43615</v>
      </c>
    </row>
    <row r="81" spans="1:10">
      <c r="A81" s="57" t="s">
        <v>40</v>
      </c>
      <c r="B81" s="58">
        <v>1</v>
      </c>
      <c r="C81" s="58" t="s">
        <v>143</v>
      </c>
      <c r="D81" s="58" t="s">
        <v>142</v>
      </c>
      <c r="E81" s="59"/>
      <c r="F81" s="58" t="s">
        <v>43</v>
      </c>
      <c r="G81" s="58" t="s">
        <v>77</v>
      </c>
      <c r="H81" s="60">
        <v>1500</v>
      </c>
      <c r="I81" s="58" t="s">
        <v>45</v>
      </c>
      <c r="J81" s="61">
        <v>43615</v>
      </c>
    </row>
    <row r="82" spans="1:10">
      <c r="A82" s="57" t="s">
        <v>40</v>
      </c>
      <c r="B82" s="58">
        <v>1</v>
      </c>
      <c r="C82" s="58" t="s">
        <v>144</v>
      </c>
      <c r="D82" s="58" t="s">
        <v>142</v>
      </c>
      <c r="E82" s="59"/>
      <c r="F82" s="58" t="s">
        <v>43</v>
      </c>
      <c r="G82" s="58" t="s">
        <v>47</v>
      </c>
      <c r="H82" s="60">
        <v>1500</v>
      </c>
      <c r="I82" s="58" t="s">
        <v>45</v>
      </c>
      <c r="J82" s="61">
        <v>43615</v>
      </c>
    </row>
    <row r="83" spans="1:10">
      <c r="A83" s="57" t="s">
        <v>40</v>
      </c>
      <c r="B83" s="58">
        <v>1</v>
      </c>
      <c r="C83" s="58" t="s">
        <v>145</v>
      </c>
      <c r="D83" s="58" t="s">
        <v>142</v>
      </c>
      <c r="E83" s="59"/>
      <c r="F83" s="58" t="s">
        <v>43</v>
      </c>
      <c r="G83" s="58" t="s">
        <v>47</v>
      </c>
      <c r="H83" s="60">
        <v>1500</v>
      </c>
      <c r="I83" s="58" t="s">
        <v>45</v>
      </c>
      <c r="J83" s="61">
        <v>43615</v>
      </c>
    </row>
    <row r="84" spans="1:10">
      <c r="A84" s="57" t="s">
        <v>40</v>
      </c>
      <c r="B84" s="58">
        <v>1</v>
      </c>
      <c r="C84" s="58" t="s">
        <v>146</v>
      </c>
      <c r="D84" s="58" t="s">
        <v>142</v>
      </c>
      <c r="E84" s="59"/>
      <c r="F84" s="58" t="s">
        <v>43</v>
      </c>
      <c r="G84" s="58" t="s">
        <v>77</v>
      </c>
      <c r="H84" s="60">
        <v>1500</v>
      </c>
      <c r="I84" s="58" t="s">
        <v>45</v>
      </c>
      <c r="J84" s="61">
        <v>43615</v>
      </c>
    </row>
    <row r="85" spans="1:10">
      <c r="A85" s="62" t="s">
        <v>40</v>
      </c>
      <c r="B85" s="63">
        <v>2</v>
      </c>
      <c r="C85" s="63" t="s">
        <v>147</v>
      </c>
      <c r="D85" s="63" t="s">
        <v>142</v>
      </c>
      <c r="E85" s="64">
        <f>SUM(H80:H85)</f>
        <v>9000</v>
      </c>
      <c r="F85" s="63" t="s">
        <v>43</v>
      </c>
      <c r="G85" s="63" t="s">
        <v>116</v>
      </c>
      <c r="H85" s="65">
        <v>1500</v>
      </c>
      <c r="I85" s="63" t="s">
        <v>45</v>
      </c>
      <c r="J85" s="66">
        <v>43615</v>
      </c>
    </row>
    <row r="86" spans="1:10">
      <c r="A86" s="51" t="s">
        <v>40</v>
      </c>
      <c r="B86" s="67">
        <v>2</v>
      </c>
      <c r="C86" s="67" t="s">
        <v>148</v>
      </c>
      <c r="D86" s="67" t="s">
        <v>149</v>
      </c>
      <c r="F86" s="67" t="s">
        <v>53</v>
      </c>
      <c r="G86" s="67" t="s">
        <v>77</v>
      </c>
      <c r="H86" s="69">
        <v>1500</v>
      </c>
      <c r="I86" s="67" t="s">
        <v>45</v>
      </c>
      <c r="J86" s="70">
        <v>43615</v>
      </c>
    </row>
    <row r="87" spans="1:10">
      <c r="A87" s="51" t="s">
        <v>40</v>
      </c>
      <c r="B87" s="67">
        <v>2</v>
      </c>
      <c r="C87" s="67" t="s">
        <v>150</v>
      </c>
      <c r="D87" s="67" t="s">
        <v>149</v>
      </c>
      <c r="F87" s="67" t="s">
        <v>53</v>
      </c>
      <c r="G87" s="67" t="s">
        <v>77</v>
      </c>
      <c r="H87" s="69">
        <v>1500</v>
      </c>
      <c r="I87" s="67" t="s">
        <v>45</v>
      </c>
      <c r="J87" s="70">
        <v>43615</v>
      </c>
    </row>
    <row r="88" spans="1:10">
      <c r="A88" s="51" t="s">
        <v>40</v>
      </c>
      <c r="B88" s="67">
        <v>2</v>
      </c>
      <c r="C88" s="67" t="s">
        <v>151</v>
      </c>
      <c r="D88" s="67" t="s">
        <v>149</v>
      </c>
      <c r="F88" s="67" t="s">
        <v>53</v>
      </c>
      <c r="G88" s="67" t="s">
        <v>44</v>
      </c>
      <c r="H88" s="69">
        <v>1500</v>
      </c>
      <c r="I88" s="67" t="s">
        <v>45</v>
      </c>
      <c r="J88" s="70">
        <v>43615</v>
      </c>
    </row>
    <row r="89" spans="1:10">
      <c r="A89" s="51" t="s">
        <v>40</v>
      </c>
      <c r="B89" s="67">
        <v>2</v>
      </c>
      <c r="C89" s="67" t="s">
        <v>152</v>
      </c>
      <c r="D89" s="67" t="s">
        <v>149</v>
      </c>
      <c r="F89" s="67" t="s">
        <v>53</v>
      </c>
      <c r="G89" s="67" t="s">
        <v>47</v>
      </c>
      <c r="H89" s="69">
        <v>1500</v>
      </c>
      <c r="I89" s="67" t="s">
        <v>45</v>
      </c>
      <c r="J89" s="70">
        <v>43615</v>
      </c>
    </row>
    <row r="90" spans="1:10">
      <c r="A90" s="51" t="s">
        <v>40</v>
      </c>
      <c r="B90" s="67">
        <v>2</v>
      </c>
      <c r="C90" s="67" t="s">
        <v>153</v>
      </c>
      <c r="D90" s="67" t="s">
        <v>149</v>
      </c>
      <c r="F90" s="67" t="s">
        <v>53</v>
      </c>
      <c r="G90" s="67" t="s">
        <v>77</v>
      </c>
      <c r="H90" s="69">
        <v>1500</v>
      </c>
      <c r="I90" s="67" t="s">
        <v>45</v>
      </c>
      <c r="J90" s="70">
        <v>43615</v>
      </c>
    </row>
    <row r="91" spans="1:10">
      <c r="A91" s="51" t="s">
        <v>40</v>
      </c>
      <c r="B91" s="67">
        <v>2</v>
      </c>
      <c r="C91" s="67" t="s">
        <v>154</v>
      </c>
      <c r="D91" s="67" t="s">
        <v>149</v>
      </c>
      <c r="F91" s="67" t="s">
        <v>53</v>
      </c>
      <c r="G91" s="67" t="s">
        <v>57</v>
      </c>
      <c r="H91" s="69">
        <v>1500</v>
      </c>
      <c r="I91" s="67" t="s">
        <v>45</v>
      </c>
      <c r="J91" s="70">
        <v>43615</v>
      </c>
    </row>
    <row r="92" spans="1:10">
      <c r="A92" s="51" t="s">
        <v>40</v>
      </c>
      <c r="B92" s="67">
        <v>2</v>
      </c>
      <c r="C92" s="67" t="s">
        <v>155</v>
      </c>
      <c r="D92" s="67" t="s">
        <v>149</v>
      </c>
      <c r="F92" s="67" t="s">
        <v>53</v>
      </c>
      <c r="G92" s="67" t="s">
        <v>57</v>
      </c>
      <c r="H92" s="69">
        <v>1500</v>
      </c>
      <c r="I92" s="67" t="s">
        <v>45</v>
      </c>
      <c r="J92" s="70">
        <v>43615</v>
      </c>
    </row>
    <row r="93" spans="1:10">
      <c r="A93" s="51" t="s">
        <v>40</v>
      </c>
      <c r="B93" s="67">
        <v>1</v>
      </c>
      <c r="C93" s="67" t="s">
        <v>156</v>
      </c>
      <c r="D93" s="67" t="s">
        <v>149</v>
      </c>
      <c r="F93" s="67" t="s">
        <v>43</v>
      </c>
      <c r="G93" s="67" t="s">
        <v>116</v>
      </c>
      <c r="H93" s="69">
        <v>1500</v>
      </c>
      <c r="I93" s="67" t="s">
        <v>45</v>
      </c>
      <c r="J93" s="70">
        <v>43615</v>
      </c>
    </row>
    <row r="94" spans="1:10">
      <c r="A94" s="51" t="s">
        <v>40</v>
      </c>
      <c r="B94" s="67">
        <v>1</v>
      </c>
      <c r="C94" s="67" t="s">
        <v>157</v>
      </c>
      <c r="D94" s="67" t="s">
        <v>149</v>
      </c>
      <c r="F94" s="67" t="s">
        <v>43</v>
      </c>
      <c r="G94" s="67" t="s">
        <v>65</v>
      </c>
      <c r="H94" s="69">
        <v>1500</v>
      </c>
      <c r="I94" s="67" t="s">
        <v>45</v>
      </c>
      <c r="J94" s="70">
        <v>43615</v>
      </c>
    </row>
    <row r="95" spans="1:10">
      <c r="A95" s="51" t="s">
        <v>40</v>
      </c>
      <c r="B95" s="67">
        <v>1</v>
      </c>
      <c r="C95" s="67" t="s">
        <v>158</v>
      </c>
      <c r="D95" s="67" t="s">
        <v>149</v>
      </c>
      <c r="F95" s="67" t="s">
        <v>43</v>
      </c>
      <c r="G95" s="67" t="s">
        <v>77</v>
      </c>
      <c r="H95" s="69">
        <v>1500</v>
      </c>
      <c r="I95" s="67" t="s">
        <v>45</v>
      </c>
      <c r="J95" s="70">
        <v>43615</v>
      </c>
    </row>
    <row r="96" spans="1:10">
      <c r="A96" s="51" t="s">
        <v>40</v>
      </c>
      <c r="B96" s="67">
        <v>1</v>
      </c>
      <c r="C96" s="67" t="s">
        <v>159</v>
      </c>
      <c r="D96" s="67" t="s">
        <v>149</v>
      </c>
      <c r="F96" s="67" t="s">
        <v>43</v>
      </c>
      <c r="G96" s="67" t="s">
        <v>44</v>
      </c>
      <c r="H96" s="69">
        <v>1500</v>
      </c>
      <c r="I96" s="67" t="s">
        <v>45</v>
      </c>
      <c r="J96" s="70">
        <v>43615</v>
      </c>
    </row>
    <row r="97" spans="1:10">
      <c r="A97" s="51" t="s">
        <v>40</v>
      </c>
      <c r="B97" s="67">
        <v>1</v>
      </c>
      <c r="C97" s="67" t="s">
        <v>160</v>
      </c>
      <c r="D97" s="67" t="s">
        <v>149</v>
      </c>
      <c r="F97" s="67" t="s">
        <v>43</v>
      </c>
      <c r="G97" s="67" t="s">
        <v>77</v>
      </c>
      <c r="H97" s="69">
        <v>1500</v>
      </c>
      <c r="I97" s="67" t="s">
        <v>45</v>
      </c>
      <c r="J97" s="70">
        <v>43615</v>
      </c>
    </row>
    <row r="98" spans="1:10">
      <c r="A98" s="51" t="s">
        <v>40</v>
      </c>
      <c r="B98" s="67">
        <v>1</v>
      </c>
      <c r="C98" s="67" t="s">
        <v>161</v>
      </c>
      <c r="D98" s="67" t="s">
        <v>149</v>
      </c>
      <c r="E98" s="71">
        <f>SUM(H86:H98)</f>
        <v>19500</v>
      </c>
      <c r="F98" s="67" t="s">
        <v>43</v>
      </c>
      <c r="G98" s="67" t="s">
        <v>50</v>
      </c>
      <c r="H98" s="69">
        <v>1500</v>
      </c>
      <c r="I98" s="67" t="s">
        <v>45</v>
      </c>
      <c r="J98" s="70">
        <v>43615</v>
      </c>
    </row>
    <row r="99" spans="1:10">
      <c r="A99" s="52" t="s">
        <v>40</v>
      </c>
      <c r="B99" s="53">
        <v>2</v>
      </c>
      <c r="C99" s="53" t="s">
        <v>162</v>
      </c>
      <c r="D99" s="53" t="s">
        <v>163</v>
      </c>
      <c r="E99" s="54"/>
      <c r="F99" s="53" t="s">
        <v>53</v>
      </c>
      <c r="G99" s="53" t="s">
        <v>65</v>
      </c>
      <c r="H99" s="55">
        <v>1500</v>
      </c>
      <c r="I99" s="53" t="s">
        <v>45</v>
      </c>
      <c r="J99" s="56">
        <v>43615</v>
      </c>
    </row>
    <row r="100" spans="1:10">
      <c r="A100" s="57" t="s">
        <v>40</v>
      </c>
      <c r="B100" s="58">
        <v>2</v>
      </c>
      <c r="C100" s="58" t="s">
        <v>164</v>
      </c>
      <c r="D100" s="58" t="s">
        <v>163</v>
      </c>
      <c r="E100" s="59"/>
      <c r="F100" s="58" t="s">
        <v>53</v>
      </c>
      <c r="G100" s="58" t="s">
        <v>123</v>
      </c>
      <c r="H100" s="60">
        <v>1500</v>
      </c>
      <c r="I100" s="58" t="s">
        <v>45</v>
      </c>
      <c r="J100" s="61">
        <v>43615</v>
      </c>
    </row>
    <row r="101" spans="1:10">
      <c r="A101" s="57" t="s">
        <v>40</v>
      </c>
      <c r="B101" s="58">
        <v>1</v>
      </c>
      <c r="C101" s="58" t="s">
        <v>165</v>
      </c>
      <c r="D101" s="58" t="s">
        <v>163</v>
      </c>
      <c r="E101" s="59"/>
      <c r="F101" s="58" t="s">
        <v>43</v>
      </c>
      <c r="G101" s="58" t="s">
        <v>47</v>
      </c>
      <c r="H101" s="60">
        <v>1500</v>
      </c>
      <c r="I101" s="58" t="s">
        <v>45</v>
      </c>
      <c r="J101" s="61">
        <v>43615</v>
      </c>
    </row>
    <row r="102" spans="1:10">
      <c r="A102" s="62" t="s">
        <v>40</v>
      </c>
      <c r="B102" s="63">
        <v>1</v>
      </c>
      <c r="C102" s="63" t="s">
        <v>166</v>
      </c>
      <c r="D102" s="63" t="s">
        <v>163</v>
      </c>
      <c r="E102" s="64">
        <f>SUM(H99:H102)</f>
        <v>6000</v>
      </c>
      <c r="F102" s="63" t="s">
        <v>43</v>
      </c>
      <c r="G102" s="63" t="s">
        <v>123</v>
      </c>
      <c r="H102" s="65">
        <v>1500</v>
      </c>
      <c r="I102" s="63" t="s">
        <v>45</v>
      </c>
      <c r="J102" s="66">
        <v>43615</v>
      </c>
    </row>
    <row r="103" spans="1:10">
      <c r="A103" s="51" t="s">
        <v>40</v>
      </c>
      <c r="B103" s="67">
        <v>2</v>
      </c>
      <c r="C103" s="67" t="s">
        <v>167</v>
      </c>
      <c r="D103" s="67" t="s">
        <v>168</v>
      </c>
      <c r="F103" s="67" t="s">
        <v>53</v>
      </c>
      <c r="G103" s="67" t="s">
        <v>123</v>
      </c>
      <c r="H103" s="69">
        <v>1500</v>
      </c>
      <c r="I103" s="67" t="s">
        <v>45</v>
      </c>
      <c r="J103" s="70">
        <v>43615</v>
      </c>
    </row>
    <row r="104" spans="1:10">
      <c r="A104" s="51" t="s">
        <v>40</v>
      </c>
      <c r="B104" s="67">
        <v>1</v>
      </c>
      <c r="C104" s="67" t="s">
        <v>169</v>
      </c>
      <c r="D104" s="67" t="s">
        <v>168</v>
      </c>
      <c r="F104" s="67" t="s">
        <v>43</v>
      </c>
      <c r="G104" s="67" t="s">
        <v>47</v>
      </c>
      <c r="H104" s="69">
        <v>1500</v>
      </c>
      <c r="I104" s="67" t="s">
        <v>45</v>
      </c>
      <c r="J104" s="70">
        <v>43615</v>
      </c>
    </row>
    <row r="105" spans="1:10">
      <c r="A105" s="51" t="s">
        <v>40</v>
      </c>
      <c r="B105" s="67">
        <v>1</v>
      </c>
      <c r="C105" s="67" t="s">
        <v>170</v>
      </c>
      <c r="D105" s="67" t="s">
        <v>168</v>
      </c>
      <c r="F105" s="67" t="s">
        <v>43</v>
      </c>
      <c r="G105" s="67" t="s">
        <v>77</v>
      </c>
      <c r="H105" s="69">
        <v>1500</v>
      </c>
      <c r="I105" s="67" t="s">
        <v>45</v>
      </c>
      <c r="J105" s="70">
        <v>43615</v>
      </c>
    </row>
    <row r="106" spans="1:10">
      <c r="A106" s="51" t="s">
        <v>40</v>
      </c>
      <c r="B106" s="67">
        <v>1</v>
      </c>
      <c r="C106" s="67" t="s">
        <v>171</v>
      </c>
      <c r="D106" s="67" t="s">
        <v>168</v>
      </c>
      <c r="F106" s="67" t="s">
        <v>43</v>
      </c>
      <c r="G106" s="67" t="s">
        <v>65</v>
      </c>
      <c r="H106" s="69">
        <v>1500</v>
      </c>
      <c r="I106" s="67" t="s">
        <v>45</v>
      </c>
      <c r="J106" s="70">
        <v>43615</v>
      </c>
    </row>
    <row r="107" spans="1:10">
      <c r="A107" s="51" t="s">
        <v>40</v>
      </c>
      <c r="B107" s="67">
        <v>1</v>
      </c>
      <c r="C107" s="67" t="s">
        <v>172</v>
      </c>
      <c r="D107" s="67" t="s">
        <v>168</v>
      </c>
      <c r="F107" s="67" t="s">
        <v>43</v>
      </c>
      <c r="G107" s="67" t="s">
        <v>47</v>
      </c>
      <c r="H107" s="69">
        <v>1500</v>
      </c>
      <c r="I107" s="67" t="s">
        <v>45</v>
      </c>
      <c r="J107" s="70">
        <v>43615</v>
      </c>
    </row>
    <row r="108" spans="1:10">
      <c r="A108" s="51" t="s">
        <v>40</v>
      </c>
      <c r="B108" s="67">
        <v>1</v>
      </c>
      <c r="C108" s="67" t="s">
        <v>173</v>
      </c>
      <c r="D108" s="67" t="s">
        <v>168</v>
      </c>
      <c r="E108" s="71">
        <f>SUM(H103:H108)</f>
        <v>9000</v>
      </c>
      <c r="F108" s="67" t="s">
        <v>43</v>
      </c>
      <c r="G108" s="67" t="s">
        <v>116</v>
      </c>
      <c r="H108" s="69">
        <v>1500</v>
      </c>
      <c r="I108" s="67" t="s">
        <v>45</v>
      </c>
      <c r="J108" s="70">
        <v>43615</v>
      </c>
    </row>
    <row r="109" spans="1:10">
      <c r="A109" s="52" t="s">
        <v>40</v>
      </c>
      <c r="B109" s="53">
        <v>2</v>
      </c>
      <c r="C109" s="53" t="s">
        <v>174</v>
      </c>
      <c r="D109" s="53" t="s">
        <v>175</v>
      </c>
      <c r="E109" s="54"/>
      <c r="F109" s="53" t="s">
        <v>53</v>
      </c>
      <c r="G109" s="53" t="s">
        <v>123</v>
      </c>
      <c r="H109" s="55">
        <v>1500</v>
      </c>
      <c r="I109" s="53" t="s">
        <v>45</v>
      </c>
      <c r="J109" s="56">
        <v>43615</v>
      </c>
    </row>
    <row r="110" spans="1:10">
      <c r="A110" s="62" t="s">
        <v>40</v>
      </c>
      <c r="B110" s="63">
        <v>1</v>
      </c>
      <c r="C110" s="63" t="s">
        <v>176</v>
      </c>
      <c r="D110" s="63" t="s">
        <v>175</v>
      </c>
      <c r="E110" s="64">
        <f>SUM(H109:H110)</f>
        <v>3000</v>
      </c>
      <c r="F110" s="63" t="s">
        <v>43</v>
      </c>
      <c r="G110" s="63" t="s">
        <v>123</v>
      </c>
      <c r="H110" s="65">
        <v>1500</v>
      </c>
      <c r="I110" s="63" t="s">
        <v>45</v>
      </c>
      <c r="J110" s="66">
        <v>43615</v>
      </c>
    </row>
    <row r="111" spans="1:10">
      <c r="A111" s="51" t="s">
        <v>40</v>
      </c>
      <c r="B111" s="67">
        <v>2</v>
      </c>
      <c r="C111" s="67" t="s">
        <v>177</v>
      </c>
      <c r="D111" s="67" t="s">
        <v>178</v>
      </c>
      <c r="F111" s="67" t="s">
        <v>53</v>
      </c>
      <c r="G111" s="67" t="s">
        <v>116</v>
      </c>
      <c r="H111" s="69">
        <v>1500</v>
      </c>
      <c r="I111" s="67" t="s">
        <v>45</v>
      </c>
      <c r="J111" s="70">
        <v>43615</v>
      </c>
    </row>
    <row r="112" spans="1:10">
      <c r="A112" s="51" t="s">
        <v>40</v>
      </c>
      <c r="B112" s="67">
        <v>1</v>
      </c>
      <c r="C112" s="67" t="s">
        <v>179</v>
      </c>
      <c r="D112" s="67" t="s">
        <v>178</v>
      </c>
      <c r="F112" s="67" t="s">
        <v>43</v>
      </c>
      <c r="G112" s="67" t="s">
        <v>123</v>
      </c>
      <c r="H112" s="69">
        <v>1500</v>
      </c>
      <c r="I112" s="67" t="s">
        <v>45</v>
      </c>
      <c r="J112" s="70">
        <v>43615</v>
      </c>
    </row>
    <row r="113" spans="1:10">
      <c r="A113" s="51" t="s">
        <v>40</v>
      </c>
      <c r="B113" s="67">
        <v>1</v>
      </c>
      <c r="C113" s="67" t="s">
        <v>180</v>
      </c>
      <c r="D113" s="67" t="s">
        <v>178</v>
      </c>
      <c r="E113" s="71">
        <f>SUM(H111:H113)</f>
        <v>4500</v>
      </c>
      <c r="F113" s="67" t="s">
        <v>43</v>
      </c>
      <c r="G113" s="67" t="s">
        <v>123</v>
      </c>
      <c r="H113" s="69">
        <v>1500</v>
      </c>
      <c r="I113" s="67" t="s">
        <v>45</v>
      </c>
      <c r="J113" s="70">
        <v>43615</v>
      </c>
    </row>
    <row r="114" spans="1:10">
      <c r="A114" s="72" t="s">
        <v>181</v>
      </c>
      <c r="B114" s="73"/>
      <c r="C114" s="73"/>
      <c r="D114" s="73"/>
      <c r="E114" s="74">
        <f>SUM(E113,E110,E108,E102,E98,E85,E79,E71,E56,E46,E35,E31,E27,E20,E12,E5)</f>
        <v>168000</v>
      </c>
      <c r="F114" s="73"/>
      <c r="G114" s="73"/>
      <c r="H114" s="75">
        <f>SUM(H2:H113)</f>
        <v>168000</v>
      </c>
      <c r="I114" s="73"/>
      <c r="J114" s="7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1" sqref="K1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BTF</vt:lpstr>
      <vt:lpstr>ASJ SENAI-30-05-2019</vt:lpstr>
      <vt:lpstr>Sheet1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2019-07-10T10:03:28Z</cp:lastPrinted>
  <dcterms:created xsi:type="dcterms:W3CDTF">2019-03-21T21:36:09Z</dcterms:created>
  <dcterms:modified xsi:type="dcterms:W3CDTF">2019-07-10T10:20:11Z</dcterms:modified>
</cp:coreProperties>
</file>