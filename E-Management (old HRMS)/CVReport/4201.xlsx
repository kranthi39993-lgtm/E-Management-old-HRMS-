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BTF" sheetId="321" r:id="rId1"/>
    <sheet name="160713" sheetId="319" r:id="rId2"/>
    <sheet name="160427" sheetId="317" r:id="rId3"/>
    <sheet name="160318" sheetId="312" r:id="rId4"/>
    <sheet name="Sheet1" sheetId="318" r:id="rId5"/>
    <sheet name="160125" sheetId="315" r:id="rId6"/>
    <sheet name="150410" sheetId="314" r:id="rId7"/>
  </sheets>
  <definedNames>
    <definedName name="_xlnm.Print_Area" localSheetId="6">'150410'!$B$1:$AT$72</definedName>
    <definedName name="_xlnm.Print_Area" localSheetId="5">'160125'!$B$1:$AT$72</definedName>
    <definedName name="_xlnm.Print_Area" localSheetId="3">'160318'!$B$1:$AT$73</definedName>
    <definedName name="_xlnm.Print_Area" localSheetId="2">'160427'!$B$1:$AT$73</definedName>
    <definedName name="_xlnm.Print_Area" localSheetId="1">'160713'!$B$2:$AT$75</definedName>
    <definedName name="_xlnm.Print_Area" localSheetId="0">BTF!$B$2:$AT$74</definedName>
    <definedName name="_xlnm.Print_Titles" localSheetId="6">'150410'!$1:$3</definedName>
    <definedName name="_xlnm.Print_Titles" localSheetId="5">'160125'!$1:$3</definedName>
    <definedName name="_xlnm.Print_Titles" localSheetId="3">'160318'!$1:$3</definedName>
    <definedName name="_xlnm.Print_Titles" localSheetId="2">'160427'!$1:$3</definedName>
    <definedName name="_xlnm.Print_Titles" localSheetId="1">'160713'!$2:$4</definedName>
    <definedName name="_xlnm.Print_Titles" localSheetId="0">BTF!$2:$4</definedName>
  </definedNames>
  <calcPr calcId="152511"/>
</workbook>
</file>

<file path=xl/calcChain.xml><?xml version="1.0" encoding="utf-8"?>
<calcChain xmlns="http://schemas.openxmlformats.org/spreadsheetml/2006/main">
  <c r="U55" i="319" l="1"/>
  <c r="Y55" i="319"/>
  <c r="AC55" i="319"/>
  <c r="AC50" i="319"/>
  <c r="Y53" i="319"/>
  <c r="Y50" i="319"/>
  <c r="U53" i="319"/>
  <c r="M55" i="319" l="1"/>
  <c r="Q55" i="319"/>
  <c r="I55" i="319"/>
  <c r="M54" i="319"/>
  <c r="Q54" i="319"/>
  <c r="U54" i="319"/>
  <c r="Y54" i="319"/>
  <c r="AC54" i="319"/>
  <c r="I54" i="319"/>
</calcChain>
</file>

<file path=xl/sharedStrings.xml><?xml version="1.0" encoding="utf-8"?>
<sst xmlns="http://schemas.openxmlformats.org/spreadsheetml/2006/main" count="896" uniqueCount="291">
  <si>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</si>
  <si>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</si>
  <si>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</si>
  <si>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</si>
  <si>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</si>
  <si>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</si>
  <si>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</si>
  <si>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</si>
  <si>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</si>
  <si>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</si>
  <si>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</si>
  <si>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</si>
  <si>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</si>
  <si>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</si>
  <si>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</si>
  <si>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</si>
  <si>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</si>
  <si>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</si>
  <si>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</si>
  <si>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</si>
  <si>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</si>
  <si>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</si>
  <si>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</si>
  <si>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</si>
  <si>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</si>
  <si>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</si>
  <si>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</si>
  <si>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</si>
  <si>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</si>
  <si>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</si>
  <si>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</si>
  <si>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</si>
  <si>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</si>
  <si>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</si>
  <si>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</si>
  <si>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</si>
  <si>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</si>
  <si>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</si>
  <si>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</si>
  <si>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</si>
  <si>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</si>
  <si>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</si>
  <si>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</si>
  <si>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</si>
  <si>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</si>
  <si>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</si>
  <si>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</si>
  <si>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</si>
  <si>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</si>
  <si>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</si>
  <si>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</si>
  <si>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</si>
  <si>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</si>
  <si>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</si>
  <si>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</si>
  <si>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</si>
  <si>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</si>
  <si>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</si>
  <si>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</si>
  <si>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</si>
  <si>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</si>
  <si>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</si>
  <si>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</si>
  <si>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</si>
  <si>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</si>
  <si>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</si>
  <si>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</si>
  <si>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</si>
  <si>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</si>
  <si>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</si>
  <si>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</si>
  <si>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</si>
  <si>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</si>
  <si>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</si>
  <si>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</si>
  <si>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</si>
  <si>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</si>
  <si>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</si>
  <si>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</si>
  <si>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</si>
  <si>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</si>
  <si>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</si>
  <si>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</si>
  <si>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</si>
  <si>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</si>
  <si>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</si>
  <si>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</si>
  <si>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</si>
  <si>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</si>
  <si>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</si>
  <si>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</si>
  <si>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</si>
  <si>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</si>
  <si>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</si>
  <si>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</si>
  <si>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</si>
  <si>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</si>
  <si>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</si>
  <si>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</si>
  <si>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</si>
  <si>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</si>
  <si>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</si>
  <si>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</si>
  <si>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</si>
  <si>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</si>
  <si>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</si>
  <si>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</si>
  <si>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</si>
  <si>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</si>
  <si>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</si>
  <si>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</si>
  <si>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</si>
  <si>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</si>
  <si>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</si>
  <si>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</si>
  <si>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</si>
  <si>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</si>
  <si>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</si>
  <si>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</si>
  <si>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</si>
  <si>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</si>
  <si>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</si>
  <si>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</si>
  <si>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</si>
  <si>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</si>
  <si>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</si>
  <si>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</si>
  <si>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</si>
  <si>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</si>
  <si>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</si>
  <si>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</si>
  <si>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</si>
  <si>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</si>
  <si>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</si>
  <si>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</si>
  <si>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</si>
  <si>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</si>
  <si>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</si>
  <si>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</si>
  <si>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</si>
  <si>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</si>
  <si>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</si>
  <si>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</si>
  <si>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</si>
  <si>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</si>
  <si>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</si>
  <si>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</si>
  <si>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</si>
  <si>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</si>
  <si>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</si>
  <si>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</si>
  <si>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</si>
  <si>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</si>
  <si>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</si>
  <si>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</si>
  <si>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</si>
  <si>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</si>
  <si>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</si>
  <si>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</si>
  <si>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</si>
  <si>
    <t>10B production facility ready. 12B facility preparation Apr-Jun expected to run by Jul-Sep.</t>
  </si>
  <si>
    <t>4.8B</t>
  </si>
  <si>
    <t>1,500K/mth</t>
  </si>
  <si>
    <t xml:space="preserve">   750K/mth</t>
  </si>
  <si>
    <t>8.7B</t>
  </si>
  <si>
    <t>Mar</t>
  </si>
  <si>
    <t>7.5B</t>
  </si>
  <si>
    <t>2.0B</t>
  </si>
  <si>
    <t>12.0B</t>
  </si>
  <si>
    <t>950K/mth</t>
  </si>
  <si>
    <t>750K/mth</t>
  </si>
  <si>
    <t>3,300K/mth</t>
  </si>
  <si>
    <t>==&gt; main increase</t>
  </si>
  <si>
    <t>27-Apr</t>
  </si>
  <si>
    <t>2pm</t>
  </si>
  <si>
    <t>Engineer</t>
  </si>
  <si>
    <t>7910M Back Slit 1st LD Deep (100K)</t>
  </si>
  <si>
    <t>Mr. Izam and Mr. Shafiq agreed to test with 300pcs rank 66L. Result by 14-May.</t>
  </si>
  <si>
    <t>Lot number for 100Kpcs to be clearify to ASJ</t>
  </si>
  <si>
    <t xml:space="preserve">Every carton need to marking </t>
  </si>
  <si>
    <t>If no quality issue ASJ request for easy identifcation:</t>
  </si>
  <si>
    <t>ASJ produce 10B in Mar and 8.8B in Apr (already have 10B capacity).</t>
  </si>
  <si>
    <t>12B capacity will complete by Jun excpected to run in Jul (front process machine ETA end May).</t>
  </si>
  <si>
    <t>ASJ Production Status</t>
  </si>
  <si>
    <t>Man power for 12B already have.</t>
  </si>
  <si>
    <t>No quality issue for Maruwa. Sangkang have crack quality claim.</t>
  </si>
  <si>
    <t>Ms. Sun concern on 7910M delay in Mar. I explained again mould press increase to 3 mould</t>
  </si>
  <si>
    <t>to built up stock for 2 weeks.</t>
  </si>
  <si>
    <t>ASJ Business Visit to Maruwa 11 or 12-May</t>
  </si>
  <si>
    <t xml:space="preserve">ASJ top Management hope Maruwa support as they production quantity is increasing. They </t>
  </si>
  <si>
    <t>want to express on Business Visit to Maruwa on 11 or 12-May and share ASJ progress.</t>
  </si>
  <si>
    <t>ASJ members:</t>
  </si>
  <si>
    <t>Mr. Seah EL (Chief Operating Officer)</t>
  </si>
  <si>
    <t xml:space="preserve">2. </t>
  </si>
  <si>
    <t>Mr. Flion (Senoir Operating Director)</t>
  </si>
  <si>
    <t>Taiwaness</t>
  </si>
  <si>
    <t>Ms. Sun Tsui Ting (Purchasing Manager)</t>
  </si>
  <si>
    <t>Date:</t>
  </si>
  <si>
    <t>11 or 12-May</t>
  </si>
  <si>
    <t>Time:</t>
  </si>
  <si>
    <t>11am -4pm</t>
  </si>
  <si>
    <t>Agenda:</t>
  </si>
  <si>
    <t>ASJ business plan presentation</t>
  </si>
  <si>
    <t>Business talk (price, c/stock, payment terms)</t>
  </si>
  <si>
    <t>Plant tour</t>
  </si>
  <si>
    <t>Price</t>
  </si>
  <si>
    <t>Just want to duble check ASJ price and Yageo same or not.</t>
  </si>
  <si>
    <t>C/Stock</t>
  </si>
  <si>
    <t>Non necessary with weekly shipment (week 1-week3)</t>
  </si>
  <si>
    <t>Payment Terms</t>
  </si>
  <si>
    <t>90 days to 120 days</t>
  </si>
  <si>
    <t>650K/mth</t>
  </si>
  <si>
    <t>1,650K/mth</t>
  </si>
  <si>
    <t>4,000K/mth</t>
  </si>
  <si>
    <t>Jun Onwards</t>
  </si>
  <si>
    <t>Maruwa Commitment</t>
  </si>
  <si>
    <t>450K/mth</t>
  </si>
  <si>
    <t>400K/mth</t>
  </si>
  <si>
    <t>2,450K/mth</t>
  </si>
  <si>
    <t>Current usage 2,800K/month (main Maruwa &amp; Sangkang). 12B = 4,000K/mth from Jun.</t>
  </si>
  <si>
    <t>Shipment week 1, 2 and 3. Week 4 shipment will consider next month shipment.</t>
  </si>
  <si>
    <t>ETD M[M]</t>
  </si>
  <si>
    <t>Plan</t>
  </si>
  <si>
    <t>Actual</t>
  </si>
  <si>
    <t>7910M (0402)</t>
  </si>
  <si>
    <t>Date</t>
  </si>
  <si>
    <t>Day</t>
  </si>
  <si>
    <t>RMC-SUB10-7910</t>
  </si>
  <si>
    <t>Rev</t>
  </si>
  <si>
    <t>RMC-SUB16-6070</t>
  </si>
  <si>
    <t>3080M (0603)</t>
  </si>
  <si>
    <t>RMC-SUB121-6070</t>
  </si>
  <si>
    <t>1598M (0805)</t>
  </si>
  <si>
    <t>RMC-SUB32-7910</t>
  </si>
  <si>
    <t>3080M (1206)</t>
  </si>
  <si>
    <t>Week</t>
  </si>
  <si>
    <t>Thu</t>
  </si>
  <si>
    <t>Tue</t>
  </si>
  <si>
    <t>Mr.Anthony, Mr.Ogawa</t>
  </si>
  <si>
    <t>Mr.Seeni, Mr.Naga, Mr.Sinna, Mr. Siva</t>
  </si>
  <si>
    <t>Mr.Theva, Mr.Shahrudin, Mr.Fauzi</t>
  </si>
  <si>
    <t>Mr. Matsumoto, Mr. Sato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</si>
  <si>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</si>
  <si>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</si>
  <si>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</si>
  <si>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</si>
  <si>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</si>
  <si>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</si>
  <si>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</si>
  <si>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 &amp; OPINION</t>
  </si>
  <si>
    <t>ASJ COMPONENTS [M] SDN.BHD</t>
  </si>
  <si>
    <t xml:space="preserve">               CUSTOMER VISIT REPORT</t>
  </si>
  <si>
    <t>7910M WD 1st Slit Deep</t>
  </si>
  <si>
    <t>Ms. Sun request shipment made one time with carton marking and request lot no. for reference.</t>
  </si>
  <si>
    <t>WIP plant 8 116Kpcs (as Mr. Izam/Mr. Syafiq agreed and tested no impact to yield %)</t>
  </si>
  <si>
    <t>Order Forecast</t>
  </si>
  <si>
    <t>Below are latest order forecast and delivery plan for ASJ for next 3 months</t>
  </si>
  <si>
    <t>Jul</t>
  </si>
  <si>
    <t>Aug</t>
  </si>
  <si>
    <t>Sep</t>
  </si>
  <si>
    <t>500K</t>
  </si>
  <si>
    <t>750K</t>
  </si>
  <si>
    <t>1.5B</t>
  </si>
  <si>
    <t>3.9B</t>
  </si>
  <si>
    <t>8.0B</t>
  </si>
  <si>
    <t>950K</t>
  </si>
  <si>
    <t>900K</t>
  </si>
  <si>
    <t>2.7B</t>
  </si>
  <si>
    <t>12.7B</t>
  </si>
  <si>
    <t>3,450K</t>
  </si>
  <si>
    <t>780K</t>
  </si>
  <si>
    <t>3,730K</t>
  </si>
  <si>
    <t>4,100K</t>
  </si>
  <si>
    <t>Delivery Schedule</t>
  </si>
  <si>
    <t>Forecast (8B)</t>
  </si>
  <si>
    <t>10B (Oct)</t>
  </si>
  <si>
    <t>12B (Capacity)</t>
  </si>
  <si>
    <t>8B (Current)</t>
  </si>
  <si>
    <t xml:space="preserve">ASJ Product Capacity/Usage </t>
  </si>
  <si>
    <t>5.9B</t>
  </si>
  <si>
    <t>1,500K</t>
  </si>
  <si>
    <t>Ms. Sun request Maruwa to prepare maximum 3,000K or 80% share for 10B = 3,730K.</t>
  </si>
  <si>
    <t>Mr. Seah (COO) request Ms. Sun to increase Maruwa share for below advantage</t>
  </si>
  <si>
    <t>Maruwa weekly shipment. ASJ can reduce stock level. China take 1 month to receive.</t>
  </si>
  <si>
    <t>Last audit Mr. Seah (COO) very impress with production tour compare with China.</t>
  </si>
  <si>
    <t>ASJ satisfy with delivery and quality performance and support.</t>
  </si>
  <si>
    <t>3,000K</t>
  </si>
  <si>
    <t>80% of 10B</t>
  </si>
  <si>
    <t>➤</t>
  </si>
  <si>
    <r>
      <rPr>
        <sz val="18"/>
        <color indexed="8"/>
        <rFont val="Calibri"/>
        <family val="2"/>
      </rPr>
      <t xml:space="preserve">■ </t>
    </r>
    <r>
      <rPr>
        <sz val="18"/>
        <color indexed="8"/>
        <rFont val="Tahoma"/>
        <family val="2"/>
      </rPr>
      <t>Countermeasure 4th week for next month shipment solve delay shipment. Need to maintain quality and delivery performance.</t>
    </r>
  </si>
  <si>
    <t>■ 7910M need to imrove and increase WIP and FG ASAP to support 400K-500K shipment.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</si>
</sst>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MYR]\ #,##0.00"/>
    <numFmt numFmtId="165" formatCode="0.000%"/>
    <numFmt numFmtId="166" formatCode="[$-409]dd\-mmm\-yy;@"/>
    <numFmt numFmtId="167" formatCode="[$-409]d\-mmm;@"/>
    <numFmt numFmtId="168" formatCode="mm/dd/yy;@"/>
    <numFmt numFmtId="169" formatCode="h:mm;@"/>
  </numFmts>
  <fonts count="24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  <font>
      <sz val="11"/>
      <color rgb="FF0070C0"/>
      <name val="ＭＳ Ｐゴシック"/>
      <charset val="128"/>
    </font>
    <font>
      <b/>
      <sz val="18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8" fontId="0" fillId="0" borderId="0" xfId="0" applyNumberForma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right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10" borderId="29" xfId="0" quotePrefix="1" applyFont="1" applyFill="1" applyBorder="1" applyAlignment="1">
      <alignment horizontal="left" vertical="center"/>
    </xf>
    <xf numFmtId="0" fontId="10" fillId="10" borderId="30" xfId="0" quotePrefix="1" applyFont="1" applyFill="1" applyBorder="1" applyAlignment="1">
      <alignment horizontal="left" vertical="center"/>
    </xf>
    <xf numFmtId="0" fontId="10" fillId="10" borderId="30" xfId="0" applyFont="1" applyFill="1" applyBorder="1" applyAlignment="1">
      <alignment horizontal="left" vertical="center"/>
    </xf>
    <xf numFmtId="3" fontId="10" fillId="10" borderId="30" xfId="0" applyNumberFormat="1" applyFont="1" applyFill="1" applyBorder="1" applyAlignment="1">
      <alignment horizontal="center" vertical="center"/>
    </xf>
    <xf numFmtId="3" fontId="10" fillId="10" borderId="30" xfId="0" applyNumberFormat="1" applyFont="1" applyFill="1" applyBorder="1" applyAlignment="1">
      <alignment horizontal="right" vertical="center"/>
    </xf>
    <xf numFmtId="165" fontId="10" fillId="10" borderId="30" xfId="2" quotePrefix="1" applyNumberFormat="1" applyFont="1" applyFill="1" applyBorder="1" applyAlignment="1">
      <alignment horizontal="center" vertical="center"/>
    </xf>
    <xf numFmtId="0" fontId="19" fillId="10" borderId="30" xfId="0" applyFont="1" applyFill="1" applyBorder="1" applyAlignment="1">
      <alignment horizontal="left" vertical="center"/>
    </xf>
    <xf numFmtId="0" fontId="19" fillId="10" borderId="31" xfId="0" applyFont="1" applyFill="1" applyBorder="1" applyAlignment="1">
      <alignment horizontal="left" vertical="center"/>
    </xf>
    <xf numFmtId="0" fontId="10" fillId="10" borderId="32" xfId="0" quotePrefix="1" applyFont="1" applyFill="1" applyBorder="1" applyAlignment="1">
      <alignment horizontal="left" vertical="center"/>
    </xf>
    <xf numFmtId="0" fontId="10" fillId="10" borderId="33" xfId="0" quotePrefix="1" applyFont="1" applyFill="1" applyBorder="1" applyAlignment="1">
      <alignment horizontal="left" vertical="center"/>
    </xf>
    <xf numFmtId="0" fontId="10" fillId="10" borderId="33" xfId="0" applyFont="1" applyFill="1" applyBorder="1" applyAlignment="1">
      <alignment horizontal="left" vertical="center"/>
    </xf>
    <xf numFmtId="3" fontId="10" fillId="10" borderId="33" xfId="0" applyNumberFormat="1" applyFont="1" applyFill="1" applyBorder="1" applyAlignment="1">
      <alignment horizontal="center" vertical="center"/>
    </xf>
    <xf numFmtId="3" fontId="10" fillId="10" borderId="33" xfId="0" applyNumberFormat="1" applyFont="1" applyFill="1" applyBorder="1" applyAlignment="1">
      <alignment horizontal="right" vertical="center"/>
    </xf>
    <xf numFmtId="165" fontId="10" fillId="10" borderId="33" xfId="2" quotePrefix="1" applyNumberFormat="1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left" vertical="center"/>
    </xf>
    <xf numFmtId="0" fontId="19" fillId="10" borderId="34" xfId="0" applyFont="1" applyFill="1" applyBorder="1" applyAlignment="1">
      <alignment horizontal="left" vertical="center"/>
    </xf>
    <xf numFmtId="0" fontId="10" fillId="8" borderId="29" xfId="0" applyFont="1" applyFill="1" applyBorder="1" applyAlignment="1">
      <alignment horizontal="left" vertical="center"/>
    </xf>
    <xf numFmtId="0" fontId="15" fillId="8" borderId="30" xfId="0" applyFont="1" applyFill="1" applyBorder="1" applyAlignment="1">
      <alignment horizontal="left" vertical="center"/>
    </xf>
    <xf numFmtId="0" fontId="10" fillId="8" borderId="30" xfId="0" applyFont="1" applyFill="1" applyBorder="1" applyAlignment="1">
      <alignment horizontal="left" vertical="center"/>
    </xf>
    <xf numFmtId="0" fontId="10" fillId="8" borderId="30" xfId="0" quotePrefix="1" applyFont="1" applyFill="1" applyBorder="1" applyAlignment="1">
      <alignment horizontal="left" vertical="center"/>
    </xf>
    <xf numFmtId="0" fontId="17" fillId="8" borderId="30" xfId="0" applyFont="1" applyFill="1" applyBorder="1" applyAlignment="1">
      <alignment horizontal="left" vertical="center"/>
    </xf>
    <xf numFmtId="0" fontId="10" fillId="8" borderId="30" xfId="0" applyFont="1" applyFill="1" applyBorder="1" applyAlignment="1">
      <alignment horizontal="right" vertical="center"/>
    </xf>
    <xf numFmtId="0" fontId="16" fillId="9" borderId="30" xfId="0" applyFont="1" applyFill="1" applyBorder="1" applyAlignment="1">
      <alignment horizontal="left" vertical="center"/>
    </xf>
    <xf numFmtId="167" fontId="16" fillId="9" borderId="30" xfId="0" applyNumberFormat="1" applyFont="1" applyFill="1" applyBorder="1" applyAlignment="1">
      <alignment horizontal="center" vertical="center"/>
    </xf>
    <xf numFmtId="167" fontId="16" fillId="9" borderId="31" xfId="0" applyNumberFormat="1" applyFont="1" applyFill="1" applyBorder="1" applyAlignment="1">
      <alignment horizontal="center" vertical="center"/>
    </xf>
    <xf numFmtId="0" fontId="10" fillId="8" borderId="36" xfId="0" quotePrefix="1" applyFont="1" applyFill="1" applyBorder="1" applyAlignment="1">
      <alignment horizontal="left" vertical="center"/>
    </xf>
    <xf numFmtId="0" fontId="10" fillId="8" borderId="37" xfId="0" quotePrefix="1" applyFont="1" applyFill="1" applyBorder="1" applyAlignment="1">
      <alignment horizontal="left" vertical="center"/>
    </xf>
    <xf numFmtId="0" fontId="10" fillId="8" borderId="37" xfId="0" applyFont="1" applyFill="1" applyBorder="1" applyAlignment="1">
      <alignment horizontal="left" vertical="center"/>
    </xf>
    <xf numFmtId="3" fontId="10" fillId="8" borderId="37" xfId="0" applyNumberFormat="1" applyFont="1" applyFill="1" applyBorder="1" applyAlignment="1">
      <alignment horizontal="center" vertical="center"/>
    </xf>
    <xf numFmtId="3" fontId="10" fillId="8" borderId="37" xfId="0" applyNumberFormat="1" applyFont="1" applyFill="1" applyBorder="1" applyAlignment="1">
      <alignment horizontal="center" vertical="center"/>
    </xf>
    <xf numFmtId="3" fontId="10" fillId="8" borderId="37" xfId="0" applyNumberFormat="1" applyFont="1" applyFill="1" applyBorder="1" applyAlignment="1">
      <alignment horizontal="right" vertical="center"/>
    </xf>
    <xf numFmtId="165" fontId="10" fillId="8" borderId="37" xfId="2" quotePrefix="1" applyNumberFormat="1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left" vertical="center"/>
    </xf>
    <xf numFmtId="0" fontId="10" fillId="10" borderId="38" xfId="0" quotePrefix="1" applyFont="1" applyFill="1" applyBorder="1" applyAlignment="1">
      <alignment horizontal="left" vertical="center"/>
    </xf>
    <xf numFmtId="0" fontId="10" fillId="10" borderId="39" xfId="0" quotePrefix="1" applyFont="1" applyFill="1" applyBorder="1" applyAlignment="1">
      <alignment horizontal="left" vertical="center"/>
    </xf>
    <xf numFmtId="0" fontId="10" fillId="10" borderId="39" xfId="0" applyFont="1" applyFill="1" applyBorder="1" applyAlignment="1">
      <alignment horizontal="left" vertical="center"/>
    </xf>
    <xf numFmtId="3" fontId="10" fillId="10" borderId="39" xfId="0" applyNumberFormat="1" applyFont="1" applyFill="1" applyBorder="1" applyAlignment="1">
      <alignment horizontal="center" vertical="center"/>
    </xf>
    <xf numFmtId="3" fontId="10" fillId="10" borderId="39" xfId="0" applyNumberFormat="1" applyFont="1" applyFill="1" applyBorder="1" applyAlignment="1">
      <alignment horizontal="right" vertical="center"/>
    </xf>
    <xf numFmtId="165" fontId="10" fillId="10" borderId="39" xfId="2" quotePrefix="1" applyNumberFormat="1" applyFont="1" applyFill="1" applyBorder="1" applyAlignment="1">
      <alignment horizontal="center" vertical="center"/>
    </xf>
    <xf numFmtId="0" fontId="19" fillId="10" borderId="39" xfId="0" applyFont="1" applyFill="1" applyBorder="1" applyAlignment="1">
      <alignment horizontal="left" vertical="center"/>
    </xf>
    <xf numFmtId="0" fontId="19" fillId="10" borderId="40" xfId="0" applyFont="1" applyFill="1" applyBorder="1" applyAlignment="1">
      <alignment horizontal="left" vertical="center"/>
    </xf>
    <xf numFmtId="0" fontId="23" fillId="10" borderId="41" xfId="0" applyFont="1" applyFill="1" applyBorder="1" applyAlignment="1">
      <alignment horizontal="center" vertical="center"/>
    </xf>
    <xf numFmtId="0" fontId="23" fillId="10" borderId="42" xfId="0" applyFont="1" applyFill="1" applyBorder="1" applyAlignment="1">
      <alignment horizontal="center" vertical="center"/>
    </xf>
    <xf numFmtId="0" fontId="23" fillId="10" borderId="42" xfId="0" quotePrefix="1" applyFont="1" applyFill="1" applyBorder="1" applyAlignment="1">
      <alignment horizontal="center" vertical="center"/>
    </xf>
    <xf numFmtId="0" fontId="23" fillId="10" borderId="43" xfId="0" quotePrefix="1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left" vertical="center"/>
    </xf>
    <xf numFmtId="0" fontId="15" fillId="8" borderId="39" xfId="0" applyFont="1" applyFill="1" applyBorder="1" applyAlignment="1">
      <alignment horizontal="left" vertical="center"/>
    </xf>
    <xf numFmtId="0" fontId="10" fillId="8" borderId="39" xfId="0" applyFont="1" applyFill="1" applyBorder="1" applyAlignment="1">
      <alignment horizontal="left" vertical="center"/>
    </xf>
    <xf numFmtId="0" fontId="10" fillId="8" borderId="39" xfId="0" quotePrefix="1" applyFont="1" applyFill="1" applyBorder="1" applyAlignment="1">
      <alignment horizontal="left" vertical="center"/>
    </xf>
    <xf numFmtId="0" fontId="23" fillId="8" borderId="41" xfId="0" applyFont="1" applyFill="1" applyBorder="1" applyAlignment="1">
      <alignment horizontal="center" vertical="center"/>
    </xf>
    <xf numFmtId="0" fontId="23" fillId="8" borderId="42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left" vertical="center"/>
    </xf>
    <xf numFmtId="0" fontId="16" fillId="9" borderId="40" xfId="0" applyFont="1" applyFill="1" applyBorder="1" applyAlignment="1">
      <alignment horizontal="right" vertical="center"/>
    </xf>
    <xf numFmtId="0" fontId="23" fillId="9" borderId="41" xfId="0" applyFont="1" applyFill="1" applyBorder="1" applyAlignment="1">
      <alignment horizontal="center" vertical="center"/>
    </xf>
    <xf numFmtId="0" fontId="23" fillId="9" borderId="42" xfId="0" applyFont="1" applyFill="1" applyBorder="1" applyAlignment="1">
      <alignment horizontal="center" vertical="center"/>
    </xf>
    <xf numFmtId="0" fontId="23" fillId="9" borderId="43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left" vertical="center"/>
    </xf>
    <xf numFmtId="0" fontId="10" fillId="8" borderId="35" xfId="0" applyFont="1" applyFill="1" applyBorder="1" applyAlignment="1">
      <alignment horizontal="left" vertical="center"/>
    </xf>
    <xf numFmtId="0" fontId="19" fillId="8" borderId="45" xfId="0" applyFont="1" applyFill="1" applyBorder="1" applyAlignment="1">
      <alignment horizontal="left" vertical="center"/>
    </xf>
    <xf numFmtId="0" fontId="16" fillId="9" borderId="38" xfId="0" applyFont="1" applyFill="1" applyBorder="1" applyAlignment="1">
      <alignment horizontal="left" vertical="center"/>
    </xf>
    <xf numFmtId="0" fontId="16" fillId="9" borderId="29" xfId="0" applyFont="1" applyFill="1" applyBorder="1" applyAlignment="1">
      <alignment horizontal="left" vertical="center"/>
    </xf>
    <xf numFmtId="0" fontId="16" fillId="9" borderId="32" xfId="0" applyFont="1" applyFill="1" applyBorder="1" applyAlignment="1">
      <alignment horizontal="left" vertical="center"/>
    </xf>
    <xf numFmtId="0" fontId="16" fillId="9" borderId="33" xfId="0" applyFont="1" applyFill="1" applyBorder="1" applyAlignment="1">
      <alignment horizontal="left" vertical="center"/>
    </xf>
    <xf numFmtId="167" fontId="16" fillId="9" borderId="33" xfId="0" applyNumberFormat="1" applyFont="1" applyFill="1" applyBorder="1" applyAlignment="1">
      <alignment horizontal="center" vertical="center"/>
    </xf>
    <xf numFmtId="167" fontId="16" fillId="9" borderId="34" xfId="0" applyNumberFormat="1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right" vertical="center"/>
    </xf>
    <xf numFmtId="169" fontId="23" fillId="7" borderId="42" xfId="0" applyNumberFormat="1" applyFont="1" applyFill="1" applyBorder="1" applyAlignment="1">
      <alignment horizontal="center" vertical="center"/>
    </xf>
    <xf numFmtId="169" fontId="23" fillId="7" borderId="43" xfId="0" applyNumberFormat="1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center" vertical="center"/>
    </xf>
    <xf numFmtId="0" fontId="23" fillId="7" borderId="43" xfId="0" applyFont="1" applyFill="1" applyBorder="1" applyAlignment="1">
      <alignment horizontal="center" vertical="center"/>
    </xf>
    <xf numFmtId="166" fontId="23" fillId="7" borderId="42" xfId="0" applyNumberFormat="1" applyFont="1" applyFill="1" applyBorder="1" applyAlignment="1">
      <alignment horizontal="left" vertical="center"/>
    </xf>
    <xf numFmtId="0" fontId="6" fillId="12" borderId="46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4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48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5" xfId="0" quotePrefix="1" applyFont="1" applyFill="1" applyBorder="1" applyAlignment="1">
      <alignment vertical="center"/>
    </xf>
    <xf numFmtId="0" fontId="7" fillId="12" borderId="0" xfId="0" quotePrefix="1" applyFont="1" applyFill="1" applyBorder="1" applyAlignment="1">
      <alignment vertical="center"/>
    </xf>
    <xf numFmtId="0" fontId="7" fillId="12" borderId="0" xfId="0" applyFont="1" applyFill="1" applyBorder="1" applyAlignment="1">
      <alignment horizontal="left" vertical="center"/>
    </xf>
    <xf numFmtId="0" fontId="7" fillId="12" borderId="0" xfId="0" applyFont="1" applyFill="1" applyBorder="1" applyAlignment="1">
      <alignment vertical="center"/>
    </xf>
    <xf numFmtId="0" fontId="13" fillId="12" borderId="22" xfId="0" applyFont="1" applyFill="1" applyBorder="1" applyAlignment="1">
      <alignment horizontal="center" vertical="center"/>
    </xf>
    <xf numFmtId="0" fontId="7" fillId="12" borderId="7" xfId="0" quotePrefix="1" applyFont="1" applyFill="1" applyBorder="1" applyAlignment="1">
      <alignment vertical="center"/>
    </xf>
    <xf numFmtId="0" fontId="7" fillId="12" borderId="6" xfId="0" applyFont="1" applyFill="1" applyBorder="1" applyAlignment="1">
      <alignment horizontal="left" vertical="center"/>
    </xf>
    <xf numFmtId="0" fontId="7" fillId="12" borderId="8" xfId="0" applyFont="1" applyFill="1" applyBorder="1" applyAlignment="1">
      <alignment horizontal="left" vertical="center"/>
    </xf>
    <xf numFmtId="0" fontId="14" fillId="12" borderId="22" xfId="0" applyFont="1" applyFill="1" applyBorder="1" applyAlignment="1">
      <alignment horizontal="center" vertical="center"/>
    </xf>
    <xf numFmtId="38" fontId="7" fillId="12" borderId="0" xfId="1" applyNumberFormat="1" applyFont="1" applyFill="1" applyBorder="1" applyAlignment="1">
      <alignment horizontal="left" vertical="center"/>
    </xf>
    <xf numFmtId="164" fontId="7" fillId="12" borderId="0" xfId="0" applyNumberFormat="1" applyFont="1" applyFill="1" applyBorder="1" applyAlignment="1">
      <alignment vertical="center"/>
    </xf>
    <xf numFmtId="164" fontId="7" fillId="12" borderId="0" xfId="0" applyNumberFormat="1" applyFont="1" applyFill="1" applyBorder="1" applyAlignment="1">
      <alignment horizontal="left" vertical="center"/>
    </xf>
    <xf numFmtId="10" fontId="10" fillId="12" borderId="0" xfId="2" applyNumberFormat="1" applyFont="1" applyFill="1" applyBorder="1" applyAlignment="1">
      <alignment horizontal="left" vertical="center"/>
    </xf>
    <xf numFmtId="10" fontId="10" fillId="12" borderId="0" xfId="2" applyNumberFormat="1" applyFont="1" applyFill="1" applyBorder="1" applyAlignment="1">
      <alignment vertical="center"/>
    </xf>
    <xf numFmtId="0" fontId="10" fillId="12" borderId="0" xfId="0" applyFont="1" applyFill="1" applyBorder="1" applyAlignment="1">
      <alignment vertical="center"/>
    </xf>
    <xf numFmtId="0" fontId="13" fillId="12" borderId="22" xfId="0" quotePrefix="1" applyFont="1" applyFill="1" applyBorder="1" applyAlignment="1">
      <alignment horizontal="center" vertical="center"/>
    </xf>
    <xf numFmtId="16" fontId="7" fillId="12" borderId="0" xfId="0" applyNumberFormat="1" applyFont="1" applyFill="1" applyBorder="1" applyAlignment="1">
      <alignment vertical="center"/>
    </xf>
    <xf numFmtId="0" fontId="7" fillId="12" borderId="8" xfId="0" applyFont="1" applyFill="1" applyBorder="1" applyAlignment="1">
      <alignment vertical="center"/>
    </xf>
    <xf numFmtId="0" fontId="6" fillId="13" borderId="46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4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48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0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13" borderId="5" xfId="0" quotePrefix="1" applyFont="1" applyFill="1" applyBorder="1" applyAlignment="1">
      <alignment vertical="center"/>
    </xf>
    <xf numFmtId="0" fontId="7" fillId="13" borderId="0" xfId="0" quotePrefix="1" applyFont="1" applyFill="1" applyBorder="1" applyAlignment="1">
      <alignment vertical="center"/>
    </xf>
    <xf numFmtId="0" fontId="7" fillId="13" borderId="0" xfId="0" applyFont="1" applyFill="1" applyBorder="1" applyAlignment="1">
      <alignment horizontal="left" vertical="center"/>
    </xf>
    <xf numFmtId="0" fontId="7" fillId="13" borderId="0" xfId="0" applyFont="1" applyFill="1" applyBorder="1" applyAlignment="1">
      <alignment vertical="center"/>
    </xf>
    <xf numFmtId="0" fontId="13" fillId="13" borderId="22" xfId="0" applyFont="1" applyFill="1" applyBorder="1" applyAlignment="1">
      <alignment horizontal="center" vertical="center"/>
    </xf>
    <xf numFmtId="0" fontId="7" fillId="13" borderId="7" xfId="0" quotePrefix="1" applyFont="1" applyFill="1" applyBorder="1" applyAlignment="1">
      <alignment vertical="center"/>
    </xf>
    <xf numFmtId="0" fontId="7" fillId="13" borderId="6" xfId="0" applyFont="1" applyFill="1" applyBorder="1" applyAlignment="1">
      <alignment horizontal="left" vertical="center"/>
    </xf>
    <xf numFmtId="0" fontId="7" fillId="13" borderId="8" xfId="0" applyFont="1" applyFill="1" applyBorder="1" applyAlignment="1">
      <alignment horizontal="left" vertical="center"/>
    </xf>
    <xf numFmtId="0" fontId="14" fillId="13" borderId="22" xfId="0" applyFont="1" applyFill="1" applyBorder="1" applyAlignment="1">
      <alignment horizontal="center" vertical="center"/>
    </xf>
    <xf numFmtId="38" fontId="7" fillId="13" borderId="0" xfId="1" applyNumberFormat="1" applyFont="1" applyFill="1" applyBorder="1" applyAlignment="1">
      <alignment horizontal="left" vertical="center"/>
    </xf>
    <xf numFmtId="164" fontId="7" fillId="13" borderId="0" xfId="0" applyNumberFormat="1" applyFont="1" applyFill="1" applyBorder="1" applyAlignment="1">
      <alignment vertical="center"/>
    </xf>
    <xf numFmtId="164" fontId="7" fillId="13" borderId="0" xfId="0" applyNumberFormat="1" applyFont="1" applyFill="1" applyBorder="1" applyAlignment="1">
      <alignment horizontal="left" vertical="center"/>
    </xf>
    <xf numFmtId="10" fontId="10" fillId="13" borderId="0" xfId="2" applyNumberFormat="1" applyFont="1" applyFill="1" applyBorder="1" applyAlignment="1">
      <alignment horizontal="left" vertical="center"/>
    </xf>
    <xf numFmtId="10" fontId="10" fillId="13" borderId="0" xfId="2" applyNumberFormat="1" applyFont="1" applyFill="1" applyBorder="1" applyAlignment="1">
      <alignment vertical="center"/>
    </xf>
    <xf numFmtId="0" fontId="10" fillId="13" borderId="0" xfId="0" applyFont="1" applyFill="1" applyBorder="1" applyAlignment="1">
      <alignment vertical="center"/>
    </xf>
    <xf numFmtId="0" fontId="13" fillId="13" borderId="22" xfId="0" quotePrefix="1" applyFont="1" applyFill="1" applyBorder="1" applyAlignment="1">
      <alignment horizontal="center" vertical="center"/>
    </xf>
    <xf numFmtId="16" fontId="7" fillId="13" borderId="0" xfId="0" applyNumberFormat="1" applyFont="1" applyFill="1" applyBorder="1" applyAlignment="1">
      <alignment vertical="center"/>
    </xf>
    <xf numFmtId="0" fontId="7" fillId="13" borderId="8" xfId="0" applyFont="1" applyFill="1" applyBorder="1" applyAlignment="1">
      <alignment vertical="center"/>
    </xf>
    <xf numFmtId="0" fontId="6" fillId="12" borderId="0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vertical="center"/>
    </xf>
    <xf numFmtId="0" fontId="7" fillId="12" borderId="6" xfId="0" applyFont="1" applyFill="1" applyBorder="1" applyAlignment="1">
      <alignment vertical="center"/>
    </xf>
    <xf numFmtId="0" fontId="7" fillId="12" borderId="5" xfId="0" applyFont="1" applyFill="1" applyBorder="1" applyAlignment="1">
      <alignment vertical="center"/>
    </xf>
    <xf numFmtId="0" fontId="11" fillId="12" borderId="22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vertical="center"/>
    </xf>
    <xf numFmtId="0" fontId="12" fillId="12" borderId="22" xfId="0" applyFont="1" applyFill="1" applyBorder="1" applyAlignment="1">
      <alignment horizontal="center" vertical="center"/>
    </xf>
    <xf numFmtId="0" fontId="11" fillId="12" borderId="22" xfId="0" quotePrefix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64" fontId="6" fillId="12" borderId="7" xfId="0" applyNumberFormat="1" applyFont="1" applyFill="1" applyBorder="1" applyAlignment="1">
      <alignment horizontal="center" vertical="center"/>
    </xf>
    <xf numFmtId="164" fontId="6" fillId="12" borderId="0" xfId="0" applyNumberFormat="1" applyFont="1" applyFill="1" applyBorder="1" applyAlignment="1">
      <alignment horizontal="center" vertical="center"/>
    </xf>
    <xf numFmtId="164" fontId="6" fillId="12" borderId="8" xfId="0" applyNumberFormat="1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left" vertical="center"/>
    </xf>
    <xf numFmtId="0" fontId="7" fillId="12" borderId="6" xfId="0" applyFont="1" applyFill="1" applyBorder="1" applyAlignment="1">
      <alignment horizontal="left" vertical="center"/>
    </xf>
    <xf numFmtId="38" fontId="7" fillId="12" borderId="0" xfId="1" applyNumberFormat="1" applyFont="1" applyFill="1" applyBorder="1" applyAlignment="1">
      <alignment horizontal="left" vertical="center"/>
    </xf>
    <xf numFmtId="164" fontId="7" fillId="12" borderId="0" xfId="0" applyNumberFormat="1" applyFont="1" applyFill="1" applyBorder="1" applyAlignment="1">
      <alignment horizontal="left" vertical="center"/>
    </xf>
    <xf numFmtId="164" fontId="7" fillId="12" borderId="6" xfId="0" applyNumberFormat="1" applyFont="1" applyFill="1" applyBorder="1" applyAlignment="1">
      <alignment horizontal="left" vertical="center"/>
    </xf>
    <xf numFmtId="38" fontId="10" fillId="12" borderId="0" xfId="1" applyNumberFormat="1" applyFont="1" applyFill="1" applyBorder="1" applyAlignment="1">
      <alignment vertical="center"/>
    </xf>
    <xf numFmtId="38" fontId="10" fillId="12" borderId="8" xfId="1" applyNumberFormat="1" applyFont="1" applyFill="1" applyBorder="1" applyAlignment="1">
      <alignment vertical="center"/>
    </xf>
    <xf numFmtId="38" fontId="7" fillId="12" borderId="0" xfId="1" applyNumberFormat="1" applyFont="1" applyFill="1" applyBorder="1" applyAlignment="1">
      <alignment vertical="center"/>
    </xf>
    <xf numFmtId="38" fontId="7" fillId="12" borderId="8" xfId="1" applyNumberFormat="1" applyFont="1" applyFill="1" applyBorder="1" applyAlignment="1">
      <alignment vertical="center"/>
    </xf>
    <xf numFmtId="164" fontId="7" fillId="12" borderId="6" xfId="0" applyNumberFormat="1" applyFont="1" applyFill="1" applyBorder="1" applyAlignment="1">
      <alignment horizontal="left" vertical="center"/>
    </xf>
    <xf numFmtId="0" fontId="3" fillId="13" borderId="26" xfId="0" applyFont="1" applyFill="1" applyBorder="1"/>
    <xf numFmtId="0" fontId="3" fillId="13" borderId="27" xfId="0" applyFont="1" applyFill="1" applyBorder="1"/>
    <xf numFmtId="0" fontId="8" fillId="13" borderId="27" xfId="0" applyFont="1" applyFill="1" applyBorder="1" applyAlignment="1">
      <alignment horizontal="center" vertical="center"/>
    </xf>
    <xf numFmtId="0" fontId="4" fillId="13" borderId="27" xfId="0" applyFont="1" applyFill="1" applyBorder="1"/>
    <xf numFmtId="0" fontId="21" fillId="13" borderId="27" xfId="0" applyFont="1" applyFill="1" applyBorder="1"/>
    <xf numFmtId="0" fontId="20" fillId="13" borderId="27" xfId="0" applyFont="1" applyFill="1" applyBorder="1"/>
    <xf numFmtId="0" fontId="7" fillId="13" borderId="28" xfId="0" applyFont="1" applyFill="1" applyBorder="1" applyAlignment="1">
      <alignment horizontal="right"/>
    </xf>
    <xf numFmtId="0" fontId="3" fillId="13" borderId="5" xfId="0" applyFont="1" applyFill="1" applyBorder="1"/>
    <xf numFmtId="0" fontId="3" fillId="13" borderId="0" xfId="0" applyFont="1" applyFill="1" applyBorder="1"/>
    <xf numFmtId="0" fontId="8" fillId="13" borderId="0" xfId="0" applyFont="1" applyFill="1" applyBorder="1" applyAlignment="1">
      <alignment horizontal="center" vertical="center"/>
    </xf>
    <xf numFmtId="0" fontId="4" fillId="13" borderId="0" xfId="0" applyFont="1" applyFill="1" applyBorder="1"/>
    <xf numFmtId="0" fontId="21" fillId="13" borderId="0" xfId="0" applyFont="1" applyFill="1" applyBorder="1"/>
    <xf numFmtId="0" fontId="20" fillId="13" borderId="0" xfId="0" applyFont="1" applyFill="1" applyBorder="1"/>
    <xf numFmtId="0" fontId="7" fillId="13" borderId="8" xfId="0" applyFont="1" applyFill="1" applyBorder="1" applyAlignment="1">
      <alignment horizontal="right"/>
    </xf>
    <xf numFmtId="0" fontId="3" fillId="13" borderId="8" xfId="0" applyFont="1" applyFill="1" applyBorder="1" applyAlignment="1">
      <alignment horizontal="right"/>
    </xf>
    <xf numFmtId="0" fontId="5" fillId="13" borderId="13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164" fontId="6" fillId="13" borderId="7" xfId="0" applyNumberFormat="1" applyFont="1" applyFill="1" applyBorder="1" applyAlignment="1">
      <alignment horizontal="center" vertical="center"/>
    </xf>
    <xf numFmtId="164" fontId="6" fillId="13" borderId="0" xfId="0" applyNumberFormat="1" applyFont="1" applyFill="1" applyBorder="1" applyAlignment="1">
      <alignment horizontal="center" vertical="center"/>
    </xf>
    <xf numFmtId="164" fontId="6" fillId="13" borderId="8" xfId="0" applyNumberFormat="1" applyFont="1" applyFill="1" applyBorder="1" applyAlignment="1">
      <alignment horizontal="center" vertical="center"/>
    </xf>
    <xf numFmtId="0" fontId="7" fillId="13" borderId="0" xfId="0" applyFont="1" applyFill="1" applyBorder="1" applyAlignment="1">
      <alignment horizontal="left" vertical="center"/>
    </xf>
    <xf numFmtId="0" fontId="7" fillId="13" borderId="6" xfId="0" applyFont="1" applyFill="1" applyBorder="1" applyAlignment="1">
      <alignment horizontal="left" vertical="center"/>
    </xf>
    <xf numFmtId="38" fontId="7" fillId="13" borderId="0" xfId="1" applyNumberFormat="1" applyFont="1" applyFill="1" applyBorder="1" applyAlignment="1">
      <alignment horizontal="left" vertical="center"/>
    </xf>
    <xf numFmtId="164" fontId="7" fillId="13" borderId="0" xfId="0" applyNumberFormat="1" applyFont="1" applyFill="1" applyBorder="1" applyAlignment="1">
      <alignment horizontal="left" vertical="center"/>
    </xf>
    <xf numFmtId="164" fontId="7" fillId="13" borderId="6" xfId="0" applyNumberFormat="1" applyFont="1" applyFill="1" applyBorder="1" applyAlignment="1">
      <alignment horizontal="left" vertical="center"/>
    </xf>
    <xf numFmtId="38" fontId="10" fillId="13" borderId="0" xfId="1" applyNumberFormat="1" applyFont="1" applyFill="1" applyBorder="1" applyAlignment="1">
      <alignment vertical="center"/>
    </xf>
    <xf numFmtId="38" fontId="10" fillId="13" borderId="8" xfId="1" applyNumberFormat="1" applyFont="1" applyFill="1" applyBorder="1" applyAlignment="1">
      <alignment vertical="center"/>
    </xf>
    <xf numFmtId="38" fontId="7" fillId="13" borderId="0" xfId="1" applyNumberFormat="1" applyFont="1" applyFill="1" applyBorder="1" applyAlignment="1">
      <alignment vertical="center"/>
    </xf>
    <xf numFmtId="38" fontId="7" fillId="13" borderId="8" xfId="1" applyNumberFormat="1" applyFont="1" applyFill="1" applyBorder="1" applyAlignment="1">
      <alignment vertical="center"/>
    </xf>
    <xf numFmtId="164" fontId="7" fillId="13" borderId="6" xfId="0" applyNumberFormat="1" applyFont="1" applyFill="1" applyBorder="1" applyAlignment="1">
      <alignment horizontal="left" vertical="center"/>
    </xf>
    <xf numFmtId="0" fontId="6" fillId="13" borderId="8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vertical="center"/>
    </xf>
    <xf numFmtId="0" fontId="7" fillId="13" borderId="6" xfId="0" applyFont="1" applyFill="1" applyBorder="1" applyAlignment="1">
      <alignment vertical="center"/>
    </xf>
    <xf numFmtId="0" fontId="7" fillId="13" borderId="5" xfId="0" applyFont="1" applyFill="1" applyBorder="1" applyAlignment="1">
      <alignment vertical="center"/>
    </xf>
    <xf numFmtId="0" fontId="11" fillId="13" borderId="22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vertical="center"/>
    </xf>
    <xf numFmtId="0" fontId="12" fillId="13" borderId="22" xfId="0" applyFont="1" applyFill="1" applyBorder="1" applyAlignment="1">
      <alignment horizontal="center" vertical="center"/>
    </xf>
    <xf numFmtId="0" fontId="11" fillId="13" borderId="22" xfId="0" quotePrefix="1" applyFont="1" applyFill="1" applyBorder="1" applyAlignment="1">
      <alignment horizontal="center" vertical="center"/>
    </xf>
    <xf numFmtId="0" fontId="10" fillId="13" borderId="26" xfId="0" applyFont="1" applyFill="1" applyBorder="1" applyAlignment="1">
      <alignment horizontal="left" vertical="center"/>
    </xf>
    <xf numFmtId="0" fontId="15" fillId="13" borderId="27" xfId="0" applyFont="1" applyFill="1" applyBorder="1" applyAlignment="1">
      <alignment horizontal="left" vertical="center"/>
    </xf>
    <xf numFmtId="0" fontId="10" fillId="13" borderId="27" xfId="0" applyFont="1" applyFill="1" applyBorder="1" applyAlignment="1">
      <alignment horizontal="left" vertical="center"/>
    </xf>
    <xf numFmtId="0" fontId="10" fillId="13" borderId="27" xfId="0" quotePrefix="1" applyFont="1" applyFill="1" applyBorder="1" applyAlignment="1">
      <alignment horizontal="left" vertical="center"/>
    </xf>
    <xf numFmtId="0" fontId="16" fillId="13" borderId="27" xfId="0" applyFont="1" applyFill="1" applyBorder="1" applyAlignment="1">
      <alignment horizontal="left" vertical="center"/>
    </xf>
    <xf numFmtId="0" fontId="16" fillId="13" borderId="28" xfId="0" applyFont="1" applyFill="1" applyBorder="1" applyAlignment="1">
      <alignment horizontal="right" vertical="center"/>
    </xf>
    <xf numFmtId="0" fontId="10" fillId="13" borderId="5" xfId="0" applyFont="1" applyFill="1" applyBorder="1" applyAlignment="1">
      <alignment horizontal="left" vertical="center"/>
    </xf>
    <xf numFmtId="0" fontId="15" fillId="13" borderId="0" xfId="0" applyFont="1" applyFill="1" applyBorder="1" applyAlignment="1">
      <alignment horizontal="left" vertical="center"/>
    </xf>
    <xf numFmtId="0" fontId="10" fillId="13" borderId="0" xfId="0" applyFont="1" applyFill="1" applyBorder="1" applyAlignment="1">
      <alignment horizontal="left" vertical="center"/>
    </xf>
    <xf numFmtId="0" fontId="10" fillId="13" borderId="0" xfId="0" quotePrefix="1" applyFont="1" applyFill="1" applyBorder="1" applyAlignment="1">
      <alignment horizontal="left" vertical="center"/>
    </xf>
    <xf numFmtId="0" fontId="16" fillId="13" borderId="0" xfId="0" applyFont="1" applyFill="1" applyBorder="1" applyAlignment="1">
      <alignment horizontal="left" vertical="center"/>
    </xf>
    <xf numFmtId="167" fontId="16" fillId="13" borderId="0" xfId="0" applyNumberFormat="1" applyFont="1" applyFill="1" applyBorder="1" applyAlignment="1">
      <alignment horizontal="center" vertical="center"/>
    </xf>
    <xf numFmtId="167" fontId="16" fillId="13" borderId="8" xfId="0" applyNumberFormat="1" applyFont="1" applyFill="1" applyBorder="1" applyAlignment="1">
      <alignment horizontal="center" vertical="center"/>
    </xf>
    <xf numFmtId="0" fontId="17" fillId="13" borderId="0" xfId="0" applyFont="1" applyFill="1" applyBorder="1" applyAlignment="1">
      <alignment horizontal="left" vertical="center"/>
    </xf>
    <xf numFmtId="0" fontId="10" fillId="13" borderId="0" xfId="0" applyFont="1" applyFill="1" applyBorder="1" applyAlignment="1">
      <alignment horizontal="right" vertical="center"/>
    </xf>
    <xf numFmtId="0" fontId="10" fillId="13" borderId="13" xfId="0" quotePrefix="1" applyFont="1" applyFill="1" applyBorder="1" applyAlignment="1">
      <alignment horizontal="left" vertical="center"/>
    </xf>
    <xf numFmtId="0" fontId="10" fillId="13" borderId="14" xfId="0" quotePrefix="1" applyFont="1" applyFill="1" applyBorder="1" applyAlignment="1">
      <alignment horizontal="left" vertical="center"/>
    </xf>
    <xf numFmtId="0" fontId="10" fillId="13" borderId="14" xfId="0" applyFont="1" applyFill="1" applyBorder="1" applyAlignment="1">
      <alignment horizontal="left" vertical="center"/>
    </xf>
    <xf numFmtId="3" fontId="10" fillId="13" borderId="14" xfId="0" applyNumberFormat="1" applyFont="1" applyFill="1" applyBorder="1" applyAlignment="1">
      <alignment horizontal="center" vertical="center"/>
    </xf>
    <xf numFmtId="3" fontId="10" fillId="13" borderId="14" xfId="0" applyNumberFormat="1" applyFont="1" applyFill="1" applyBorder="1" applyAlignment="1">
      <alignment horizontal="center" vertical="center"/>
    </xf>
    <xf numFmtId="3" fontId="10" fillId="13" borderId="14" xfId="0" applyNumberFormat="1" applyFont="1" applyFill="1" applyBorder="1" applyAlignment="1">
      <alignment horizontal="right" vertical="center"/>
    </xf>
    <xf numFmtId="165" fontId="10" fillId="13" borderId="14" xfId="2" quotePrefix="1" applyNumberFormat="1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left" vertical="center"/>
    </xf>
    <xf numFmtId="0" fontId="16" fillId="13" borderId="14" xfId="0" applyFont="1" applyFill="1" applyBorder="1" applyAlignment="1">
      <alignment horizontal="left" vertical="center"/>
    </xf>
    <xf numFmtId="167" fontId="16" fillId="13" borderId="14" xfId="0" applyNumberFormat="1" applyFont="1" applyFill="1" applyBorder="1" applyAlignment="1">
      <alignment horizontal="center" vertical="center"/>
    </xf>
    <xf numFmtId="167" fontId="16" fillId="13" borderId="15" xfId="0" applyNumberFormat="1" applyFont="1" applyFill="1" applyBorder="1" applyAlignment="1">
      <alignment horizontal="center" vertical="center"/>
    </xf>
    <xf numFmtId="0" fontId="16" fillId="13" borderId="26" xfId="0" applyFont="1" applyFill="1" applyBorder="1" applyAlignment="1">
      <alignment horizontal="left" vertical="center"/>
    </xf>
    <xf numFmtId="0" fontId="16" fillId="13" borderId="5" xfId="0" applyFont="1" applyFill="1" applyBorder="1" applyAlignment="1">
      <alignment horizontal="left" vertical="center"/>
    </xf>
    <xf numFmtId="0" fontId="16" fillId="13" borderId="13" xfId="0" applyFont="1" applyFill="1" applyBorder="1" applyAlignment="1">
      <alignment horizontal="left" vertical="center"/>
    </xf>
    <xf numFmtId="0" fontId="10" fillId="13" borderId="26" xfId="0" quotePrefix="1" applyFont="1" applyFill="1" applyBorder="1" applyAlignment="1">
      <alignment horizontal="left" vertical="center"/>
    </xf>
    <xf numFmtId="3" fontId="10" fillId="13" borderId="27" xfId="0" applyNumberFormat="1" applyFont="1" applyFill="1" applyBorder="1" applyAlignment="1">
      <alignment horizontal="center" vertical="center"/>
    </xf>
    <xf numFmtId="3" fontId="10" fillId="13" borderId="27" xfId="0" applyNumberFormat="1" applyFont="1" applyFill="1" applyBorder="1" applyAlignment="1">
      <alignment horizontal="right" vertical="center"/>
    </xf>
    <xf numFmtId="165" fontId="10" fillId="13" borderId="27" xfId="2" quotePrefix="1" applyNumberFormat="1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left" vertical="center"/>
    </xf>
    <xf numFmtId="0" fontId="19" fillId="13" borderId="28" xfId="0" applyFont="1" applyFill="1" applyBorder="1" applyAlignment="1">
      <alignment horizontal="left" vertical="center"/>
    </xf>
    <xf numFmtId="0" fontId="10" fillId="13" borderId="5" xfId="0" quotePrefix="1" applyFont="1" applyFill="1" applyBorder="1" applyAlignment="1">
      <alignment horizontal="left" vertical="center"/>
    </xf>
    <xf numFmtId="3" fontId="10" fillId="13" borderId="0" xfId="0" applyNumberFormat="1" applyFont="1" applyFill="1" applyBorder="1" applyAlignment="1">
      <alignment horizontal="center" vertical="center"/>
    </xf>
    <xf numFmtId="3" fontId="10" fillId="13" borderId="0" xfId="0" applyNumberFormat="1" applyFont="1" applyFill="1" applyBorder="1" applyAlignment="1">
      <alignment horizontal="right" vertical="center"/>
    </xf>
    <xf numFmtId="165" fontId="10" fillId="13" borderId="0" xfId="2" quotePrefix="1" applyNumberFormat="1" applyFont="1" applyFill="1" applyBorder="1" applyAlignment="1">
      <alignment horizontal="center" vertical="center"/>
    </xf>
    <xf numFmtId="0" fontId="19" fillId="13" borderId="0" xfId="0" applyFont="1" applyFill="1" applyBorder="1" applyAlignment="1">
      <alignment horizontal="left" vertical="center"/>
    </xf>
    <xf numFmtId="0" fontId="19" fillId="13" borderId="8" xfId="0" applyFont="1" applyFill="1" applyBorder="1" applyAlignment="1">
      <alignment horizontal="left" vertical="center"/>
    </xf>
    <xf numFmtId="3" fontId="10" fillId="13" borderId="14" xfId="0" applyNumberFormat="1" applyFont="1" applyFill="1" applyBorder="1" applyAlignment="1">
      <alignment horizontal="right" vertical="center"/>
    </xf>
    <xf numFmtId="165" fontId="10" fillId="13" borderId="14" xfId="2" quotePrefix="1" applyNumberFormat="1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left" vertical="center"/>
    </xf>
    <xf numFmtId="0" fontId="23" fillId="5" borderId="41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2" xfId="0" quotePrefix="1" applyFont="1" applyFill="1" applyBorder="1" applyAlignment="1">
      <alignment horizontal="center" vertical="center"/>
    </xf>
    <xf numFmtId="0" fontId="23" fillId="6" borderId="43" xfId="0" quotePrefix="1" applyFont="1" applyFill="1" applyBorder="1" applyAlignment="1">
      <alignment horizontal="center" vertical="center"/>
    </xf>
    <xf numFmtId="0" fontId="17" fillId="13" borderId="0" xfId="0" quotePrefix="1" applyFont="1" applyFill="1" applyBorder="1" applyAlignment="1">
      <alignment horizontal="left" vertical="center"/>
    </xf>
    <xf numFmtId="0" fontId="10" fillId="13" borderId="0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right" vertical="center"/>
    </xf>
    <xf numFmtId="0" fontId="10" fillId="13" borderId="7" xfId="0" quotePrefix="1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/>
    </xf>
    <xf numFmtId="0" fontId="10" fillId="13" borderId="7" xfId="0" applyFont="1" applyFill="1" applyBorder="1" applyAlignment="1">
      <alignment horizontal="right" vertical="center"/>
    </xf>
    <xf numFmtId="0" fontId="10" fillId="13" borderId="6" xfId="0" applyFont="1" applyFill="1" applyBorder="1" applyAlignment="1">
      <alignment horizontal="right" vertical="center"/>
    </xf>
    <xf numFmtId="0" fontId="10" fillId="13" borderId="10" xfId="0" applyFont="1" applyFill="1" applyBorder="1" applyAlignment="1">
      <alignment horizontal="left" vertical="center"/>
    </xf>
    <xf numFmtId="0" fontId="10" fillId="13" borderId="11" xfId="0" quotePrefix="1" applyFont="1" applyFill="1" applyBorder="1" applyAlignment="1">
      <alignment horizontal="left" vertical="center"/>
    </xf>
    <xf numFmtId="0" fontId="10" fillId="13" borderId="11" xfId="0" applyFont="1" applyFill="1" applyBorder="1" applyAlignment="1">
      <alignment horizontal="left" vertical="center"/>
    </xf>
    <xf numFmtId="0" fontId="10" fillId="13" borderId="17" xfId="0" applyFont="1" applyFill="1" applyBorder="1" applyAlignment="1">
      <alignment horizontal="left" vertical="center"/>
    </xf>
    <xf numFmtId="0" fontId="10" fillId="13" borderId="10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right" vertical="center"/>
    </xf>
    <xf numFmtId="0" fontId="10" fillId="13" borderId="11" xfId="0" applyFont="1" applyFill="1" applyBorder="1" applyAlignment="1">
      <alignment horizontal="right" vertical="center"/>
    </xf>
    <xf numFmtId="0" fontId="10" fillId="13" borderId="17" xfId="0" applyFont="1" applyFill="1" applyBorder="1" applyAlignment="1">
      <alignment horizontal="right" vertical="center"/>
    </xf>
    <xf numFmtId="3" fontId="10" fillId="13" borderId="10" xfId="0" applyNumberFormat="1" applyFont="1" applyFill="1" applyBorder="1" applyAlignment="1">
      <alignment horizontal="right" vertical="center"/>
    </xf>
    <xf numFmtId="3" fontId="10" fillId="13" borderId="11" xfId="0" applyNumberFormat="1" applyFont="1" applyFill="1" applyBorder="1" applyAlignment="1">
      <alignment horizontal="right" vertical="center"/>
    </xf>
    <xf numFmtId="3" fontId="10" fillId="13" borderId="17" xfId="0" applyNumberFormat="1" applyFont="1" applyFill="1" applyBorder="1" applyAlignment="1">
      <alignment horizontal="right" vertical="center"/>
    </xf>
    <xf numFmtId="3" fontId="10" fillId="13" borderId="2" xfId="0" applyNumberFormat="1" applyFont="1" applyFill="1" applyBorder="1" applyAlignment="1">
      <alignment horizontal="right" vertical="center"/>
    </xf>
    <xf numFmtId="3" fontId="10" fillId="13" borderId="3" xfId="0" applyNumberFormat="1" applyFont="1" applyFill="1" applyBorder="1" applyAlignment="1">
      <alignment horizontal="right" vertical="center"/>
    </xf>
    <xf numFmtId="3" fontId="10" fillId="13" borderId="9" xfId="0" applyNumberFormat="1" applyFont="1" applyFill="1" applyBorder="1" applyAlignment="1">
      <alignment horizontal="right" vertical="center"/>
    </xf>
    <xf numFmtId="3" fontId="10" fillId="13" borderId="7" xfId="0" applyNumberFormat="1" applyFont="1" applyFill="1" applyBorder="1" applyAlignment="1">
      <alignment horizontal="right" vertical="center"/>
    </xf>
    <xf numFmtId="3" fontId="10" fillId="13" borderId="0" xfId="0" applyNumberFormat="1" applyFont="1" applyFill="1" applyBorder="1" applyAlignment="1">
      <alignment horizontal="right" vertical="center"/>
    </xf>
    <xf numFmtId="3" fontId="10" fillId="13" borderId="6" xfId="0" applyNumberFormat="1" applyFont="1" applyFill="1" applyBorder="1" applyAlignment="1">
      <alignment horizontal="right" vertical="center"/>
    </xf>
    <xf numFmtId="9" fontId="10" fillId="13" borderId="3" xfId="2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left" vertical="center"/>
    </xf>
    <xf numFmtId="0" fontId="10" fillId="11" borderId="0" xfId="0" quotePrefix="1" applyFont="1" applyFill="1" applyBorder="1" applyAlignment="1">
      <alignment horizontal="left" vertical="center"/>
    </xf>
    <xf numFmtId="0" fontId="10" fillId="11" borderId="0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FFFFF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88" y="93383"/>
          <a:ext cx="3590614" cy="770218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zoomScale="85" zoomScaleNormal="85" workbookViewId="0">
      <selection activeCell="AP11" sqref="AP1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309"/>
      <c r="C2" s="310"/>
      <c r="D2" s="310"/>
      <c r="E2" s="310"/>
      <c r="F2" s="310"/>
      <c r="G2" s="311" t="s">
        <v>251</v>
      </c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2"/>
      <c r="AL2" s="312"/>
      <c r="AM2" s="313"/>
      <c r="AN2" s="313"/>
      <c r="AO2" s="314"/>
      <c r="AP2" s="314"/>
      <c r="AQ2" s="314"/>
      <c r="AR2" s="314"/>
      <c r="AS2" s="314"/>
      <c r="AT2" s="315" t="s">
        <v>41</v>
      </c>
    </row>
    <row r="3" spans="1:52" ht="24" customHeight="1">
      <c r="B3" s="316"/>
      <c r="C3" s="317"/>
      <c r="D3" s="317"/>
      <c r="E3" s="317"/>
      <c r="F3" s="317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9"/>
      <c r="AL3" s="319"/>
      <c r="AM3" s="320"/>
      <c r="AN3" s="320"/>
      <c r="AO3" s="321"/>
      <c r="AP3" s="321"/>
      <c r="AQ3" s="321"/>
      <c r="AR3" s="321"/>
      <c r="AS3" s="321"/>
      <c r="AT3" s="322" t="s">
        <v>42</v>
      </c>
    </row>
    <row r="4" spans="1:52" ht="24" customHeight="1">
      <c r="B4" s="316"/>
      <c r="C4" s="317"/>
      <c r="D4" s="317"/>
      <c r="E4" s="317"/>
      <c r="F4" s="317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9"/>
      <c r="AL4" s="319"/>
      <c r="AM4" s="319"/>
      <c r="AN4" s="319"/>
      <c r="AO4" s="317"/>
      <c r="AP4" s="317"/>
      <c r="AQ4" s="317"/>
      <c r="AR4" s="317"/>
      <c r="AS4" s="317"/>
      <c r="AT4" s="323"/>
    </row>
    <row r="5" spans="1:52" ht="5.25" customHeight="1" thickBot="1">
      <c r="B5" s="324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6"/>
    </row>
    <row r="6" spans="1:52" s="8" customFormat="1" ht="24" customHeight="1" thickBot="1">
      <c r="A6" s="7"/>
      <c r="B6" s="221" t="s">
        <v>242</v>
      </c>
      <c r="C6" s="222"/>
      <c r="D6" s="222"/>
      <c r="E6" s="222"/>
      <c r="F6" s="222"/>
      <c r="G6" s="222"/>
      <c r="H6" s="222" t="s">
        <v>250</v>
      </c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 t="s">
        <v>243</v>
      </c>
      <c r="AG6" s="222"/>
      <c r="AH6" s="222"/>
      <c r="AI6" s="222"/>
      <c r="AJ6" s="229">
        <v>42564</v>
      </c>
      <c r="AK6" s="229"/>
      <c r="AL6" s="229"/>
      <c r="AM6" s="229"/>
      <c r="AN6" s="229"/>
      <c r="AO6" s="224" t="s">
        <v>244</v>
      </c>
      <c r="AP6" s="224"/>
      <c r="AQ6" s="224"/>
      <c r="AR6" s="225">
        <v>0.45833333333333331</v>
      </c>
      <c r="AS6" s="225"/>
      <c r="AT6" s="226"/>
      <c r="AU6" s="7"/>
      <c r="AV6" s="7"/>
    </row>
    <row r="7" spans="1:52" s="10" customFormat="1" ht="24" customHeight="1">
      <c r="A7" s="9"/>
      <c r="B7" s="295" t="s">
        <v>0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33" t="s">
        <v>1</v>
      </c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96" t="s">
        <v>2</v>
      </c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8"/>
      <c r="AU7" s="9"/>
      <c r="AV7" s="9"/>
      <c r="AY7" s="11"/>
    </row>
    <row r="8" spans="1:52" s="10" customFormat="1" ht="24" customHeight="1">
      <c r="A8" s="9"/>
      <c r="B8" s="240"/>
      <c r="C8" s="241" t="s">
        <v>3</v>
      </c>
      <c r="D8" s="299" t="s">
        <v>12</v>
      </c>
      <c r="E8" s="299"/>
      <c r="F8" s="299"/>
      <c r="G8" s="299"/>
      <c r="H8" s="299"/>
      <c r="I8" s="299"/>
      <c r="J8" s="299"/>
      <c r="K8" s="299"/>
      <c r="L8" s="299" t="s">
        <v>23</v>
      </c>
      <c r="M8" s="299"/>
      <c r="N8" s="299"/>
      <c r="O8" s="299"/>
      <c r="P8" s="300"/>
      <c r="Q8" s="241" t="s">
        <v>3</v>
      </c>
      <c r="R8" s="301" t="s">
        <v>60</v>
      </c>
      <c r="S8" s="301"/>
      <c r="T8" s="301"/>
      <c r="U8" s="301"/>
      <c r="V8" s="301"/>
      <c r="W8" s="301"/>
      <c r="X8" s="301"/>
      <c r="Y8" s="301"/>
      <c r="Z8" s="301"/>
      <c r="AA8" s="302" t="s">
        <v>124</v>
      </c>
      <c r="AB8" s="302"/>
      <c r="AC8" s="302"/>
      <c r="AD8" s="302"/>
      <c r="AE8" s="303"/>
      <c r="AF8" s="241" t="s">
        <v>3</v>
      </c>
      <c r="AG8" s="250" t="s">
        <v>238</v>
      </c>
      <c r="AH8" s="250"/>
      <c r="AI8" s="250"/>
      <c r="AJ8" s="250"/>
      <c r="AK8" s="250"/>
      <c r="AL8" s="250"/>
      <c r="AM8" s="250"/>
      <c r="AN8" s="250"/>
      <c r="AO8" s="252"/>
      <c r="AP8" s="253"/>
      <c r="AQ8" s="253"/>
      <c r="AR8" s="254"/>
      <c r="AS8" s="304"/>
      <c r="AT8" s="305"/>
      <c r="AU8" s="9"/>
      <c r="AV8" s="9"/>
    </row>
    <row r="9" spans="1:52" s="10" customFormat="1" ht="24" customHeight="1">
      <c r="A9" s="9"/>
      <c r="B9" s="240"/>
      <c r="C9" s="241" t="s">
        <v>4</v>
      </c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300"/>
      <c r="Q9" s="241" t="s">
        <v>4</v>
      </c>
      <c r="R9" s="301"/>
      <c r="S9" s="301"/>
      <c r="T9" s="301"/>
      <c r="U9" s="301"/>
      <c r="V9" s="301"/>
      <c r="W9" s="301"/>
      <c r="X9" s="301"/>
      <c r="Y9" s="301"/>
      <c r="Z9" s="301"/>
      <c r="AA9" s="302"/>
      <c r="AB9" s="302"/>
      <c r="AC9" s="302"/>
      <c r="AD9" s="302"/>
      <c r="AE9" s="303"/>
      <c r="AF9" s="241" t="s">
        <v>4</v>
      </c>
      <c r="AG9" s="250" t="s">
        <v>239</v>
      </c>
      <c r="AH9" s="250"/>
      <c r="AI9" s="250"/>
      <c r="AJ9" s="250"/>
      <c r="AK9" s="250"/>
      <c r="AL9" s="250"/>
      <c r="AM9" s="250"/>
      <c r="AN9" s="250"/>
      <c r="AO9" s="252"/>
      <c r="AP9" s="243"/>
      <c r="AQ9" s="243"/>
      <c r="AR9" s="243"/>
      <c r="AS9" s="306"/>
      <c r="AT9" s="307"/>
      <c r="AU9" s="9"/>
      <c r="AV9" s="9"/>
      <c r="AZ9" s="24"/>
    </row>
    <row r="10" spans="1:52" s="10" customFormat="1" ht="24" customHeight="1">
      <c r="A10" s="9"/>
      <c r="B10" s="240"/>
      <c r="C10" s="241" t="s">
        <v>5</v>
      </c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300"/>
      <c r="Q10" s="241" t="s">
        <v>5</v>
      </c>
      <c r="R10" s="301"/>
      <c r="S10" s="301"/>
      <c r="T10" s="301"/>
      <c r="U10" s="301"/>
      <c r="V10" s="301"/>
      <c r="W10" s="301"/>
      <c r="X10" s="301"/>
      <c r="Y10" s="301"/>
      <c r="Z10" s="301"/>
      <c r="AA10" s="302"/>
      <c r="AB10" s="302"/>
      <c r="AC10" s="302"/>
      <c r="AD10" s="302"/>
      <c r="AE10" s="303"/>
      <c r="AF10" s="241" t="s">
        <v>5</v>
      </c>
      <c r="AG10" s="250" t="s">
        <v>240</v>
      </c>
      <c r="AH10" s="250"/>
      <c r="AI10" s="250"/>
      <c r="AJ10" s="250"/>
      <c r="AK10" s="250"/>
      <c r="AL10" s="250"/>
      <c r="AM10" s="250"/>
      <c r="AN10" s="250"/>
      <c r="AO10" s="252"/>
      <c r="AP10" s="243"/>
      <c r="AQ10" s="243"/>
      <c r="AR10" s="243"/>
      <c r="AS10" s="306"/>
      <c r="AT10" s="307"/>
      <c r="AU10" s="9"/>
      <c r="AV10" s="9"/>
    </row>
    <row r="11" spans="1:52" s="10" customFormat="1" ht="24" customHeight="1">
      <c r="A11" s="9"/>
      <c r="B11" s="240"/>
      <c r="C11" s="241" t="s">
        <v>43</v>
      </c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6"/>
      <c r="Q11" s="241" t="s">
        <v>43</v>
      </c>
      <c r="R11" s="301"/>
      <c r="S11" s="301"/>
      <c r="T11" s="301"/>
      <c r="U11" s="301"/>
      <c r="V11" s="301"/>
      <c r="W11" s="301"/>
      <c r="X11" s="301"/>
      <c r="Y11" s="301"/>
      <c r="Z11" s="301"/>
      <c r="AA11" s="251"/>
      <c r="AB11" s="251"/>
      <c r="AC11" s="251"/>
      <c r="AD11" s="251"/>
      <c r="AE11" s="308"/>
      <c r="AF11" s="241" t="s">
        <v>43</v>
      </c>
      <c r="AG11" s="250" t="s">
        <v>241</v>
      </c>
      <c r="AH11" s="250"/>
      <c r="AI11" s="250"/>
      <c r="AJ11" s="250"/>
      <c r="AK11" s="250"/>
      <c r="AL11" s="250"/>
      <c r="AM11" s="250"/>
      <c r="AN11" s="250"/>
      <c r="AO11" s="252"/>
      <c r="AP11" s="243"/>
      <c r="AQ11" s="243"/>
      <c r="AR11" s="243"/>
      <c r="AS11" s="306"/>
      <c r="AT11" s="307"/>
      <c r="AU11" s="9"/>
      <c r="AV11" s="9"/>
    </row>
    <row r="12" spans="1:52" s="10" customFormat="1" ht="24" customHeight="1" thickBot="1">
      <c r="A12" s="9"/>
      <c r="B12" s="240"/>
      <c r="C12" s="241" t="s">
        <v>7</v>
      </c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300"/>
      <c r="Q12" s="241" t="s">
        <v>7</v>
      </c>
      <c r="R12" s="301"/>
      <c r="S12" s="301"/>
      <c r="T12" s="301"/>
      <c r="U12" s="301"/>
      <c r="V12" s="301"/>
      <c r="W12" s="301"/>
      <c r="X12" s="301"/>
      <c r="Y12" s="301"/>
      <c r="Z12" s="301"/>
      <c r="AA12" s="302"/>
      <c r="AB12" s="302"/>
      <c r="AC12" s="302"/>
      <c r="AD12" s="302"/>
      <c r="AE12" s="303"/>
      <c r="AF12" s="241" t="s">
        <v>7</v>
      </c>
      <c r="AG12" s="241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306"/>
      <c r="AT12" s="307"/>
      <c r="AU12" s="9"/>
      <c r="AV12" s="9"/>
    </row>
    <row r="13" spans="1:52" s="10" customFormat="1" ht="24" customHeight="1" thickBot="1">
      <c r="A13" s="9"/>
      <c r="B13" s="227" t="s">
        <v>245</v>
      </c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8"/>
      <c r="AU13" s="9"/>
      <c r="AV13" s="9"/>
    </row>
    <row r="14" spans="1:52" s="10" customFormat="1" ht="24" customHeight="1">
      <c r="A14" s="9"/>
      <c r="B14" s="230" t="s">
        <v>35</v>
      </c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233"/>
      <c r="Q14" s="233" t="s">
        <v>36</v>
      </c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31"/>
      <c r="AF14" s="233" t="s">
        <v>37</v>
      </c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7"/>
      <c r="AU14" s="9"/>
      <c r="AV14" s="9"/>
    </row>
    <row r="15" spans="1:52" s="10" customFormat="1" ht="6" customHeight="1">
      <c r="A15" s="9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88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89"/>
      <c r="AF15" s="288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57"/>
      <c r="AU15" s="9"/>
      <c r="AV15" s="9"/>
    </row>
    <row r="16" spans="1:52" s="10" customFormat="1" ht="24" customHeight="1">
      <c r="A16" s="9"/>
      <c r="B16" s="290"/>
      <c r="C16" s="291">
        <v>5</v>
      </c>
      <c r="D16" s="243" t="s">
        <v>26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5"/>
      <c r="R16" s="291">
        <v>5</v>
      </c>
      <c r="S16" s="243" t="s">
        <v>27</v>
      </c>
      <c r="T16" s="243"/>
      <c r="U16" s="241"/>
      <c r="V16" s="241"/>
      <c r="W16" s="241"/>
      <c r="X16" s="236"/>
      <c r="Y16" s="243"/>
      <c r="Z16" s="243"/>
      <c r="AA16" s="243"/>
      <c r="AB16" s="243"/>
      <c r="AC16" s="243"/>
      <c r="AD16" s="243"/>
      <c r="AE16" s="243"/>
      <c r="AF16" s="245"/>
      <c r="AG16" s="291">
        <v>5</v>
      </c>
      <c r="AH16" s="243" t="s">
        <v>30</v>
      </c>
      <c r="AI16" s="243"/>
      <c r="AJ16" s="241"/>
      <c r="AK16" s="241"/>
      <c r="AL16" s="241"/>
      <c r="AM16" s="236"/>
      <c r="AN16" s="243"/>
      <c r="AO16" s="243"/>
      <c r="AP16" s="243"/>
      <c r="AQ16" s="243"/>
      <c r="AR16" s="243"/>
      <c r="AS16" s="243"/>
      <c r="AT16" s="257"/>
      <c r="AU16" s="9"/>
      <c r="AV16" s="9"/>
    </row>
    <row r="17" spans="1:48" s="10" customFormat="1" ht="24" customHeight="1">
      <c r="A17" s="9"/>
      <c r="B17" s="292"/>
      <c r="C17" s="293">
        <v>5</v>
      </c>
      <c r="D17" s="243" t="s">
        <v>33</v>
      </c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5"/>
      <c r="R17" s="293">
        <v>5</v>
      </c>
      <c r="S17" s="250" t="s">
        <v>28</v>
      </c>
      <c r="T17" s="250"/>
      <c r="U17" s="250"/>
      <c r="V17" s="250"/>
      <c r="W17" s="250"/>
      <c r="X17" s="236"/>
      <c r="Y17" s="243"/>
      <c r="Z17" s="243"/>
      <c r="AA17" s="243"/>
      <c r="AB17" s="243"/>
      <c r="AC17" s="243"/>
      <c r="AD17" s="243"/>
      <c r="AE17" s="243"/>
      <c r="AF17" s="245"/>
      <c r="AG17" s="293">
        <v>5</v>
      </c>
      <c r="AH17" s="250" t="s">
        <v>31</v>
      </c>
      <c r="AI17" s="250"/>
      <c r="AJ17" s="250"/>
      <c r="AK17" s="250"/>
      <c r="AL17" s="250"/>
      <c r="AM17" s="236"/>
      <c r="AN17" s="243"/>
      <c r="AO17" s="243"/>
      <c r="AP17" s="243"/>
      <c r="AQ17" s="243"/>
      <c r="AR17" s="243"/>
      <c r="AS17" s="243"/>
      <c r="AT17" s="257"/>
      <c r="AU17" s="9"/>
      <c r="AV17" s="9"/>
    </row>
    <row r="18" spans="1:48" s="10" customFormat="1" ht="24" customHeight="1">
      <c r="A18" s="9"/>
      <c r="B18" s="240"/>
      <c r="C18" s="294">
        <v>5</v>
      </c>
      <c r="D18" s="243" t="s">
        <v>24</v>
      </c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5"/>
      <c r="R18" s="294">
        <v>5</v>
      </c>
      <c r="S18" s="243" t="s">
        <v>29</v>
      </c>
      <c r="T18" s="243"/>
      <c r="U18" s="250"/>
      <c r="V18" s="250"/>
      <c r="W18" s="250"/>
      <c r="X18" s="236"/>
      <c r="Y18" s="243"/>
      <c r="Z18" s="243"/>
      <c r="AA18" s="243"/>
      <c r="AB18" s="243"/>
      <c r="AC18" s="243"/>
      <c r="AD18" s="243"/>
      <c r="AE18" s="243"/>
      <c r="AF18" s="245"/>
      <c r="AG18" s="294">
        <v>5</v>
      </c>
      <c r="AH18" s="243" t="s">
        <v>39</v>
      </c>
      <c r="AI18" s="243"/>
      <c r="AJ18" s="250"/>
      <c r="AK18" s="250"/>
      <c r="AL18" s="250"/>
      <c r="AM18" s="236"/>
      <c r="AN18" s="243"/>
      <c r="AO18" s="243"/>
      <c r="AP18" s="243"/>
      <c r="AQ18" s="243"/>
      <c r="AR18" s="243"/>
      <c r="AS18" s="243"/>
      <c r="AT18" s="257"/>
      <c r="AU18" s="9"/>
      <c r="AV18" s="9"/>
    </row>
    <row r="19" spans="1:48" s="10" customFormat="1" ht="24" customHeight="1">
      <c r="A19" s="9"/>
      <c r="B19" s="240"/>
      <c r="C19" s="294">
        <v>4</v>
      </c>
      <c r="D19" s="243" t="s">
        <v>32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5"/>
      <c r="R19" s="294">
        <v>5</v>
      </c>
      <c r="S19" s="242" t="s">
        <v>40</v>
      </c>
      <c r="T19" s="242"/>
      <c r="U19" s="243"/>
      <c r="V19" s="243"/>
      <c r="W19" s="243"/>
      <c r="X19" s="236"/>
      <c r="Y19" s="243"/>
      <c r="Z19" s="243"/>
      <c r="AA19" s="243"/>
      <c r="AB19" s="243"/>
      <c r="AC19" s="243"/>
      <c r="AD19" s="243"/>
      <c r="AE19" s="243"/>
      <c r="AF19" s="245"/>
      <c r="AG19" s="294">
        <v>5</v>
      </c>
      <c r="AH19" s="242" t="s">
        <v>34</v>
      </c>
      <c r="AI19" s="242"/>
      <c r="AJ19" s="243"/>
      <c r="AK19" s="243"/>
      <c r="AL19" s="243"/>
      <c r="AM19" s="236"/>
      <c r="AN19" s="243"/>
      <c r="AO19" s="243"/>
      <c r="AP19" s="243"/>
      <c r="AQ19" s="243"/>
      <c r="AR19" s="243"/>
      <c r="AS19" s="243"/>
      <c r="AT19" s="257"/>
      <c r="AU19" s="9"/>
      <c r="AV19" s="9"/>
    </row>
    <row r="20" spans="1:48" s="10" customFormat="1" ht="24" customHeight="1">
      <c r="A20" s="9"/>
      <c r="B20" s="240"/>
      <c r="C20" s="294">
        <v>19</v>
      </c>
      <c r="D20" s="243" t="s">
        <v>25</v>
      </c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5"/>
      <c r="R20" s="294">
        <v>20</v>
      </c>
      <c r="S20" s="242" t="s">
        <v>25</v>
      </c>
      <c r="T20" s="242"/>
      <c r="U20" s="236"/>
      <c r="V20" s="236"/>
      <c r="W20" s="236"/>
      <c r="X20" s="236"/>
      <c r="Y20" s="243"/>
      <c r="Z20" s="243"/>
      <c r="AA20" s="243"/>
      <c r="AB20" s="243"/>
      <c r="AC20" s="243"/>
      <c r="AD20" s="243"/>
      <c r="AE20" s="243"/>
      <c r="AF20" s="245"/>
      <c r="AG20" s="294">
        <v>20</v>
      </c>
      <c r="AH20" s="242" t="s">
        <v>25</v>
      </c>
      <c r="AI20" s="242"/>
      <c r="AJ20" s="236"/>
      <c r="AK20" s="236"/>
      <c r="AL20" s="236"/>
      <c r="AM20" s="236"/>
      <c r="AN20" s="243"/>
      <c r="AO20" s="243"/>
      <c r="AP20" s="243"/>
      <c r="AQ20" s="243"/>
      <c r="AR20" s="243"/>
      <c r="AS20" s="243"/>
      <c r="AT20" s="257"/>
      <c r="AU20" s="9"/>
      <c r="AV20" s="9"/>
    </row>
    <row r="21" spans="1:48" s="10" customFormat="1" ht="5.0999999999999996" customHeight="1" thickBot="1">
      <c r="A21" s="9"/>
      <c r="B21" s="240"/>
      <c r="C21" s="241"/>
      <c r="D21" s="242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5"/>
      <c r="R21" s="241"/>
      <c r="S21" s="242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89"/>
      <c r="AF21" s="245"/>
      <c r="AG21" s="241"/>
      <c r="AH21" s="242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57"/>
      <c r="AU21" s="9"/>
      <c r="AV21" s="9"/>
    </row>
    <row r="22" spans="1:48" s="10" customFormat="1" ht="24" customHeight="1" thickBot="1">
      <c r="A22" s="9"/>
      <c r="B22" s="227" t="s">
        <v>246</v>
      </c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8"/>
      <c r="AU22" s="9"/>
      <c r="AV22" s="9"/>
    </row>
    <row r="23" spans="1:48" s="10" customFormat="1" ht="24" customHeight="1">
      <c r="A23" s="9"/>
      <c r="B23" s="230" t="s">
        <v>19</v>
      </c>
      <c r="C23" s="231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3"/>
      <c r="P23" s="233"/>
      <c r="Q23" s="232" t="s">
        <v>21</v>
      </c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1" t="s">
        <v>20</v>
      </c>
      <c r="AG23" s="231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4"/>
      <c r="AU23" s="9"/>
      <c r="AV23" s="9"/>
    </row>
    <row r="24" spans="1:48" s="10" customFormat="1" ht="3.75" customHeight="1">
      <c r="A24" s="9"/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7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8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9"/>
      <c r="AU24" s="9"/>
      <c r="AV24" s="9"/>
    </row>
    <row r="25" spans="1:48" s="10" customFormat="1" ht="24" customHeight="1">
      <c r="A25" s="9"/>
      <c r="B25" s="240"/>
      <c r="C25" s="241" t="s">
        <v>3</v>
      </c>
      <c r="D25" s="242" t="s">
        <v>22</v>
      </c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242"/>
      <c r="Q25" s="245" t="s">
        <v>3</v>
      </c>
      <c r="R25" s="242" t="s">
        <v>9</v>
      </c>
      <c r="S25" s="242"/>
      <c r="T25" s="243"/>
      <c r="U25" s="243"/>
      <c r="V25" s="243"/>
      <c r="W25" s="241"/>
      <c r="X25" s="241"/>
      <c r="Y25" s="241"/>
      <c r="Z25" s="241"/>
      <c r="AA25" s="241"/>
      <c r="AB25" s="241"/>
      <c r="AC25" s="241"/>
      <c r="AD25" s="244"/>
      <c r="AE25" s="246"/>
      <c r="AF25" s="241" t="s">
        <v>3</v>
      </c>
      <c r="AG25" s="242" t="s">
        <v>15</v>
      </c>
      <c r="AH25" s="242"/>
      <c r="AI25" s="241"/>
      <c r="AJ25" s="241"/>
      <c r="AK25" s="241"/>
      <c r="AL25" s="241"/>
      <c r="AM25" s="241"/>
      <c r="AN25" s="241"/>
      <c r="AO25" s="243"/>
      <c r="AP25" s="243"/>
      <c r="AQ25" s="243"/>
      <c r="AR25" s="243"/>
      <c r="AS25" s="244"/>
      <c r="AT25" s="247"/>
      <c r="AU25" s="9"/>
      <c r="AV25" s="9"/>
    </row>
    <row r="26" spans="1:48" s="10" customFormat="1" ht="24" customHeight="1">
      <c r="A26" s="9"/>
      <c r="B26" s="240"/>
      <c r="C26" s="241" t="s">
        <v>4</v>
      </c>
      <c r="D26" s="242" t="s">
        <v>13</v>
      </c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8"/>
      <c r="P26" s="242"/>
      <c r="Q26" s="245" t="s">
        <v>4</v>
      </c>
      <c r="R26" s="249" t="s">
        <v>10</v>
      </c>
      <c r="S26" s="249"/>
      <c r="T26" s="243"/>
      <c r="U26" s="243"/>
      <c r="V26" s="243"/>
      <c r="W26" s="250"/>
      <c r="X26" s="250"/>
      <c r="Y26" s="250"/>
      <c r="Z26" s="250"/>
      <c r="AA26" s="250"/>
      <c r="AB26" s="250"/>
      <c r="AC26" s="250"/>
      <c r="AD26" s="248"/>
      <c r="AE26" s="246"/>
      <c r="AF26" s="241" t="s">
        <v>4</v>
      </c>
      <c r="AG26" s="251" t="s">
        <v>8</v>
      </c>
      <c r="AH26" s="251"/>
      <c r="AI26" s="250"/>
      <c r="AJ26" s="250"/>
      <c r="AK26" s="250"/>
      <c r="AL26" s="250"/>
      <c r="AM26" s="250"/>
      <c r="AN26" s="250"/>
      <c r="AO26" s="252"/>
      <c r="AP26" s="253"/>
      <c r="AQ26" s="253"/>
      <c r="AR26" s="254"/>
      <c r="AS26" s="248"/>
      <c r="AT26" s="247"/>
      <c r="AU26" s="9"/>
      <c r="AV26" s="9"/>
    </row>
    <row r="27" spans="1:48" s="10" customFormat="1" ht="24" customHeight="1">
      <c r="A27" s="9"/>
      <c r="B27" s="240"/>
      <c r="C27" s="241" t="s">
        <v>5</v>
      </c>
      <c r="D27" s="242" t="s">
        <v>18</v>
      </c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55"/>
      <c r="P27" s="242"/>
      <c r="Q27" s="245" t="s">
        <v>5</v>
      </c>
      <c r="R27" s="242" t="s">
        <v>16</v>
      </c>
      <c r="S27" s="242"/>
      <c r="T27" s="256"/>
      <c r="U27" s="256"/>
      <c r="V27" s="243"/>
      <c r="W27" s="236"/>
      <c r="X27" s="250"/>
      <c r="Y27" s="250"/>
      <c r="Z27" s="250"/>
      <c r="AA27" s="250"/>
      <c r="AB27" s="250"/>
      <c r="AC27" s="250"/>
      <c r="AD27" s="255"/>
      <c r="AE27" s="246"/>
      <c r="AF27" s="241" t="s">
        <v>5</v>
      </c>
      <c r="AG27" s="251" t="s">
        <v>11</v>
      </c>
      <c r="AH27" s="251"/>
      <c r="AI27" s="250"/>
      <c r="AJ27" s="250"/>
      <c r="AK27" s="250"/>
      <c r="AL27" s="250"/>
      <c r="AM27" s="250"/>
      <c r="AN27" s="250"/>
      <c r="AO27" s="252"/>
      <c r="AP27" s="243"/>
      <c r="AQ27" s="243"/>
      <c r="AR27" s="243"/>
      <c r="AS27" s="255"/>
      <c r="AT27" s="247"/>
      <c r="AU27" s="9"/>
      <c r="AV27" s="9"/>
    </row>
    <row r="28" spans="1:48" s="10" customFormat="1" ht="24" customHeight="1">
      <c r="A28" s="9"/>
      <c r="B28" s="240"/>
      <c r="C28" s="241" t="s">
        <v>6</v>
      </c>
      <c r="D28" s="242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55"/>
      <c r="P28" s="242"/>
      <c r="Q28" s="245" t="s">
        <v>6</v>
      </c>
      <c r="R28" s="242" t="s">
        <v>17</v>
      </c>
      <c r="S28" s="242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55"/>
      <c r="AE28" s="246"/>
      <c r="AF28" s="241" t="s">
        <v>6</v>
      </c>
      <c r="AG28" s="242" t="s">
        <v>38</v>
      </c>
      <c r="AH28" s="242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55"/>
      <c r="AT28" s="247"/>
      <c r="AU28" s="9"/>
      <c r="AV28" s="9"/>
    </row>
    <row r="29" spans="1:48" s="10" customFormat="1" ht="24" customHeight="1">
      <c r="A29" s="9"/>
      <c r="B29" s="240"/>
      <c r="C29" s="241" t="s">
        <v>7</v>
      </c>
      <c r="D29" s="242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55"/>
      <c r="P29" s="242"/>
      <c r="Q29" s="245" t="s">
        <v>7</v>
      </c>
      <c r="R29" s="242" t="s">
        <v>14</v>
      </c>
      <c r="S29" s="242"/>
      <c r="T29" s="243"/>
      <c r="U29" s="243"/>
      <c r="V29" s="243"/>
      <c r="W29" s="243"/>
      <c r="X29" s="236"/>
      <c r="Y29" s="236"/>
      <c r="Z29" s="236"/>
      <c r="AA29" s="236"/>
      <c r="AB29" s="236"/>
      <c r="AC29" s="236"/>
      <c r="AD29" s="255"/>
      <c r="AE29" s="246"/>
      <c r="AF29" s="241" t="s">
        <v>7</v>
      </c>
      <c r="AG29" s="242"/>
      <c r="AH29" s="242"/>
      <c r="AI29" s="243"/>
      <c r="AJ29" s="236"/>
      <c r="AK29" s="236"/>
      <c r="AL29" s="236"/>
      <c r="AM29" s="236"/>
      <c r="AN29" s="236"/>
      <c r="AO29" s="236"/>
      <c r="AP29" s="243"/>
      <c r="AQ29" s="243"/>
      <c r="AR29" s="243"/>
      <c r="AS29" s="255"/>
      <c r="AT29" s="247"/>
      <c r="AU29" s="9"/>
      <c r="AV29" s="9"/>
    </row>
    <row r="30" spans="1:48" s="10" customFormat="1" ht="3.75" customHeight="1" thickBot="1">
      <c r="A30" s="9"/>
      <c r="B30" s="240"/>
      <c r="C30" s="241"/>
      <c r="D30" s="242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1"/>
      <c r="P30" s="242"/>
      <c r="Q30" s="245"/>
      <c r="R30" s="241"/>
      <c r="S30" s="249"/>
      <c r="T30" s="243"/>
      <c r="U30" s="243"/>
      <c r="V30" s="243"/>
      <c r="W30" s="243"/>
      <c r="X30" s="236"/>
      <c r="Y30" s="236"/>
      <c r="Z30" s="236"/>
      <c r="AA30" s="236"/>
      <c r="AB30" s="236"/>
      <c r="AC30" s="236"/>
      <c r="AD30" s="236"/>
      <c r="AE30" s="236"/>
      <c r="AF30" s="245"/>
      <c r="AG30" s="241"/>
      <c r="AH30" s="242"/>
      <c r="AI30" s="236"/>
      <c r="AJ30" s="236"/>
      <c r="AK30" s="236"/>
      <c r="AL30" s="236"/>
      <c r="AM30" s="236"/>
      <c r="AN30" s="236"/>
      <c r="AO30" s="236"/>
      <c r="AP30" s="243"/>
      <c r="AQ30" s="243"/>
      <c r="AR30" s="243"/>
      <c r="AS30" s="243"/>
      <c r="AT30" s="257"/>
      <c r="AU30" s="9"/>
      <c r="AV30" s="9"/>
    </row>
    <row r="31" spans="1:48" s="10" customFormat="1" ht="24" customHeight="1" thickBot="1">
      <c r="A31" s="9"/>
      <c r="B31" s="205" t="s">
        <v>247</v>
      </c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9" t="s">
        <v>248</v>
      </c>
      <c r="AK31" s="210"/>
      <c r="AL31" s="210"/>
      <c r="AM31" s="210"/>
      <c r="AN31" s="210"/>
      <c r="AO31" s="210"/>
      <c r="AP31" s="210"/>
      <c r="AQ31" s="210"/>
      <c r="AR31" s="210"/>
      <c r="AS31" s="210"/>
      <c r="AT31" s="211"/>
      <c r="AU31" s="9"/>
      <c r="AV31" s="9"/>
    </row>
    <row r="32" spans="1:48" s="10" customFormat="1" ht="24" customHeight="1">
      <c r="A32" s="9"/>
      <c r="B32" s="201"/>
      <c r="C32" s="202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4"/>
      <c r="AG32" s="204"/>
      <c r="AH32" s="203"/>
      <c r="AI32" s="212"/>
      <c r="AJ32" s="215"/>
      <c r="AK32" s="207"/>
      <c r="AL32" s="207"/>
      <c r="AM32" s="207"/>
      <c r="AN32" s="207"/>
      <c r="AO32" s="207"/>
      <c r="AP32" s="207"/>
      <c r="AQ32" s="207"/>
      <c r="AR32" s="207"/>
      <c r="AS32" s="207"/>
      <c r="AT32" s="208"/>
      <c r="AU32" s="9"/>
      <c r="AV32" s="9"/>
    </row>
    <row r="33" spans="1:48" s="10" customFormat="1" ht="24" customHeight="1">
      <c r="A33" s="9"/>
      <c r="B33" s="172"/>
      <c r="C33" s="173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5"/>
      <c r="AG33" s="175"/>
      <c r="AH33" s="174"/>
      <c r="AI33" s="213"/>
      <c r="AJ33" s="216"/>
      <c r="AK33" s="178"/>
      <c r="AL33" s="178"/>
      <c r="AM33" s="178"/>
      <c r="AN33" s="178"/>
      <c r="AO33" s="178"/>
      <c r="AP33" s="178"/>
      <c r="AQ33" s="178"/>
      <c r="AR33" s="179"/>
      <c r="AS33" s="179"/>
      <c r="AT33" s="180"/>
      <c r="AU33" s="9"/>
      <c r="AV33" s="9"/>
    </row>
    <row r="34" spans="1:48" s="10" customFormat="1" ht="24" customHeight="1">
      <c r="A34" s="9"/>
      <c r="B34" s="172"/>
      <c r="C34" s="176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5"/>
      <c r="AG34" s="175"/>
      <c r="AH34" s="174"/>
      <c r="AI34" s="213"/>
      <c r="AJ34" s="216"/>
      <c r="AK34" s="178"/>
      <c r="AL34" s="178"/>
      <c r="AM34" s="178"/>
      <c r="AN34" s="178"/>
      <c r="AO34" s="178"/>
      <c r="AP34" s="178"/>
      <c r="AQ34" s="178"/>
      <c r="AR34" s="179"/>
      <c r="AS34" s="179"/>
      <c r="AT34" s="180"/>
      <c r="AU34" s="9"/>
      <c r="AV34" s="9"/>
    </row>
    <row r="35" spans="1:48" s="10" customFormat="1" ht="24" customHeight="1">
      <c r="A35" s="9"/>
      <c r="B35" s="172"/>
      <c r="C35" s="176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5"/>
      <c r="AG35" s="175"/>
      <c r="AH35" s="174"/>
      <c r="AI35" s="213"/>
      <c r="AJ35" s="216"/>
      <c r="AK35" s="178"/>
      <c r="AL35" s="178"/>
      <c r="AM35" s="178"/>
      <c r="AN35" s="178"/>
      <c r="AO35" s="178"/>
      <c r="AP35" s="178"/>
      <c r="AQ35" s="178"/>
      <c r="AR35" s="179"/>
      <c r="AS35" s="179"/>
      <c r="AT35" s="180"/>
      <c r="AU35" s="9"/>
      <c r="AV35" s="9"/>
    </row>
    <row r="36" spans="1:48" s="10" customFormat="1" ht="24" customHeight="1">
      <c r="A36" s="9"/>
      <c r="B36" s="172"/>
      <c r="C36" s="176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5"/>
      <c r="AG36" s="175"/>
      <c r="AH36" s="174"/>
      <c r="AI36" s="213"/>
      <c r="AJ36" s="216"/>
      <c r="AK36" s="178"/>
      <c r="AL36" s="178"/>
      <c r="AM36" s="178"/>
      <c r="AN36" s="178"/>
      <c r="AO36" s="178"/>
      <c r="AP36" s="178"/>
      <c r="AQ36" s="178"/>
      <c r="AR36" s="179"/>
      <c r="AS36" s="179"/>
      <c r="AT36" s="180"/>
      <c r="AU36" s="9"/>
      <c r="AV36" s="9"/>
    </row>
    <row r="37" spans="1:48" s="10" customFormat="1" ht="24" customHeight="1">
      <c r="A37" s="9"/>
      <c r="B37" s="172"/>
      <c r="C37" s="174"/>
      <c r="D37" s="175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7"/>
      <c r="AB37" s="177"/>
      <c r="AC37" s="175"/>
      <c r="AD37" s="174"/>
      <c r="AE37" s="174"/>
      <c r="AF37" s="175"/>
      <c r="AG37" s="175"/>
      <c r="AH37" s="174"/>
      <c r="AI37" s="213"/>
      <c r="AJ37" s="216"/>
      <c r="AK37" s="178"/>
      <c r="AL37" s="178"/>
      <c r="AM37" s="178"/>
      <c r="AN37" s="178"/>
      <c r="AO37" s="178"/>
      <c r="AP37" s="178"/>
      <c r="AQ37" s="178"/>
      <c r="AR37" s="179"/>
      <c r="AS37" s="179"/>
      <c r="AT37" s="180"/>
      <c r="AU37" s="9"/>
      <c r="AV37" s="9"/>
    </row>
    <row r="38" spans="1:48" s="10" customFormat="1" ht="24" customHeight="1">
      <c r="A38" s="9"/>
      <c r="B38" s="172"/>
      <c r="C38" s="174"/>
      <c r="D38" s="175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7"/>
      <c r="AB38" s="177"/>
      <c r="AC38" s="174"/>
      <c r="AD38" s="174"/>
      <c r="AE38" s="174"/>
      <c r="AF38" s="175"/>
      <c r="AG38" s="175"/>
      <c r="AH38" s="174"/>
      <c r="AI38" s="213"/>
      <c r="AJ38" s="216"/>
      <c r="AK38" s="178"/>
      <c r="AL38" s="178"/>
      <c r="AM38" s="178"/>
      <c r="AN38" s="178"/>
      <c r="AO38" s="178"/>
      <c r="AP38" s="178"/>
      <c r="AQ38" s="178"/>
      <c r="AR38" s="179"/>
      <c r="AS38" s="179"/>
      <c r="AT38" s="180"/>
      <c r="AU38" s="9"/>
      <c r="AV38" s="9"/>
    </row>
    <row r="39" spans="1:48" s="10" customFormat="1" ht="24" customHeight="1">
      <c r="A39" s="9"/>
      <c r="B39" s="172"/>
      <c r="C39" s="174"/>
      <c r="D39" s="175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7"/>
      <c r="AB39" s="177"/>
      <c r="AC39" s="174"/>
      <c r="AD39" s="174"/>
      <c r="AE39" s="174"/>
      <c r="AF39" s="175"/>
      <c r="AG39" s="175"/>
      <c r="AH39" s="174"/>
      <c r="AI39" s="213"/>
      <c r="AJ39" s="216"/>
      <c r="AK39" s="178"/>
      <c r="AL39" s="178"/>
      <c r="AM39" s="178"/>
      <c r="AN39" s="178"/>
      <c r="AO39" s="178"/>
      <c r="AP39" s="178"/>
      <c r="AQ39" s="178"/>
      <c r="AR39" s="179"/>
      <c r="AS39" s="179"/>
      <c r="AT39" s="180"/>
      <c r="AU39" s="9"/>
      <c r="AV39" s="9"/>
    </row>
    <row r="40" spans="1:48" s="10" customFormat="1" ht="24" customHeight="1">
      <c r="A40" s="9"/>
      <c r="B40" s="172"/>
      <c r="C40" s="174"/>
      <c r="D40" s="175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7"/>
      <c r="AB40" s="177"/>
      <c r="AC40" s="175"/>
      <c r="AD40" s="174"/>
      <c r="AE40" s="174"/>
      <c r="AF40" s="175"/>
      <c r="AG40" s="175"/>
      <c r="AH40" s="174"/>
      <c r="AI40" s="213"/>
      <c r="AJ40" s="216"/>
      <c r="AK40" s="178"/>
      <c r="AL40" s="178"/>
      <c r="AM40" s="178"/>
      <c r="AN40" s="178"/>
      <c r="AO40" s="178"/>
      <c r="AP40" s="178"/>
      <c r="AQ40" s="178"/>
      <c r="AR40" s="179"/>
      <c r="AS40" s="179"/>
      <c r="AT40" s="180"/>
      <c r="AU40" s="9"/>
      <c r="AV40" s="9"/>
    </row>
    <row r="41" spans="1:48" s="10" customFormat="1" ht="24" customHeight="1">
      <c r="A41" s="9"/>
      <c r="B41" s="172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7"/>
      <c r="AB41" s="177"/>
      <c r="AC41" s="174"/>
      <c r="AD41" s="174"/>
      <c r="AE41" s="174"/>
      <c r="AF41" s="175"/>
      <c r="AG41" s="175"/>
      <c r="AH41" s="174"/>
      <c r="AI41" s="213"/>
      <c r="AJ41" s="216"/>
      <c r="AK41" s="178"/>
      <c r="AL41" s="178"/>
      <c r="AM41" s="178"/>
      <c r="AN41" s="178"/>
      <c r="AO41" s="178"/>
      <c r="AP41" s="178"/>
      <c r="AQ41" s="178"/>
      <c r="AR41" s="179"/>
      <c r="AS41" s="179"/>
      <c r="AT41" s="180"/>
      <c r="AU41" s="9"/>
      <c r="AV41" s="9"/>
    </row>
    <row r="42" spans="1:48" s="10" customFormat="1" ht="24" customHeight="1">
      <c r="A42" s="9"/>
      <c r="B42" s="172"/>
      <c r="C42" s="176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5"/>
      <c r="AG42" s="175"/>
      <c r="AH42" s="174"/>
      <c r="AI42" s="213"/>
      <c r="AJ42" s="216"/>
      <c r="AK42" s="178"/>
      <c r="AL42" s="178"/>
      <c r="AM42" s="178"/>
      <c r="AN42" s="178"/>
      <c r="AO42" s="178"/>
      <c r="AP42" s="178"/>
      <c r="AQ42" s="178"/>
      <c r="AR42" s="179"/>
      <c r="AS42" s="179"/>
      <c r="AT42" s="180"/>
      <c r="AU42" s="9"/>
      <c r="AV42" s="9"/>
    </row>
    <row r="43" spans="1:48" s="10" customFormat="1" ht="24" customHeight="1">
      <c r="A43" s="9"/>
      <c r="B43" s="172"/>
      <c r="C43" s="176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5"/>
      <c r="AG43" s="175"/>
      <c r="AH43" s="174"/>
      <c r="AI43" s="213"/>
      <c r="AJ43" s="216"/>
      <c r="AK43" s="178"/>
      <c r="AL43" s="178"/>
      <c r="AM43" s="178"/>
      <c r="AN43" s="178"/>
      <c r="AO43" s="178"/>
      <c r="AP43" s="178"/>
      <c r="AQ43" s="178"/>
      <c r="AR43" s="179"/>
      <c r="AS43" s="179"/>
      <c r="AT43" s="180"/>
      <c r="AU43" s="9"/>
      <c r="AV43" s="9"/>
    </row>
    <row r="44" spans="1:48" s="10" customFormat="1" ht="24" customHeight="1">
      <c r="A44" s="9"/>
      <c r="B44" s="172"/>
      <c r="C44" s="176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5"/>
      <c r="AG44" s="175"/>
      <c r="AH44" s="174"/>
      <c r="AI44" s="213"/>
      <c r="AJ44" s="216"/>
      <c r="AK44" s="178"/>
      <c r="AL44" s="178"/>
      <c r="AM44" s="178"/>
      <c r="AN44" s="178"/>
      <c r="AO44" s="178"/>
      <c r="AP44" s="178"/>
      <c r="AQ44" s="178"/>
      <c r="AR44" s="179"/>
      <c r="AS44" s="179"/>
      <c r="AT44" s="180"/>
      <c r="AU44" s="9"/>
      <c r="AV44" s="9"/>
    </row>
    <row r="45" spans="1:48" s="10" customFormat="1" ht="24" customHeight="1">
      <c r="A45" s="9"/>
      <c r="B45" s="172"/>
      <c r="C45" s="176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5"/>
      <c r="AG45" s="175"/>
      <c r="AH45" s="174"/>
      <c r="AI45" s="213"/>
      <c r="AJ45" s="216"/>
      <c r="AK45" s="178"/>
      <c r="AL45" s="178"/>
      <c r="AM45" s="178"/>
      <c r="AN45" s="178"/>
      <c r="AO45" s="178"/>
      <c r="AP45" s="178"/>
      <c r="AQ45" s="178"/>
      <c r="AR45" s="179"/>
      <c r="AS45" s="179"/>
      <c r="AT45" s="180"/>
      <c r="AU45" s="9"/>
      <c r="AV45" s="9"/>
    </row>
    <row r="46" spans="1:48" s="10" customFormat="1" ht="24" customHeight="1">
      <c r="A46" s="9"/>
      <c r="B46" s="172"/>
      <c r="C46" s="176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5"/>
      <c r="AG46" s="175"/>
      <c r="AH46" s="174"/>
      <c r="AI46" s="213"/>
      <c r="AJ46" s="216"/>
      <c r="AK46" s="178"/>
      <c r="AL46" s="178"/>
      <c r="AM46" s="178"/>
      <c r="AN46" s="178"/>
      <c r="AO46" s="178"/>
      <c r="AP46" s="178"/>
      <c r="AQ46" s="178"/>
      <c r="AR46" s="179"/>
      <c r="AS46" s="179"/>
      <c r="AT46" s="180"/>
      <c r="AU46" s="9"/>
      <c r="AV46" s="9"/>
    </row>
    <row r="47" spans="1:48" s="10" customFormat="1" ht="24" customHeight="1">
      <c r="A47" s="9"/>
      <c r="B47" s="172"/>
      <c r="C47" s="176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5"/>
      <c r="AG47" s="175"/>
      <c r="AH47" s="174"/>
      <c r="AI47" s="213"/>
      <c r="AJ47" s="216"/>
      <c r="AK47" s="178"/>
      <c r="AL47" s="178"/>
      <c r="AM47" s="178"/>
      <c r="AN47" s="178"/>
      <c r="AO47" s="178"/>
      <c r="AP47" s="178"/>
      <c r="AQ47" s="178"/>
      <c r="AR47" s="179"/>
      <c r="AS47" s="179"/>
      <c r="AT47" s="180"/>
      <c r="AU47" s="9"/>
      <c r="AV47" s="9"/>
    </row>
    <row r="48" spans="1:48" s="10" customFormat="1" ht="24" customHeight="1">
      <c r="A48" s="9"/>
      <c r="B48" s="172"/>
      <c r="C48" s="176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5"/>
      <c r="AG48" s="175"/>
      <c r="AH48" s="174"/>
      <c r="AI48" s="213"/>
      <c r="AJ48" s="216"/>
      <c r="AK48" s="178"/>
      <c r="AL48" s="178"/>
      <c r="AM48" s="178"/>
      <c r="AN48" s="178"/>
      <c r="AO48" s="178"/>
      <c r="AP48" s="178"/>
      <c r="AQ48" s="178"/>
      <c r="AR48" s="179"/>
      <c r="AS48" s="179"/>
      <c r="AT48" s="180"/>
      <c r="AU48" s="9"/>
      <c r="AV48" s="9"/>
    </row>
    <row r="49" spans="1:48" s="10" customFormat="1" ht="24" customHeight="1">
      <c r="A49" s="9"/>
      <c r="B49" s="172"/>
      <c r="C49" s="176"/>
      <c r="D49" s="175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5"/>
      <c r="AG49" s="175"/>
      <c r="AH49" s="174"/>
      <c r="AI49" s="213"/>
      <c r="AJ49" s="216"/>
      <c r="AK49" s="178"/>
      <c r="AL49" s="178"/>
      <c r="AM49" s="178"/>
      <c r="AN49" s="178"/>
      <c r="AO49" s="178"/>
      <c r="AP49" s="178"/>
      <c r="AQ49" s="178"/>
      <c r="AR49" s="179"/>
      <c r="AS49" s="179"/>
      <c r="AT49" s="180"/>
      <c r="AU49" s="9"/>
      <c r="AV49" s="9"/>
    </row>
    <row r="50" spans="1:48" s="10" customFormat="1" ht="24" customHeight="1">
      <c r="A50" s="9"/>
      <c r="B50" s="172"/>
      <c r="C50" s="176"/>
      <c r="D50" s="175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5"/>
      <c r="AG50" s="175"/>
      <c r="AH50" s="174"/>
      <c r="AI50" s="213"/>
      <c r="AJ50" s="216"/>
      <c r="AK50" s="178"/>
      <c r="AL50" s="178"/>
      <c r="AM50" s="178"/>
      <c r="AN50" s="178"/>
      <c r="AO50" s="178"/>
      <c r="AP50" s="178"/>
      <c r="AQ50" s="178"/>
      <c r="AR50" s="179"/>
      <c r="AS50" s="179"/>
      <c r="AT50" s="180"/>
      <c r="AU50" s="9"/>
      <c r="AV50" s="9"/>
    </row>
    <row r="51" spans="1:48" s="10" customFormat="1" ht="24" customHeight="1">
      <c r="A51" s="9"/>
      <c r="B51" s="172"/>
      <c r="C51" s="176"/>
      <c r="D51" s="175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5"/>
      <c r="AG51" s="175"/>
      <c r="AH51" s="174"/>
      <c r="AI51" s="213"/>
      <c r="AJ51" s="216"/>
      <c r="AK51" s="178"/>
      <c r="AL51" s="178"/>
      <c r="AM51" s="178"/>
      <c r="AN51" s="178"/>
      <c r="AO51" s="178"/>
      <c r="AP51" s="178"/>
      <c r="AQ51" s="178"/>
      <c r="AR51" s="179"/>
      <c r="AS51" s="179"/>
      <c r="AT51" s="180"/>
      <c r="AU51" s="9"/>
      <c r="AV51" s="9"/>
    </row>
    <row r="52" spans="1:48" s="10" customFormat="1" ht="24" customHeight="1">
      <c r="A52" s="9"/>
      <c r="B52" s="172"/>
      <c r="C52" s="176"/>
      <c r="D52" s="175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5"/>
      <c r="AG52" s="175"/>
      <c r="AH52" s="174"/>
      <c r="AI52" s="213"/>
      <c r="AJ52" s="216"/>
      <c r="AK52" s="178"/>
      <c r="AL52" s="178"/>
      <c r="AM52" s="178"/>
      <c r="AN52" s="178"/>
      <c r="AO52" s="178"/>
      <c r="AP52" s="178"/>
      <c r="AQ52" s="178"/>
      <c r="AR52" s="179"/>
      <c r="AS52" s="179"/>
      <c r="AT52" s="180"/>
      <c r="AU52" s="9"/>
      <c r="AV52" s="9"/>
    </row>
    <row r="53" spans="1:48" s="10" customFormat="1" ht="24" customHeight="1">
      <c r="A53" s="9"/>
      <c r="B53" s="172"/>
      <c r="C53" s="176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5"/>
      <c r="AG53" s="175"/>
      <c r="AH53" s="174"/>
      <c r="AI53" s="213"/>
      <c r="AJ53" s="216"/>
      <c r="AK53" s="178"/>
      <c r="AL53" s="178"/>
      <c r="AM53" s="178"/>
      <c r="AN53" s="178"/>
      <c r="AO53" s="178"/>
      <c r="AP53" s="178"/>
      <c r="AQ53" s="178"/>
      <c r="AR53" s="179"/>
      <c r="AS53" s="179"/>
      <c r="AT53" s="180"/>
      <c r="AU53" s="9"/>
      <c r="AV53" s="9"/>
    </row>
    <row r="54" spans="1:48" s="10" customFormat="1" ht="24" customHeight="1">
      <c r="A54" s="9"/>
      <c r="B54" s="172"/>
      <c r="C54" s="176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5"/>
      <c r="AG54" s="175"/>
      <c r="AH54" s="174"/>
      <c r="AI54" s="213"/>
      <c r="AJ54" s="216"/>
      <c r="AK54" s="178"/>
      <c r="AL54" s="178"/>
      <c r="AM54" s="178"/>
      <c r="AN54" s="178"/>
      <c r="AO54" s="178"/>
      <c r="AP54" s="178"/>
      <c r="AQ54" s="178"/>
      <c r="AR54" s="179"/>
      <c r="AS54" s="179"/>
      <c r="AT54" s="180"/>
      <c r="AU54" s="9"/>
      <c r="AV54" s="9"/>
    </row>
    <row r="55" spans="1:48" s="10" customFormat="1" ht="24" customHeight="1">
      <c r="A55" s="9"/>
      <c r="B55" s="172"/>
      <c r="C55" s="176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5"/>
      <c r="AG55" s="175"/>
      <c r="AH55" s="174"/>
      <c r="AI55" s="213"/>
      <c r="AJ55" s="216"/>
      <c r="AK55" s="178"/>
      <c r="AL55" s="178"/>
      <c r="AM55" s="178"/>
      <c r="AN55" s="178"/>
      <c r="AO55" s="178"/>
      <c r="AP55" s="178"/>
      <c r="AQ55" s="178"/>
      <c r="AR55" s="179"/>
      <c r="AS55" s="179"/>
      <c r="AT55" s="180"/>
      <c r="AU55" s="9"/>
      <c r="AV55" s="9"/>
    </row>
    <row r="56" spans="1:48" s="10" customFormat="1" ht="24" customHeight="1">
      <c r="A56" s="9"/>
      <c r="B56" s="172"/>
      <c r="C56" s="176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5"/>
      <c r="AG56" s="175"/>
      <c r="AH56" s="174"/>
      <c r="AI56" s="213"/>
      <c r="AJ56" s="216"/>
      <c r="AK56" s="178"/>
      <c r="AL56" s="178"/>
      <c r="AM56" s="178"/>
      <c r="AN56" s="178"/>
      <c r="AO56" s="178"/>
      <c r="AP56" s="178"/>
      <c r="AQ56" s="178"/>
      <c r="AR56" s="179"/>
      <c r="AS56" s="179"/>
      <c r="AT56" s="180"/>
      <c r="AU56" s="9"/>
      <c r="AV56" s="9"/>
    </row>
    <row r="57" spans="1:48" s="10" customFormat="1" ht="24" customHeight="1">
      <c r="A57" s="9"/>
      <c r="B57" s="172"/>
      <c r="C57" s="176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5"/>
      <c r="AG57" s="175"/>
      <c r="AH57" s="174"/>
      <c r="AI57" s="213"/>
      <c r="AJ57" s="216"/>
      <c r="AK57" s="178"/>
      <c r="AL57" s="178"/>
      <c r="AM57" s="178"/>
      <c r="AN57" s="178"/>
      <c r="AO57" s="178"/>
      <c r="AP57" s="178"/>
      <c r="AQ57" s="178"/>
      <c r="AR57" s="179"/>
      <c r="AS57" s="179"/>
      <c r="AT57" s="180"/>
      <c r="AU57" s="9"/>
      <c r="AV57" s="9"/>
    </row>
    <row r="58" spans="1:48" s="10" customFormat="1" ht="24" customHeight="1">
      <c r="A58" s="9"/>
      <c r="B58" s="172"/>
      <c r="C58" s="176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5"/>
      <c r="AG58" s="175"/>
      <c r="AH58" s="174"/>
      <c r="AI58" s="213"/>
      <c r="AJ58" s="216"/>
      <c r="AK58" s="178"/>
      <c r="AL58" s="178"/>
      <c r="AM58" s="178"/>
      <c r="AN58" s="178"/>
      <c r="AO58" s="178"/>
      <c r="AP58" s="178"/>
      <c r="AQ58" s="178"/>
      <c r="AR58" s="179"/>
      <c r="AS58" s="179"/>
      <c r="AT58" s="180"/>
      <c r="AU58" s="9"/>
      <c r="AV58" s="9"/>
    </row>
    <row r="59" spans="1:48" s="10" customFormat="1" ht="24" customHeight="1">
      <c r="A59" s="9"/>
      <c r="B59" s="172"/>
      <c r="C59" s="176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5"/>
      <c r="AG59" s="175"/>
      <c r="AH59" s="174"/>
      <c r="AI59" s="213"/>
      <c r="AJ59" s="216"/>
      <c r="AK59" s="178"/>
      <c r="AL59" s="178"/>
      <c r="AM59" s="178"/>
      <c r="AN59" s="178"/>
      <c r="AO59" s="178"/>
      <c r="AP59" s="178"/>
      <c r="AQ59" s="178"/>
      <c r="AR59" s="179"/>
      <c r="AS59" s="179"/>
      <c r="AT59" s="180"/>
      <c r="AU59" s="9"/>
      <c r="AV59" s="9"/>
    </row>
    <row r="60" spans="1:48" s="10" customFormat="1" ht="24" customHeight="1">
      <c r="A60" s="9"/>
      <c r="B60" s="172"/>
      <c r="C60" s="176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5"/>
      <c r="AG60" s="175"/>
      <c r="AH60" s="174"/>
      <c r="AI60" s="213"/>
      <c r="AJ60" s="216"/>
      <c r="AK60" s="178"/>
      <c r="AL60" s="178"/>
      <c r="AM60" s="178"/>
      <c r="AN60" s="178"/>
      <c r="AO60" s="178"/>
      <c r="AP60" s="178"/>
      <c r="AQ60" s="178"/>
      <c r="AR60" s="179"/>
      <c r="AS60" s="179"/>
      <c r="AT60" s="180"/>
      <c r="AU60" s="9"/>
      <c r="AV60" s="9"/>
    </row>
    <row r="61" spans="1:48" s="10" customFormat="1" ht="24" customHeight="1">
      <c r="A61" s="9"/>
      <c r="B61" s="172"/>
      <c r="C61" s="176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5"/>
      <c r="AG61" s="175"/>
      <c r="AH61" s="174"/>
      <c r="AI61" s="213"/>
      <c r="AJ61" s="216"/>
      <c r="AK61" s="178"/>
      <c r="AL61" s="178"/>
      <c r="AM61" s="178"/>
      <c r="AN61" s="178"/>
      <c r="AO61" s="178"/>
      <c r="AP61" s="178"/>
      <c r="AQ61" s="178"/>
      <c r="AR61" s="179"/>
      <c r="AS61" s="179"/>
      <c r="AT61" s="180"/>
      <c r="AU61" s="9"/>
      <c r="AV61" s="9"/>
    </row>
    <row r="62" spans="1:48" s="10" customFormat="1" ht="24" customHeight="1">
      <c r="A62" s="9"/>
      <c r="B62" s="172"/>
      <c r="C62" s="176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5"/>
      <c r="AG62" s="175"/>
      <c r="AH62" s="174"/>
      <c r="AI62" s="213"/>
      <c r="AJ62" s="216"/>
      <c r="AK62" s="178"/>
      <c r="AL62" s="178"/>
      <c r="AM62" s="178"/>
      <c r="AN62" s="178"/>
      <c r="AO62" s="178"/>
      <c r="AP62" s="178"/>
      <c r="AQ62" s="178"/>
      <c r="AR62" s="179"/>
      <c r="AS62" s="179"/>
      <c r="AT62" s="180"/>
      <c r="AU62" s="9"/>
      <c r="AV62" s="9"/>
    </row>
    <row r="63" spans="1:48" s="10" customFormat="1" ht="24" customHeight="1">
      <c r="A63" s="9"/>
      <c r="B63" s="172"/>
      <c r="C63" s="176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5"/>
      <c r="AG63" s="175"/>
      <c r="AH63" s="174"/>
      <c r="AI63" s="213"/>
      <c r="AJ63" s="216"/>
      <c r="AK63" s="178"/>
      <c r="AL63" s="178"/>
      <c r="AM63" s="178"/>
      <c r="AN63" s="178"/>
      <c r="AO63" s="178"/>
      <c r="AP63" s="178"/>
      <c r="AQ63" s="178"/>
      <c r="AR63" s="179"/>
      <c r="AS63" s="179"/>
      <c r="AT63" s="180"/>
      <c r="AU63" s="9"/>
      <c r="AV63" s="9"/>
    </row>
    <row r="64" spans="1:48" s="10" customFormat="1" ht="24" customHeight="1">
      <c r="A64" s="9"/>
      <c r="B64" s="172"/>
      <c r="C64" s="176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5"/>
      <c r="AG64" s="175"/>
      <c r="AH64" s="174"/>
      <c r="AI64" s="213"/>
      <c r="AJ64" s="216"/>
      <c r="AK64" s="178"/>
      <c r="AL64" s="178"/>
      <c r="AM64" s="178"/>
      <c r="AN64" s="178"/>
      <c r="AO64" s="178"/>
      <c r="AP64" s="178"/>
      <c r="AQ64" s="178"/>
      <c r="AR64" s="179"/>
      <c r="AS64" s="179"/>
      <c r="AT64" s="180"/>
      <c r="AU64" s="9"/>
      <c r="AV64" s="9"/>
    </row>
    <row r="65" spans="1:48" s="10" customFormat="1" ht="24" customHeight="1">
      <c r="A65" s="9"/>
      <c r="B65" s="172"/>
      <c r="C65" s="176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5"/>
      <c r="AG65" s="175"/>
      <c r="AH65" s="174"/>
      <c r="AI65" s="213"/>
      <c r="AJ65" s="216"/>
      <c r="AK65" s="178"/>
      <c r="AL65" s="178"/>
      <c r="AM65" s="178"/>
      <c r="AN65" s="178"/>
      <c r="AO65" s="178"/>
      <c r="AP65" s="178"/>
      <c r="AQ65" s="178"/>
      <c r="AR65" s="179"/>
      <c r="AS65" s="179"/>
      <c r="AT65" s="180"/>
      <c r="AU65" s="9"/>
      <c r="AV65" s="9"/>
    </row>
    <row r="66" spans="1:48" s="10" customFormat="1" ht="24" customHeight="1">
      <c r="A66" s="9"/>
      <c r="B66" s="172"/>
      <c r="C66" s="176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5"/>
      <c r="AG66" s="175"/>
      <c r="AH66" s="174"/>
      <c r="AI66" s="213"/>
      <c r="AJ66" s="216"/>
      <c r="AK66" s="178"/>
      <c r="AL66" s="178"/>
      <c r="AM66" s="178"/>
      <c r="AN66" s="178"/>
      <c r="AO66" s="178"/>
      <c r="AP66" s="178"/>
      <c r="AQ66" s="178"/>
      <c r="AR66" s="179"/>
      <c r="AS66" s="179"/>
      <c r="AT66" s="180"/>
      <c r="AU66" s="9"/>
      <c r="AV66" s="9"/>
    </row>
    <row r="67" spans="1:48" s="10" customFormat="1" ht="24" customHeight="1" thickBot="1">
      <c r="A67" s="9"/>
      <c r="B67" s="181"/>
      <c r="C67" s="182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4"/>
      <c r="Q67" s="184"/>
      <c r="R67" s="185"/>
      <c r="S67" s="186"/>
      <c r="T67" s="186"/>
      <c r="U67" s="186"/>
      <c r="V67" s="183"/>
      <c r="W67" s="187"/>
      <c r="X67" s="187"/>
      <c r="Y67" s="187"/>
      <c r="Z67" s="186"/>
      <c r="AA67" s="186"/>
      <c r="AB67" s="186"/>
      <c r="AC67" s="183"/>
      <c r="AD67" s="183"/>
      <c r="AE67" s="188"/>
      <c r="AF67" s="188"/>
      <c r="AG67" s="188"/>
      <c r="AH67" s="188"/>
      <c r="AI67" s="214"/>
      <c r="AJ67" s="217"/>
      <c r="AK67" s="218"/>
      <c r="AL67" s="218"/>
      <c r="AM67" s="218"/>
      <c r="AN67" s="218"/>
      <c r="AO67" s="218"/>
      <c r="AP67" s="218"/>
      <c r="AQ67" s="218"/>
      <c r="AR67" s="219"/>
      <c r="AS67" s="219"/>
      <c r="AT67" s="220"/>
      <c r="AU67" s="9"/>
      <c r="AV67" s="9"/>
    </row>
    <row r="68" spans="1:48" s="10" customFormat="1" ht="24" customHeight="1" thickBot="1">
      <c r="A68" s="9"/>
      <c r="B68" s="197" t="s">
        <v>249</v>
      </c>
      <c r="C68" s="198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200"/>
      <c r="AU68" s="9"/>
      <c r="AV68" s="9"/>
    </row>
    <row r="69" spans="1:48" s="10" customFormat="1" ht="24" customHeight="1">
      <c r="A69" s="9"/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  <c r="Q69" s="192"/>
      <c r="R69" s="192"/>
      <c r="S69" s="193"/>
      <c r="T69" s="193"/>
      <c r="U69" s="193"/>
      <c r="V69" s="191"/>
      <c r="W69" s="194"/>
      <c r="X69" s="194"/>
      <c r="Y69" s="194"/>
      <c r="Z69" s="193"/>
      <c r="AA69" s="193"/>
      <c r="AB69" s="193"/>
      <c r="AC69" s="191"/>
      <c r="AD69" s="191"/>
      <c r="AE69" s="195"/>
      <c r="AF69" s="195"/>
      <c r="AG69" s="195"/>
      <c r="AH69" s="195"/>
      <c r="AI69" s="195"/>
      <c r="AJ69" s="195"/>
      <c r="AK69" s="191"/>
      <c r="AL69" s="195"/>
      <c r="AM69" s="195"/>
      <c r="AN69" s="195"/>
      <c r="AO69" s="195"/>
      <c r="AP69" s="195"/>
      <c r="AQ69" s="195"/>
      <c r="AR69" s="195"/>
      <c r="AS69" s="195"/>
      <c r="AT69" s="196"/>
      <c r="AU69" s="9"/>
      <c r="AV69" s="9"/>
    </row>
    <row r="70" spans="1:48" s="10" customFormat="1" ht="24" customHeight="1">
      <c r="A70" s="9"/>
      <c r="B70" s="156"/>
      <c r="C70" s="157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9"/>
      <c r="Q70" s="159"/>
      <c r="R70" s="159"/>
      <c r="S70" s="160"/>
      <c r="T70" s="160"/>
      <c r="U70" s="160"/>
      <c r="V70" s="158"/>
      <c r="W70" s="161"/>
      <c r="X70" s="161"/>
      <c r="Y70" s="161"/>
      <c r="Z70" s="160"/>
      <c r="AA70" s="160"/>
      <c r="AB70" s="160"/>
      <c r="AC70" s="158"/>
      <c r="AD70" s="158"/>
      <c r="AE70" s="162"/>
      <c r="AF70" s="162"/>
      <c r="AG70" s="162"/>
      <c r="AH70" s="162"/>
      <c r="AI70" s="162"/>
      <c r="AJ70" s="162"/>
      <c r="AK70" s="158"/>
      <c r="AL70" s="162"/>
      <c r="AM70" s="162"/>
      <c r="AN70" s="162"/>
      <c r="AO70" s="162"/>
      <c r="AP70" s="162"/>
      <c r="AQ70" s="162"/>
      <c r="AR70" s="162"/>
      <c r="AS70" s="162"/>
      <c r="AT70" s="163"/>
      <c r="AU70" s="9"/>
      <c r="AV70" s="9"/>
    </row>
    <row r="71" spans="1:48" s="10" customFormat="1" ht="24" customHeight="1">
      <c r="A71" s="9"/>
      <c r="B71" s="156"/>
      <c r="C71" s="157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9"/>
      <c r="Q71" s="159"/>
      <c r="R71" s="159"/>
      <c r="S71" s="160"/>
      <c r="T71" s="160"/>
      <c r="U71" s="160"/>
      <c r="V71" s="158"/>
      <c r="W71" s="161"/>
      <c r="X71" s="161"/>
      <c r="Y71" s="161"/>
      <c r="Z71" s="160"/>
      <c r="AA71" s="160"/>
      <c r="AB71" s="160"/>
      <c r="AC71" s="158"/>
      <c r="AD71" s="158"/>
      <c r="AE71" s="162"/>
      <c r="AF71" s="162"/>
      <c r="AG71" s="162"/>
      <c r="AH71" s="162"/>
      <c r="AI71" s="162"/>
      <c r="AJ71" s="162"/>
      <c r="AK71" s="158"/>
      <c r="AL71" s="162"/>
      <c r="AM71" s="162"/>
      <c r="AN71" s="162"/>
      <c r="AO71" s="162"/>
      <c r="AP71" s="162"/>
      <c r="AQ71" s="162"/>
      <c r="AR71" s="162"/>
      <c r="AS71" s="162"/>
      <c r="AT71" s="163"/>
      <c r="AU71" s="9"/>
      <c r="AV71" s="9"/>
    </row>
    <row r="72" spans="1:48" s="10" customFormat="1" ht="24" customHeight="1">
      <c r="A72" s="9"/>
      <c r="B72" s="156"/>
      <c r="C72" s="157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9"/>
      <c r="Q72" s="159"/>
      <c r="R72" s="159"/>
      <c r="S72" s="160"/>
      <c r="T72" s="160"/>
      <c r="U72" s="160"/>
      <c r="V72" s="158"/>
      <c r="W72" s="161"/>
      <c r="X72" s="161"/>
      <c r="Y72" s="161"/>
      <c r="Z72" s="160"/>
      <c r="AA72" s="160"/>
      <c r="AB72" s="160"/>
      <c r="AC72" s="158"/>
      <c r="AD72" s="158"/>
      <c r="AE72" s="162"/>
      <c r="AF72" s="162"/>
      <c r="AG72" s="162"/>
      <c r="AH72" s="162"/>
      <c r="AI72" s="162"/>
      <c r="AJ72" s="162"/>
      <c r="AK72" s="158"/>
      <c r="AL72" s="162"/>
      <c r="AM72" s="162"/>
      <c r="AN72" s="162"/>
      <c r="AO72" s="162"/>
      <c r="AP72" s="162"/>
      <c r="AQ72" s="162"/>
      <c r="AR72" s="162"/>
      <c r="AS72" s="162"/>
      <c r="AT72" s="163"/>
      <c r="AU72" s="9"/>
      <c r="AV72" s="9"/>
    </row>
    <row r="73" spans="1:48" s="10" customFormat="1" ht="24" customHeight="1">
      <c r="A73" s="9"/>
      <c r="B73" s="156"/>
      <c r="C73" s="157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9"/>
      <c r="Q73" s="159"/>
      <c r="R73" s="159"/>
      <c r="S73" s="160"/>
      <c r="T73" s="160"/>
      <c r="U73" s="160"/>
      <c r="V73" s="158"/>
      <c r="W73" s="161"/>
      <c r="X73" s="161"/>
      <c r="Y73" s="161"/>
      <c r="Z73" s="160"/>
      <c r="AA73" s="160"/>
      <c r="AB73" s="160"/>
      <c r="AC73" s="158"/>
      <c r="AD73" s="158"/>
      <c r="AE73" s="162"/>
      <c r="AF73" s="162"/>
      <c r="AG73" s="162"/>
      <c r="AH73" s="162"/>
      <c r="AI73" s="162"/>
      <c r="AJ73" s="162"/>
      <c r="AK73" s="158"/>
      <c r="AL73" s="162"/>
      <c r="AM73" s="162"/>
      <c r="AN73" s="162"/>
      <c r="AO73" s="162"/>
      <c r="AP73" s="162"/>
      <c r="AQ73" s="162"/>
      <c r="AR73" s="162"/>
      <c r="AS73" s="162"/>
      <c r="AT73" s="163"/>
      <c r="AU73" s="9"/>
      <c r="AV73" s="9"/>
    </row>
    <row r="74" spans="1:48" s="10" customFormat="1" ht="24" customHeight="1" thickBot="1">
      <c r="A74" s="9"/>
      <c r="B74" s="164"/>
      <c r="C74" s="165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7"/>
      <c r="Q74" s="167"/>
      <c r="R74" s="167"/>
      <c r="S74" s="168"/>
      <c r="T74" s="168"/>
      <c r="U74" s="168"/>
      <c r="V74" s="166"/>
      <c r="W74" s="169"/>
      <c r="X74" s="169"/>
      <c r="Y74" s="169"/>
      <c r="Z74" s="168"/>
      <c r="AA74" s="168"/>
      <c r="AB74" s="168"/>
      <c r="AC74" s="166"/>
      <c r="AD74" s="166"/>
      <c r="AE74" s="170"/>
      <c r="AF74" s="170"/>
      <c r="AG74" s="170"/>
      <c r="AH74" s="170"/>
      <c r="AI74" s="170"/>
      <c r="AJ74" s="170"/>
      <c r="AK74" s="166"/>
      <c r="AL74" s="170"/>
      <c r="AM74" s="170"/>
      <c r="AN74" s="170"/>
      <c r="AO74" s="170"/>
      <c r="AP74" s="170"/>
      <c r="AQ74" s="170"/>
      <c r="AR74" s="170"/>
      <c r="AS74" s="170"/>
      <c r="AT74" s="171"/>
      <c r="AU74" s="9"/>
      <c r="AV74" s="9"/>
    </row>
    <row r="75" spans="1:48" s="10" customFormat="1" ht="22.5">
      <c r="A75" s="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9"/>
      <c r="AV75" s="9"/>
    </row>
    <row r="76" spans="1:48" s="10" customFormat="1" ht="22.5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20.2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</sheetData>
  <mergeCells count="42">
    <mergeCell ref="B68:AT68"/>
    <mergeCell ref="B31:AI31"/>
    <mergeCell ref="AJ31:AT31"/>
    <mergeCell ref="P67:Q67"/>
    <mergeCell ref="S67:U67"/>
    <mergeCell ref="W67:Y67"/>
    <mergeCell ref="Z67:AB67"/>
    <mergeCell ref="B14:P14"/>
    <mergeCell ref="Q14:AE14"/>
    <mergeCell ref="AF14:AT14"/>
    <mergeCell ref="B22:AT22"/>
    <mergeCell ref="B23:P23"/>
    <mergeCell ref="Q23:AE23"/>
    <mergeCell ref="AF23:AT23"/>
    <mergeCell ref="R11:Z11"/>
    <mergeCell ref="D12:K12"/>
    <mergeCell ref="L12:P12"/>
    <mergeCell ref="R12:Z12"/>
    <mergeCell ref="AA12:AE12"/>
    <mergeCell ref="B13:AT13"/>
    <mergeCell ref="D9:K9"/>
    <mergeCell ref="L9:P9"/>
    <mergeCell ref="R9:Z9"/>
    <mergeCell ref="AA9:AE9"/>
    <mergeCell ref="D10:K10"/>
    <mergeCell ref="L10:P10"/>
    <mergeCell ref="R10:Z10"/>
    <mergeCell ref="AA10:AE10"/>
    <mergeCell ref="AR6:AT6"/>
    <mergeCell ref="B7:P7"/>
    <mergeCell ref="Q7:AE7"/>
    <mergeCell ref="AF7:AT7"/>
    <mergeCell ref="D8:K8"/>
    <mergeCell ref="L8:P8"/>
    <mergeCell ref="R8:Z8"/>
    <mergeCell ref="AA8:AE8"/>
    <mergeCell ref="G2:AJ4"/>
    <mergeCell ref="B6:G6"/>
    <mergeCell ref="H6:AE6"/>
    <mergeCell ref="AF6:AI6"/>
    <mergeCell ref="AJ6:AN6"/>
    <mergeCell ref="AO6:AQ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tabSelected="1" topLeftCell="A65" zoomScale="85" zoomScaleNormal="85" workbookViewId="0">
      <selection activeCell="AH46" sqref="AH4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309"/>
      <c r="C2" s="310"/>
      <c r="D2" s="310"/>
      <c r="E2" s="310"/>
      <c r="F2" s="310"/>
      <c r="G2" s="311" t="s">
        <v>251</v>
      </c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2"/>
      <c r="AL2" s="312"/>
      <c r="AM2" s="313"/>
      <c r="AN2" s="313"/>
      <c r="AO2" s="314"/>
      <c r="AP2" s="314"/>
      <c r="AQ2" s="314"/>
      <c r="AR2" s="314"/>
      <c r="AS2" s="314"/>
      <c r="AT2" s="315" t="s">
        <v>41</v>
      </c>
    </row>
    <row r="3" spans="1:52" ht="24" customHeight="1">
      <c r="B3" s="316"/>
      <c r="C3" s="317"/>
      <c r="D3" s="317"/>
      <c r="E3" s="317"/>
      <c r="F3" s="317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9"/>
      <c r="AL3" s="319"/>
      <c r="AM3" s="320"/>
      <c r="AN3" s="320"/>
      <c r="AO3" s="321"/>
      <c r="AP3" s="321"/>
      <c r="AQ3" s="321"/>
      <c r="AR3" s="321"/>
      <c r="AS3" s="321"/>
      <c r="AT3" s="322" t="s">
        <v>42</v>
      </c>
    </row>
    <row r="4" spans="1:52" ht="24" customHeight="1">
      <c r="B4" s="316"/>
      <c r="C4" s="317"/>
      <c r="D4" s="317"/>
      <c r="E4" s="317"/>
      <c r="F4" s="317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9"/>
      <c r="AL4" s="319"/>
      <c r="AM4" s="319"/>
      <c r="AN4" s="319"/>
      <c r="AO4" s="317"/>
      <c r="AP4" s="317"/>
      <c r="AQ4" s="317"/>
      <c r="AR4" s="317"/>
      <c r="AS4" s="317"/>
      <c r="AT4" s="323"/>
    </row>
    <row r="5" spans="1:52" ht="5.25" customHeight="1" thickBot="1">
      <c r="B5" s="324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6"/>
    </row>
    <row r="6" spans="1:52" s="8" customFormat="1" ht="24" customHeight="1" thickBot="1">
      <c r="A6" s="7"/>
      <c r="B6" s="221" t="s">
        <v>242</v>
      </c>
      <c r="C6" s="222"/>
      <c r="D6" s="222"/>
      <c r="E6" s="222"/>
      <c r="F6" s="222"/>
      <c r="G6" s="222"/>
      <c r="H6" s="222" t="s">
        <v>250</v>
      </c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 t="s">
        <v>243</v>
      </c>
      <c r="AG6" s="222"/>
      <c r="AH6" s="222"/>
      <c r="AI6" s="222"/>
      <c r="AJ6" s="229">
        <v>42564</v>
      </c>
      <c r="AK6" s="229"/>
      <c r="AL6" s="229"/>
      <c r="AM6" s="229"/>
      <c r="AN6" s="229"/>
      <c r="AO6" s="224" t="s">
        <v>244</v>
      </c>
      <c r="AP6" s="224"/>
      <c r="AQ6" s="224"/>
      <c r="AR6" s="225">
        <v>0.45833333333333331</v>
      </c>
      <c r="AS6" s="225"/>
      <c r="AT6" s="226"/>
      <c r="AU6" s="7"/>
      <c r="AV6" s="7"/>
    </row>
    <row r="7" spans="1:52" s="10" customFormat="1" ht="24" customHeight="1">
      <c r="A7" s="9"/>
      <c r="B7" s="327" t="s"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261" t="s">
        <v>1</v>
      </c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9" t="s">
        <v>2</v>
      </c>
      <c r="AG7" s="330"/>
      <c r="AH7" s="330"/>
      <c r="AI7" s="330"/>
      <c r="AJ7" s="330"/>
      <c r="AK7" s="330"/>
      <c r="AL7" s="330"/>
      <c r="AM7" s="330"/>
      <c r="AN7" s="330"/>
      <c r="AO7" s="330"/>
      <c r="AP7" s="330"/>
      <c r="AQ7" s="330"/>
      <c r="AR7" s="330"/>
      <c r="AS7" s="330"/>
      <c r="AT7" s="331"/>
      <c r="AU7" s="9"/>
      <c r="AV7" s="9"/>
      <c r="AY7" s="11"/>
    </row>
    <row r="8" spans="1:52" s="10" customFormat="1" ht="24" customHeight="1">
      <c r="A8" s="9"/>
      <c r="B8" s="268"/>
      <c r="C8" s="269" t="s">
        <v>3</v>
      </c>
      <c r="D8" s="332" t="s">
        <v>12</v>
      </c>
      <c r="E8" s="332"/>
      <c r="F8" s="332"/>
      <c r="G8" s="332"/>
      <c r="H8" s="332"/>
      <c r="I8" s="332"/>
      <c r="J8" s="332"/>
      <c r="K8" s="332"/>
      <c r="L8" s="332" t="s">
        <v>23</v>
      </c>
      <c r="M8" s="332"/>
      <c r="N8" s="332"/>
      <c r="O8" s="332"/>
      <c r="P8" s="333"/>
      <c r="Q8" s="269" t="s">
        <v>3</v>
      </c>
      <c r="R8" s="334" t="s">
        <v>60</v>
      </c>
      <c r="S8" s="334"/>
      <c r="T8" s="334"/>
      <c r="U8" s="334"/>
      <c r="V8" s="334"/>
      <c r="W8" s="334"/>
      <c r="X8" s="334"/>
      <c r="Y8" s="334"/>
      <c r="Z8" s="334"/>
      <c r="AA8" s="335" t="s">
        <v>124</v>
      </c>
      <c r="AB8" s="335"/>
      <c r="AC8" s="335"/>
      <c r="AD8" s="335"/>
      <c r="AE8" s="336"/>
      <c r="AF8" s="269" t="s">
        <v>3</v>
      </c>
      <c r="AG8" s="278" t="s">
        <v>238</v>
      </c>
      <c r="AH8" s="278"/>
      <c r="AI8" s="278"/>
      <c r="AJ8" s="278"/>
      <c r="AK8" s="278"/>
      <c r="AL8" s="278"/>
      <c r="AM8" s="278"/>
      <c r="AN8" s="278"/>
      <c r="AO8" s="280"/>
      <c r="AP8" s="281"/>
      <c r="AQ8" s="281"/>
      <c r="AR8" s="282"/>
      <c r="AS8" s="337"/>
      <c r="AT8" s="338"/>
      <c r="AU8" s="9"/>
      <c r="AV8" s="9"/>
    </row>
    <row r="9" spans="1:52" s="10" customFormat="1" ht="24" customHeight="1">
      <c r="A9" s="9"/>
      <c r="B9" s="268"/>
      <c r="C9" s="269" t="s">
        <v>4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3"/>
      <c r="Q9" s="269" t="s">
        <v>4</v>
      </c>
      <c r="R9" s="334"/>
      <c r="S9" s="334"/>
      <c r="T9" s="334"/>
      <c r="U9" s="334"/>
      <c r="V9" s="334"/>
      <c r="W9" s="334"/>
      <c r="X9" s="334"/>
      <c r="Y9" s="334"/>
      <c r="Z9" s="334"/>
      <c r="AA9" s="335"/>
      <c r="AB9" s="335"/>
      <c r="AC9" s="335"/>
      <c r="AD9" s="335"/>
      <c r="AE9" s="336"/>
      <c r="AF9" s="269" t="s">
        <v>4</v>
      </c>
      <c r="AG9" s="278" t="s">
        <v>239</v>
      </c>
      <c r="AH9" s="278"/>
      <c r="AI9" s="278"/>
      <c r="AJ9" s="278"/>
      <c r="AK9" s="278"/>
      <c r="AL9" s="278"/>
      <c r="AM9" s="278"/>
      <c r="AN9" s="278"/>
      <c r="AO9" s="280"/>
      <c r="AP9" s="271"/>
      <c r="AQ9" s="271"/>
      <c r="AR9" s="271"/>
      <c r="AS9" s="339"/>
      <c r="AT9" s="340"/>
      <c r="AU9" s="9"/>
      <c r="AV9" s="9"/>
      <c r="AZ9" s="24"/>
    </row>
    <row r="10" spans="1:52" s="10" customFormat="1" ht="24" customHeight="1">
      <c r="A10" s="9"/>
      <c r="B10" s="268"/>
      <c r="C10" s="269" t="s">
        <v>5</v>
      </c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3"/>
      <c r="Q10" s="269" t="s">
        <v>5</v>
      </c>
      <c r="R10" s="334"/>
      <c r="S10" s="334"/>
      <c r="T10" s="334"/>
      <c r="U10" s="334"/>
      <c r="V10" s="334"/>
      <c r="W10" s="334"/>
      <c r="X10" s="334"/>
      <c r="Y10" s="334"/>
      <c r="Z10" s="334"/>
      <c r="AA10" s="335"/>
      <c r="AB10" s="335"/>
      <c r="AC10" s="335"/>
      <c r="AD10" s="335"/>
      <c r="AE10" s="336"/>
      <c r="AF10" s="269" t="s">
        <v>5</v>
      </c>
      <c r="AG10" s="278" t="s">
        <v>240</v>
      </c>
      <c r="AH10" s="278"/>
      <c r="AI10" s="278"/>
      <c r="AJ10" s="278"/>
      <c r="AK10" s="278"/>
      <c r="AL10" s="278"/>
      <c r="AM10" s="278"/>
      <c r="AN10" s="278"/>
      <c r="AO10" s="280"/>
      <c r="AP10" s="271"/>
      <c r="AQ10" s="271"/>
      <c r="AR10" s="271"/>
      <c r="AS10" s="339"/>
      <c r="AT10" s="340"/>
      <c r="AU10" s="9"/>
      <c r="AV10" s="9"/>
    </row>
    <row r="11" spans="1:52" s="10" customFormat="1" ht="24" customHeight="1">
      <c r="A11" s="9"/>
      <c r="B11" s="268"/>
      <c r="C11" s="269" t="s">
        <v>43</v>
      </c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4"/>
      <c r="Q11" s="269" t="s">
        <v>43</v>
      </c>
      <c r="R11" s="334"/>
      <c r="S11" s="334"/>
      <c r="T11" s="334"/>
      <c r="U11" s="334"/>
      <c r="V11" s="334"/>
      <c r="W11" s="334"/>
      <c r="X11" s="334"/>
      <c r="Y11" s="334"/>
      <c r="Z11" s="334"/>
      <c r="AA11" s="279"/>
      <c r="AB11" s="279"/>
      <c r="AC11" s="279"/>
      <c r="AD11" s="279"/>
      <c r="AE11" s="341"/>
      <c r="AF11" s="269" t="s">
        <v>43</v>
      </c>
      <c r="AG11" s="278" t="s">
        <v>241</v>
      </c>
      <c r="AH11" s="278"/>
      <c r="AI11" s="278"/>
      <c r="AJ11" s="278"/>
      <c r="AK11" s="278"/>
      <c r="AL11" s="278"/>
      <c r="AM11" s="278"/>
      <c r="AN11" s="278"/>
      <c r="AO11" s="280"/>
      <c r="AP11" s="271"/>
      <c r="AQ11" s="271"/>
      <c r="AR11" s="271"/>
      <c r="AS11" s="339"/>
      <c r="AT11" s="340"/>
      <c r="AU11" s="9"/>
      <c r="AV11" s="9"/>
    </row>
    <row r="12" spans="1:52" s="10" customFormat="1" ht="24" customHeight="1" thickBot="1">
      <c r="A12" s="9"/>
      <c r="B12" s="268"/>
      <c r="C12" s="269" t="s">
        <v>7</v>
      </c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3"/>
      <c r="Q12" s="269" t="s">
        <v>7</v>
      </c>
      <c r="R12" s="334"/>
      <c r="S12" s="334"/>
      <c r="T12" s="334"/>
      <c r="U12" s="334"/>
      <c r="V12" s="334"/>
      <c r="W12" s="334"/>
      <c r="X12" s="334"/>
      <c r="Y12" s="334"/>
      <c r="Z12" s="334"/>
      <c r="AA12" s="335"/>
      <c r="AB12" s="335"/>
      <c r="AC12" s="335"/>
      <c r="AD12" s="335"/>
      <c r="AE12" s="336"/>
      <c r="AF12" s="269" t="s">
        <v>7</v>
      </c>
      <c r="AG12" s="269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339"/>
      <c r="AT12" s="340"/>
      <c r="AU12" s="9"/>
      <c r="AV12" s="9"/>
    </row>
    <row r="13" spans="1:52" s="10" customFormat="1" ht="24" customHeight="1" thickBot="1">
      <c r="A13" s="9"/>
      <c r="B13" s="227" t="s">
        <v>245</v>
      </c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8"/>
      <c r="AU13" s="9"/>
      <c r="AV13" s="9"/>
    </row>
    <row r="14" spans="1:52" s="10" customFormat="1" ht="24" customHeight="1">
      <c r="A14" s="9"/>
      <c r="B14" s="258" t="s">
        <v>35</v>
      </c>
      <c r="C14" s="259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1"/>
      <c r="P14" s="261"/>
      <c r="Q14" s="261" t="s">
        <v>36</v>
      </c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259"/>
      <c r="AF14" s="261" t="s">
        <v>37</v>
      </c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42"/>
      <c r="AU14" s="9"/>
      <c r="AV14" s="9"/>
    </row>
    <row r="15" spans="1:52" s="10" customFormat="1" ht="6" customHeight="1">
      <c r="A15" s="9"/>
      <c r="B15" s="263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343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344"/>
      <c r="AF15" s="343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85"/>
      <c r="AU15" s="9"/>
      <c r="AV15" s="9"/>
    </row>
    <row r="16" spans="1:52" s="10" customFormat="1" ht="24" customHeight="1">
      <c r="A16" s="9"/>
      <c r="B16" s="345"/>
      <c r="C16" s="346">
        <v>5</v>
      </c>
      <c r="D16" s="271" t="s">
        <v>26</v>
      </c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3"/>
      <c r="R16" s="346">
        <v>5</v>
      </c>
      <c r="S16" s="271" t="s">
        <v>27</v>
      </c>
      <c r="T16" s="271"/>
      <c r="U16" s="269"/>
      <c r="V16" s="269"/>
      <c r="W16" s="269"/>
      <c r="X16" s="264"/>
      <c r="Y16" s="271"/>
      <c r="Z16" s="271"/>
      <c r="AA16" s="271"/>
      <c r="AB16" s="271"/>
      <c r="AC16" s="271"/>
      <c r="AD16" s="271"/>
      <c r="AE16" s="271"/>
      <c r="AF16" s="273"/>
      <c r="AG16" s="346">
        <v>5</v>
      </c>
      <c r="AH16" s="271" t="s">
        <v>30</v>
      </c>
      <c r="AI16" s="271"/>
      <c r="AJ16" s="269"/>
      <c r="AK16" s="269"/>
      <c r="AL16" s="269"/>
      <c r="AM16" s="264"/>
      <c r="AN16" s="271"/>
      <c r="AO16" s="271"/>
      <c r="AP16" s="271"/>
      <c r="AQ16" s="271"/>
      <c r="AR16" s="271"/>
      <c r="AS16" s="271"/>
      <c r="AT16" s="285"/>
      <c r="AU16" s="9"/>
      <c r="AV16" s="9"/>
    </row>
    <row r="17" spans="1:48" s="10" customFormat="1" ht="24" customHeight="1">
      <c r="A17" s="9"/>
      <c r="B17" s="347"/>
      <c r="C17" s="348">
        <v>5</v>
      </c>
      <c r="D17" s="271" t="s">
        <v>33</v>
      </c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3"/>
      <c r="R17" s="348">
        <v>5</v>
      </c>
      <c r="S17" s="278" t="s">
        <v>28</v>
      </c>
      <c r="T17" s="278"/>
      <c r="U17" s="278"/>
      <c r="V17" s="278"/>
      <c r="W17" s="278"/>
      <c r="X17" s="264"/>
      <c r="Y17" s="271"/>
      <c r="Z17" s="271"/>
      <c r="AA17" s="271"/>
      <c r="AB17" s="271"/>
      <c r="AC17" s="271"/>
      <c r="AD17" s="271"/>
      <c r="AE17" s="271"/>
      <c r="AF17" s="273"/>
      <c r="AG17" s="348">
        <v>5</v>
      </c>
      <c r="AH17" s="278" t="s">
        <v>31</v>
      </c>
      <c r="AI17" s="278"/>
      <c r="AJ17" s="278"/>
      <c r="AK17" s="278"/>
      <c r="AL17" s="278"/>
      <c r="AM17" s="264"/>
      <c r="AN17" s="271"/>
      <c r="AO17" s="271"/>
      <c r="AP17" s="271"/>
      <c r="AQ17" s="271"/>
      <c r="AR17" s="271"/>
      <c r="AS17" s="271"/>
      <c r="AT17" s="285"/>
      <c r="AU17" s="9"/>
      <c r="AV17" s="9"/>
    </row>
    <row r="18" spans="1:48" s="10" customFormat="1" ht="24" customHeight="1">
      <c r="A18" s="9"/>
      <c r="B18" s="268"/>
      <c r="C18" s="349">
        <v>5</v>
      </c>
      <c r="D18" s="271" t="s">
        <v>24</v>
      </c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3"/>
      <c r="R18" s="349">
        <v>5</v>
      </c>
      <c r="S18" s="271" t="s">
        <v>29</v>
      </c>
      <c r="T18" s="271"/>
      <c r="U18" s="278"/>
      <c r="V18" s="278"/>
      <c r="W18" s="278"/>
      <c r="X18" s="264"/>
      <c r="Y18" s="271"/>
      <c r="Z18" s="271"/>
      <c r="AA18" s="271"/>
      <c r="AB18" s="271"/>
      <c r="AC18" s="271"/>
      <c r="AD18" s="271"/>
      <c r="AE18" s="271"/>
      <c r="AF18" s="273"/>
      <c r="AG18" s="349">
        <v>5</v>
      </c>
      <c r="AH18" s="271" t="s">
        <v>39</v>
      </c>
      <c r="AI18" s="271"/>
      <c r="AJ18" s="278"/>
      <c r="AK18" s="278"/>
      <c r="AL18" s="278"/>
      <c r="AM18" s="264"/>
      <c r="AN18" s="271"/>
      <c r="AO18" s="271"/>
      <c r="AP18" s="271"/>
      <c r="AQ18" s="271"/>
      <c r="AR18" s="271"/>
      <c r="AS18" s="271"/>
      <c r="AT18" s="285"/>
      <c r="AU18" s="9"/>
      <c r="AV18" s="9"/>
    </row>
    <row r="19" spans="1:48" s="10" customFormat="1" ht="24" customHeight="1">
      <c r="A19" s="9"/>
      <c r="B19" s="268"/>
      <c r="C19" s="349">
        <v>4</v>
      </c>
      <c r="D19" s="271" t="s">
        <v>32</v>
      </c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3"/>
      <c r="R19" s="349">
        <v>5</v>
      </c>
      <c r="S19" s="270" t="s">
        <v>40</v>
      </c>
      <c r="T19" s="270"/>
      <c r="U19" s="271"/>
      <c r="V19" s="271"/>
      <c r="W19" s="271"/>
      <c r="X19" s="264"/>
      <c r="Y19" s="271"/>
      <c r="Z19" s="271"/>
      <c r="AA19" s="271"/>
      <c r="AB19" s="271"/>
      <c r="AC19" s="271"/>
      <c r="AD19" s="271"/>
      <c r="AE19" s="271"/>
      <c r="AF19" s="273"/>
      <c r="AG19" s="349">
        <v>5</v>
      </c>
      <c r="AH19" s="270" t="s">
        <v>34</v>
      </c>
      <c r="AI19" s="270"/>
      <c r="AJ19" s="271"/>
      <c r="AK19" s="271"/>
      <c r="AL19" s="271"/>
      <c r="AM19" s="264"/>
      <c r="AN19" s="271"/>
      <c r="AO19" s="271"/>
      <c r="AP19" s="271"/>
      <c r="AQ19" s="271"/>
      <c r="AR19" s="271"/>
      <c r="AS19" s="271"/>
      <c r="AT19" s="285"/>
      <c r="AU19" s="9"/>
      <c r="AV19" s="9"/>
    </row>
    <row r="20" spans="1:48" s="10" customFormat="1" ht="24" customHeight="1">
      <c r="A20" s="9"/>
      <c r="B20" s="268"/>
      <c r="C20" s="349">
        <v>19</v>
      </c>
      <c r="D20" s="271" t="s">
        <v>25</v>
      </c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3"/>
      <c r="R20" s="349">
        <v>20</v>
      </c>
      <c r="S20" s="270" t="s">
        <v>25</v>
      </c>
      <c r="T20" s="270"/>
      <c r="U20" s="264"/>
      <c r="V20" s="264"/>
      <c r="W20" s="264"/>
      <c r="X20" s="264"/>
      <c r="Y20" s="271"/>
      <c r="Z20" s="271"/>
      <c r="AA20" s="271"/>
      <c r="AB20" s="271"/>
      <c r="AC20" s="271"/>
      <c r="AD20" s="271"/>
      <c r="AE20" s="271"/>
      <c r="AF20" s="273"/>
      <c r="AG20" s="349">
        <v>20</v>
      </c>
      <c r="AH20" s="270" t="s">
        <v>25</v>
      </c>
      <c r="AI20" s="270"/>
      <c r="AJ20" s="264"/>
      <c r="AK20" s="264"/>
      <c r="AL20" s="264"/>
      <c r="AM20" s="264"/>
      <c r="AN20" s="271"/>
      <c r="AO20" s="271"/>
      <c r="AP20" s="271"/>
      <c r="AQ20" s="271"/>
      <c r="AR20" s="271"/>
      <c r="AS20" s="271"/>
      <c r="AT20" s="285"/>
      <c r="AU20" s="9"/>
      <c r="AV20" s="9"/>
    </row>
    <row r="21" spans="1:48" s="10" customFormat="1" ht="5.0999999999999996" customHeight="1" thickBot="1">
      <c r="A21" s="9"/>
      <c r="B21" s="268"/>
      <c r="C21" s="269"/>
      <c r="D21" s="270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3"/>
      <c r="R21" s="269"/>
      <c r="S21" s="270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344"/>
      <c r="AF21" s="273"/>
      <c r="AG21" s="269"/>
      <c r="AH21" s="270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85"/>
      <c r="AU21" s="9"/>
      <c r="AV21" s="9"/>
    </row>
    <row r="22" spans="1:48" s="10" customFormat="1" ht="24" customHeight="1" thickBot="1">
      <c r="A22" s="9"/>
      <c r="B22" s="227" t="s">
        <v>246</v>
      </c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8"/>
      <c r="AU22" s="9"/>
      <c r="AV22" s="9"/>
    </row>
    <row r="23" spans="1:48" s="10" customFormat="1" ht="24" customHeight="1">
      <c r="A23" s="9"/>
      <c r="B23" s="258" t="s">
        <v>19</v>
      </c>
      <c r="C23" s="259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1"/>
      <c r="P23" s="261"/>
      <c r="Q23" s="260" t="s">
        <v>21</v>
      </c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59" t="s">
        <v>20</v>
      </c>
      <c r="AG23" s="259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2"/>
      <c r="AU23" s="9"/>
      <c r="AV23" s="9"/>
    </row>
    <row r="24" spans="1:48" s="10" customFormat="1" ht="3.75" customHeight="1">
      <c r="A24" s="9"/>
      <c r="B24" s="263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5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6"/>
      <c r="AF24" s="264"/>
      <c r="AG24" s="264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4"/>
      <c r="AT24" s="267"/>
      <c r="AU24" s="9"/>
      <c r="AV24" s="9"/>
    </row>
    <row r="25" spans="1:48" s="10" customFormat="1" ht="24" customHeight="1">
      <c r="A25" s="9"/>
      <c r="B25" s="268"/>
      <c r="C25" s="269" t="s">
        <v>3</v>
      </c>
      <c r="D25" s="270" t="s">
        <v>22</v>
      </c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2"/>
      <c r="P25" s="270"/>
      <c r="Q25" s="273" t="s">
        <v>3</v>
      </c>
      <c r="R25" s="270" t="s">
        <v>9</v>
      </c>
      <c r="S25" s="270"/>
      <c r="T25" s="271"/>
      <c r="U25" s="271"/>
      <c r="V25" s="271"/>
      <c r="W25" s="269"/>
      <c r="X25" s="269"/>
      <c r="Y25" s="269"/>
      <c r="Z25" s="269"/>
      <c r="AA25" s="269"/>
      <c r="AB25" s="269"/>
      <c r="AC25" s="269"/>
      <c r="AD25" s="272"/>
      <c r="AE25" s="274"/>
      <c r="AF25" s="269" t="s">
        <v>3</v>
      </c>
      <c r="AG25" s="270" t="s">
        <v>15</v>
      </c>
      <c r="AH25" s="270"/>
      <c r="AI25" s="269"/>
      <c r="AJ25" s="269"/>
      <c r="AK25" s="269"/>
      <c r="AL25" s="269"/>
      <c r="AM25" s="269"/>
      <c r="AN25" s="269"/>
      <c r="AO25" s="271"/>
      <c r="AP25" s="271"/>
      <c r="AQ25" s="271"/>
      <c r="AR25" s="271"/>
      <c r="AS25" s="272"/>
      <c r="AT25" s="275"/>
      <c r="AU25" s="9"/>
      <c r="AV25" s="9"/>
    </row>
    <row r="26" spans="1:48" s="10" customFormat="1" ht="24" customHeight="1">
      <c r="A26" s="9"/>
      <c r="B26" s="268"/>
      <c r="C26" s="269" t="s">
        <v>4</v>
      </c>
      <c r="D26" s="270" t="s">
        <v>13</v>
      </c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6"/>
      <c r="P26" s="270"/>
      <c r="Q26" s="273" t="s">
        <v>4</v>
      </c>
      <c r="R26" s="277" t="s">
        <v>10</v>
      </c>
      <c r="S26" s="277"/>
      <c r="T26" s="271"/>
      <c r="U26" s="271"/>
      <c r="V26" s="271"/>
      <c r="W26" s="278"/>
      <c r="X26" s="278"/>
      <c r="Y26" s="278"/>
      <c r="Z26" s="278"/>
      <c r="AA26" s="278"/>
      <c r="AB26" s="278"/>
      <c r="AC26" s="278"/>
      <c r="AD26" s="276"/>
      <c r="AE26" s="274"/>
      <c r="AF26" s="269" t="s">
        <v>4</v>
      </c>
      <c r="AG26" s="279" t="s">
        <v>8</v>
      </c>
      <c r="AH26" s="279"/>
      <c r="AI26" s="278"/>
      <c r="AJ26" s="278"/>
      <c r="AK26" s="278"/>
      <c r="AL26" s="278"/>
      <c r="AM26" s="278"/>
      <c r="AN26" s="278"/>
      <c r="AO26" s="280"/>
      <c r="AP26" s="281"/>
      <c r="AQ26" s="281"/>
      <c r="AR26" s="282"/>
      <c r="AS26" s="276"/>
      <c r="AT26" s="275"/>
      <c r="AU26" s="9"/>
      <c r="AV26" s="9"/>
    </row>
    <row r="27" spans="1:48" s="10" customFormat="1" ht="24" customHeight="1">
      <c r="A27" s="9"/>
      <c r="B27" s="268"/>
      <c r="C27" s="269" t="s">
        <v>5</v>
      </c>
      <c r="D27" s="270" t="s">
        <v>18</v>
      </c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83"/>
      <c r="P27" s="270"/>
      <c r="Q27" s="273" t="s">
        <v>5</v>
      </c>
      <c r="R27" s="270" t="s">
        <v>16</v>
      </c>
      <c r="S27" s="270"/>
      <c r="T27" s="284"/>
      <c r="U27" s="284"/>
      <c r="V27" s="271"/>
      <c r="W27" s="264"/>
      <c r="X27" s="278"/>
      <c r="Y27" s="278"/>
      <c r="Z27" s="278"/>
      <c r="AA27" s="278"/>
      <c r="AB27" s="278"/>
      <c r="AC27" s="278"/>
      <c r="AD27" s="283"/>
      <c r="AE27" s="274"/>
      <c r="AF27" s="269" t="s">
        <v>5</v>
      </c>
      <c r="AG27" s="279" t="s">
        <v>11</v>
      </c>
      <c r="AH27" s="279"/>
      <c r="AI27" s="278"/>
      <c r="AJ27" s="278"/>
      <c r="AK27" s="278"/>
      <c r="AL27" s="278"/>
      <c r="AM27" s="278"/>
      <c r="AN27" s="278"/>
      <c r="AO27" s="280"/>
      <c r="AP27" s="271"/>
      <c r="AQ27" s="271"/>
      <c r="AR27" s="271"/>
      <c r="AS27" s="283"/>
      <c r="AT27" s="275"/>
      <c r="AU27" s="9"/>
      <c r="AV27" s="9"/>
    </row>
    <row r="28" spans="1:48" s="10" customFormat="1" ht="24" customHeight="1">
      <c r="A28" s="9"/>
      <c r="B28" s="268"/>
      <c r="C28" s="269" t="s">
        <v>6</v>
      </c>
      <c r="D28" s="270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83"/>
      <c r="P28" s="270"/>
      <c r="Q28" s="273" t="s">
        <v>6</v>
      </c>
      <c r="R28" s="270" t="s">
        <v>17</v>
      </c>
      <c r="S28" s="270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83"/>
      <c r="AE28" s="274"/>
      <c r="AF28" s="269" t="s">
        <v>6</v>
      </c>
      <c r="AG28" s="270" t="s">
        <v>38</v>
      </c>
      <c r="AH28" s="270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83"/>
      <c r="AT28" s="275"/>
      <c r="AU28" s="9"/>
      <c r="AV28" s="9"/>
    </row>
    <row r="29" spans="1:48" s="10" customFormat="1" ht="24" customHeight="1">
      <c r="A29" s="9"/>
      <c r="B29" s="268"/>
      <c r="C29" s="269" t="s">
        <v>7</v>
      </c>
      <c r="D29" s="270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83"/>
      <c r="P29" s="270"/>
      <c r="Q29" s="273" t="s">
        <v>7</v>
      </c>
      <c r="R29" s="270" t="s">
        <v>14</v>
      </c>
      <c r="S29" s="270"/>
      <c r="T29" s="271"/>
      <c r="U29" s="271"/>
      <c r="V29" s="271"/>
      <c r="W29" s="271"/>
      <c r="X29" s="264"/>
      <c r="Y29" s="264"/>
      <c r="Z29" s="264"/>
      <c r="AA29" s="264"/>
      <c r="AB29" s="264"/>
      <c r="AC29" s="264"/>
      <c r="AD29" s="283"/>
      <c r="AE29" s="274"/>
      <c r="AF29" s="269" t="s">
        <v>7</v>
      </c>
      <c r="AG29" s="270"/>
      <c r="AH29" s="270"/>
      <c r="AI29" s="271"/>
      <c r="AJ29" s="264"/>
      <c r="AK29" s="264"/>
      <c r="AL29" s="264"/>
      <c r="AM29" s="264"/>
      <c r="AN29" s="264"/>
      <c r="AO29" s="264"/>
      <c r="AP29" s="271"/>
      <c r="AQ29" s="271"/>
      <c r="AR29" s="271"/>
      <c r="AS29" s="283"/>
      <c r="AT29" s="275"/>
      <c r="AU29" s="9"/>
      <c r="AV29" s="9"/>
    </row>
    <row r="30" spans="1:48" s="10" customFormat="1" ht="3.75" customHeight="1" thickBot="1">
      <c r="A30" s="9"/>
      <c r="B30" s="268"/>
      <c r="C30" s="269"/>
      <c r="D30" s="270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69"/>
      <c r="P30" s="270"/>
      <c r="Q30" s="273"/>
      <c r="R30" s="269"/>
      <c r="S30" s="277"/>
      <c r="T30" s="271"/>
      <c r="U30" s="271"/>
      <c r="V30" s="271"/>
      <c r="W30" s="271"/>
      <c r="X30" s="264"/>
      <c r="Y30" s="264"/>
      <c r="Z30" s="264"/>
      <c r="AA30" s="264"/>
      <c r="AB30" s="264"/>
      <c r="AC30" s="264"/>
      <c r="AD30" s="264"/>
      <c r="AE30" s="264"/>
      <c r="AF30" s="273"/>
      <c r="AG30" s="269"/>
      <c r="AH30" s="270"/>
      <c r="AI30" s="264"/>
      <c r="AJ30" s="264"/>
      <c r="AK30" s="264"/>
      <c r="AL30" s="264"/>
      <c r="AM30" s="264"/>
      <c r="AN30" s="264"/>
      <c r="AO30" s="264"/>
      <c r="AP30" s="271"/>
      <c r="AQ30" s="271"/>
      <c r="AR30" s="271"/>
      <c r="AS30" s="271"/>
      <c r="AT30" s="285"/>
      <c r="AU30" s="9"/>
      <c r="AV30" s="9"/>
    </row>
    <row r="31" spans="1:48" s="10" customFormat="1" ht="24" customHeight="1" thickBot="1">
      <c r="A31" s="9"/>
      <c r="B31" s="227" t="s">
        <v>247</v>
      </c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394" t="s">
        <v>248</v>
      </c>
      <c r="AK31" s="395"/>
      <c r="AL31" s="395"/>
      <c r="AM31" s="395"/>
      <c r="AN31" s="395"/>
      <c r="AO31" s="395"/>
      <c r="AP31" s="395"/>
      <c r="AQ31" s="395"/>
      <c r="AR31" s="395"/>
      <c r="AS31" s="395"/>
      <c r="AT31" s="396"/>
      <c r="AU31" s="9"/>
      <c r="AV31" s="9"/>
    </row>
    <row r="32" spans="1:48" s="10" customFormat="1" ht="24" customHeight="1">
      <c r="A32" s="9"/>
      <c r="B32" s="350"/>
      <c r="C32" s="351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3"/>
      <c r="AG32" s="353"/>
      <c r="AH32" s="352"/>
      <c r="AI32" s="352"/>
      <c r="AJ32" s="376"/>
      <c r="AK32" s="354"/>
      <c r="AL32" s="354"/>
      <c r="AM32" s="354"/>
      <c r="AN32" s="354"/>
      <c r="AO32" s="354"/>
      <c r="AP32" s="354"/>
      <c r="AQ32" s="354"/>
      <c r="AR32" s="354"/>
      <c r="AS32" s="354"/>
      <c r="AT32" s="355"/>
      <c r="AU32" s="9"/>
      <c r="AV32" s="9"/>
    </row>
    <row r="33" spans="1:48" s="10" customFormat="1" ht="24" customHeight="1">
      <c r="A33" s="9"/>
      <c r="B33" s="356"/>
      <c r="C33" s="357" t="s">
        <v>252</v>
      </c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358"/>
      <c r="AB33" s="358"/>
      <c r="AC33" s="358"/>
      <c r="AD33" s="358"/>
      <c r="AE33" s="358"/>
      <c r="AF33" s="359"/>
      <c r="AG33" s="359"/>
      <c r="AH33" s="358"/>
      <c r="AI33" s="358"/>
      <c r="AJ33" s="377"/>
      <c r="AK33" s="360"/>
      <c r="AL33" s="360"/>
      <c r="AM33" s="360"/>
      <c r="AN33" s="360"/>
      <c r="AO33" s="360"/>
      <c r="AP33" s="360"/>
      <c r="AQ33" s="360"/>
      <c r="AR33" s="361"/>
      <c r="AS33" s="361"/>
      <c r="AT33" s="362"/>
      <c r="AU33" s="9"/>
      <c r="AV33" s="9"/>
    </row>
    <row r="34" spans="1:48" s="10" customFormat="1" ht="24" customHeight="1">
      <c r="A34" s="9"/>
      <c r="B34" s="356"/>
      <c r="C34" s="358" t="s">
        <v>63</v>
      </c>
      <c r="D34" s="358" t="s">
        <v>253</v>
      </c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9"/>
      <c r="AG34" s="359"/>
      <c r="AH34" s="358"/>
      <c r="AI34" s="358"/>
      <c r="AJ34" s="377"/>
      <c r="AK34" s="360"/>
      <c r="AL34" s="360"/>
      <c r="AM34" s="360"/>
      <c r="AN34" s="360"/>
      <c r="AO34" s="360"/>
      <c r="AP34" s="360"/>
      <c r="AQ34" s="360"/>
      <c r="AR34" s="361"/>
      <c r="AS34" s="361"/>
      <c r="AT34" s="362"/>
      <c r="AU34" s="9"/>
      <c r="AV34" s="9"/>
    </row>
    <row r="35" spans="1:48" s="10" customFormat="1" ht="24" customHeight="1">
      <c r="A35" s="9"/>
      <c r="B35" s="356"/>
      <c r="C35" s="358"/>
      <c r="D35" s="358" t="s">
        <v>254</v>
      </c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  <c r="AA35" s="358"/>
      <c r="AB35" s="358"/>
      <c r="AC35" s="358"/>
      <c r="AD35" s="358"/>
      <c r="AE35" s="358"/>
      <c r="AF35" s="359"/>
      <c r="AG35" s="359"/>
      <c r="AH35" s="358"/>
      <c r="AI35" s="358"/>
      <c r="AJ35" s="377"/>
      <c r="AK35" s="360"/>
      <c r="AL35" s="360"/>
      <c r="AM35" s="360"/>
      <c r="AN35" s="360"/>
      <c r="AO35" s="360"/>
      <c r="AP35" s="360"/>
      <c r="AQ35" s="360"/>
      <c r="AR35" s="361"/>
      <c r="AS35" s="361"/>
      <c r="AT35" s="362"/>
      <c r="AU35" s="9"/>
      <c r="AV35" s="9"/>
    </row>
    <row r="36" spans="1:48" s="10" customFormat="1" ht="24" customHeight="1">
      <c r="A36" s="9"/>
      <c r="B36" s="356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9"/>
      <c r="AG36" s="359"/>
      <c r="AH36" s="358"/>
      <c r="AI36" s="358"/>
      <c r="AJ36" s="377"/>
      <c r="AK36" s="360"/>
      <c r="AL36" s="360"/>
      <c r="AM36" s="360"/>
      <c r="AN36" s="360"/>
      <c r="AO36" s="360"/>
      <c r="AP36" s="360"/>
      <c r="AQ36" s="360"/>
      <c r="AR36" s="361"/>
      <c r="AS36" s="361"/>
      <c r="AT36" s="362"/>
      <c r="AU36" s="9"/>
      <c r="AV36" s="9"/>
    </row>
    <row r="37" spans="1:48" s="10" customFormat="1" ht="24" customHeight="1">
      <c r="A37" s="9"/>
      <c r="B37" s="356"/>
      <c r="C37" s="357" t="s">
        <v>255</v>
      </c>
      <c r="D37" s="359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64"/>
      <c r="AB37" s="364"/>
      <c r="AC37" s="359"/>
      <c r="AD37" s="358"/>
      <c r="AE37" s="358"/>
      <c r="AF37" s="359"/>
      <c r="AG37" s="359"/>
      <c r="AH37" s="358"/>
      <c r="AI37" s="358"/>
      <c r="AJ37" s="377"/>
      <c r="AK37" s="360"/>
      <c r="AL37" s="360"/>
      <c r="AM37" s="360"/>
      <c r="AN37" s="360"/>
      <c r="AO37" s="360"/>
      <c r="AP37" s="360"/>
      <c r="AQ37" s="360"/>
      <c r="AR37" s="361"/>
      <c r="AS37" s="361"/>
      <c r="AT37" s="362"/>
      <c r="AU37" s="9"/>
      <c r="AV37" s="9"/>
    </row>
    <row r="38" spans="1:48" s="10" customFormat="1" ht="24" customHeight="1">
      <c r="A38" s="9"/>
      <c r="B38" s="356"/>
      <c r="C38" s="363" t="s">
        <v>63</v>
      </c>
      <c r="D38" s="359" t="s">
        <v>256</v>
      </c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64"/>
      <c r="AB38" s="364"/>
      <c r="AC38" s="358"/>
      <c r="AD38" s="358"/>
      <c r="AE38" s="358"/>
      <c r="AF38" s="359"/>
      <c r="AG38" s="359"/>
      <c r="AH38" s="358"/>
      <c r="AI38" s="358"/>
      <c r="AJ38" s="377"/>
      <c r="AK38" s="360"/>
      <c r="AL38" s="360"/>
      <c r="AM38" s="360"/>
      <c r="AN38" s="360"/>
      <c r="AO38" s="360"/>
      <c r="AP38" s="360"/>
      <c r="AQ38" s="360"/>
      <c r="AR38" s="361"/>
      <c r="AS38" s="361"/>
      <c r="AT38" s="362"/>
      <c r="AU38" s="9"/>
      <c r="AV38" s="9"/>
    </row>
    <row r="39" spans="1:48" s="10" customFormat="1" ht="24" customHeight="1">
      <c r="A39" s="9"/>
      <c r="B39" s="356"/>
      <c r="C39" s="358"/>
      <c r="D39" s="359"/>
      <c r="E39" s="358"/>
      <c r="F39" s="358"/>
      <c r="G39" s="358"/>
      <c r="H39" s="358"/>
      <c r="I39" s="402"/>
      <c r="J39" s="402"/>
      <c r="K39" s="402"/>
      <c r="L39" s="402"/>
      <c r="M39" s="402"/>
      <c r="N39" s="402"/>
      <c r="O39" s="402"/>
      <c r="P39" s="402"/>
      <c r="Q39" s="402"/>
      <c r="R39" s="402"/>
      <c r="S39" s="402"/>
      <c r="T39" s="402"/>
      <c r="U39" s="358"/>
      <c r="V39" s="358"/>
      <c r="W39" s="358"/>
      <c r="X39" s="358"/>
      <c r="Y39" s="358"/>
      <c r="Z39" s="358"/>
      <c r="AA39" s="364"/>
      <c r="AB39" s="364"/>
      <c r="AC39" s="358"/>
      <c r="AD39" s="358"/>
      <c r="AE39" s="358"/>
      <c r="AF39" s="359"/>
      <c r="AG39" s="359"/>
      <c r="AH39" s="358"/>
      <c r="AI39" s="358"/>
      <c r="AJ39" s="377"/>
      <c r="AK39" s="360"/>
      <c r="AL39" s="360"/>
      <c r="AM39" s="360"/>
      <c r="AN39" s="360"/>
      <c r="AO39" s="360"/>
      <c r="AP39" s="360"/>
      <c r="AQ39" s="360"/>
      <c r="AR39" s="361"/>
      <c r="AS39" s="361"/>
      <c r="AT39" s="362"/>
      <c r="AU39" s="9"/>
      <c r="AV39" s="9"/>
    </row>
    <row r="40" spans="1:48" s="10" customFormat="1" ht="24" customHeight="1">
      <c r="A40" s="9"/>
      <c r="B40" s="356"/>
      <c r="C40" s="358"/>
      <c r="D40" s="359"/>
      <c r="E40" s="358"/>
      <c r="F40" s="358"/>
      <c r="G40" s="358"/>
      <c r="H40" s="358"/>
      <c r="I40" s="412" t="s">
        <v>278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4"/>
      <c r="AA40" s="364"/>
      <c r="AB40" s="364"/>
      <c r="AC40" s="358"/>
      <c r="AD40" s="358"/>
      <c r="AE40" s="358"/>
      <c r="AF40" s="359"/>
      <c r="AG40" s="359"/>
      <c r="AH40" s="358"/>
      <c r="AI40" s="358"/>
      <c r="AJ40" s="377"/>
      <c r="AK40" s="360"/>
      <c r="AL40" s="360"/>
      <c r="AM40" s="360"/>
      <c r="AN40" s="360"/>
      <c r="AO40" s="360"/>
      <c r="AP40" s="360"/>
      <c r="AQ40" s="360"/>
      <c r="AR40" s="361"/>
      <c r="AS40" s="361"/>
      <c r="AT40" s="362"/>
      <c r="AU40" s="9"/>
      <c r="AV40" s="9"/>
    </row>
    <row r="41" spans="1:48" s="10" customFormat="1" ht="24" customHeight="1">
      <c r="A41" s="9"/>
      <c r="B41" s="356"/>
      <c r="C41" s="408" t="s">
        <v>65</v>
      </c>
      <c r="D41" s="409"/>
      <c r="E41" s="410"/>
      <c r="F41" s="410" t="s">
        <v>66</v>
      </c>
      <c r="G41" s="410"/>
      <c r="H41" s="411"/>
      <c r="I41" s="412" t="s">
        <v>277</v>
      </c>
      <c r="J41" s="413"/>
      <c r="K41" s="413"/>
      <c r="L41" s="413"/>
      <c r="M41" s="413"/>
      <c r="N41" s="414"/>
      <c r="O41" s="412" t="s">
        <v>275</v>
      </c>
      <c r="P41" s="413"/>
      <c r="Q41" s="413"/>
      <c r="R41" s="413"/>
      <c r="S41" s="413"/>
      <c r="T41" s="414"/>
      <c r="U41" s="412" t="s">
        <v>276</v>
      </c>
      <c r="V41" s="413"/>
      <c r="W41" s="413"/>
      <c r="X41" s="413"/>
      <c r="Y41" s="413"/>
      <c r="Z41" s="414"/>
      <c r="AA41" s="364"/>
      <c r="AB41" s="428" t="s">
        <v>287</v>
      </c>
      <c r="AC41" s="429"/>
      <c r="AD41" s="428"/>
      <c r="AE41" s="428"/>
      <c r="AF41" s="359"/>
      <c r="AG41" s="359"/>
      <c r="AH41" s="358"/>
      <c r="AI41" s="358"/>
      <c r="AJ41" s="377"/>
      <c r="AK41" s="360"/>
      <c r="AL41" s="360"/>
      <c r="AM41" s="360"/>
      <c r="AN41" s="360"/>
      <c r="AO41" s="360"/>
      <c r="AP41" s="360"/>
      <c r="AQ41" s="360"/>
      <c r="AR41" s="361"/>
      <c r="AS41" s="361"/>
      <c r="AT41" s="362"/>
      <c r="AU41" s="9"/>
      <c r="AV41" s="9"/>
    </row>
    <row r="42" spans="1:48" s="10" customFormat="1" ht="24" customHeight="1">
      <c r="A42" s="9"/>
      <c r="B42" s="356"/>
      <c r="C42" s="404" t="s">
        <v>68</v>
      </c>
      <c r="D42" s="359"/>
      <c r="E42" s="358"/>
      <c r="F42" s="358" t="s">
        <v>72</v>
      </c>
      <c r="G42" s="358"/>
      <c r="H42" s="405"/>
      <c r="I42" s="406" t="s">
        <v>260</v>
      </c>
      <c r="J42" s="403"/>
      <c r="K42" s="403"/>
      <c r="L42" s="403" t="s">
        <v>263</v>
      </c>
      <c r="M42" s="403"/>
      <c r="N42" s="407"/>
      <c r="O42" s="406" t="s">
        <v>270</v>
      </c>
      <c r="P42" s="403"/>
      <c r="Q42" s="403"/>
      <c r="R42" s="403" t="s">
        <v>279</v>
      </c>
      <c r="S42" s="403"/>
      <c r="T42" s="407"/>
      <c r="U42" s="406" t="s">
        <v>265</v>
      </c>
      <c r="V42" s="403"/>
      <c r="W42" s="403"/>
      <c r="X42" s="403" t="s">
        <v>166</v>
      </c>
      <c r="Y42" s="403"/>
      <c r="Z42" s="407"/>
      <c r="AA42" s="364"/>
      <c r="AB42" s="430" t="s">
        <v>260</v>
      </c>
      <c r="AC42" s="430"/>
      <c r="AD42" s="430"/>
      <c r="AE42" s="428"/>
      <c r="AF42" s="359"/>
      <c r="AG42" s="359"/>
      <c r="AH42" s="358"/>
      <c r="AI42" s="358"/>
      <c r="AJ42" s="377"/>
      <c r="AK42" s="360"/>
      <c r="AL42" s="360"/>
      <c r="AM42" s="360"/>
      <c r="AN42" s="360"/>
      <c r="AO42" s="360"/>
      <c r="AP42" s="360"/>
      <c r="AQ42" s="360"/>
      <c r="AR42" s="361"/>
      <c r="AS42" s="361"/>
      <c r="AT42" s="362"/>
      <c r="AU42" s="9"/>
      <c r="AV42" s="9"/>
    </row>
    <row r="43" spans="1:48" s="10" customFormat="1" ht="24" customHeight="1">
      <c r="A43" s="9"/>
      <c r="B43" s="356"/>
      <c r="C43" s="404" t="s">
        <v>69</v>
      </c>
      <c r="D43" s="358"/>
      <c r="E43" s="358"/>
      <c r="F43" s="358" t="s">
        <v>73</v>
      </c>
      <c r="G43" s="358"/>
      <c r="H43" s="405"/>
      <c r="I43" s="406" t="s">
        <v>260</v>
      </c>
      <c r="J43" s="403"/>
      <c r="K43" s="403"/>
      <c r="L43" s="403" t="s">
        <v>262</v>
      </c>
      <c r="M43" s="403"/>
      <c r="N43" s="407"/>
      <c r="O43" s="406" t="s">
        <v>260</v>
      </c>
      <c r="P43" s="403"/>
      <c r="Q43" s="403"/>
      <c r="R43" s="403" t="s">
        <v>262</v>
      </c>
      <c r="S43" s="403"/>
      <c r="T43" s="407"/>
      <c r="U43" s="406" t="s">
        <v>266</v>
      </c>
      <c r="V43" s="403"/>
      <c r="W43" s="403"/>
      <c r="X43" s="403" t="s">
        <v>267</v>
      </c>
      <c r="Y43" s="403"/>
      <c r="Z43" s="407"/>
      <c r="AA43" s="358"/>
      <c r="AB43" s="430" t="s">
        <v>84</v>
      </c>
      <c r="AC43" s="430"/>
      <c r="AD43" s="430"/>
      <c r="AE43" s="428"/>
      <c r="AF43" s="359"/>
      <c r="AG43" s="359"/>
      <c r="AH43" s="358"/>
      <c r="AI43" s="358"/>
      <c r="AJ43" s="377"/>
      <c r="AK43" s="360"/>
      <c r="AL43" s="360"/>
      <c r="AM43" s="360"/>
      <c r="AN43" s="360"/>
      <c r="AO43" s="360"/>
      <c r="AP43" s="360"/>
      <c r="AQ43" s="360"/>
      <c r="AR43" s="361"/>
      <c r="AS43" s="361"/>
      <c r="AT43" s="362"/>
      <c r="AU43" s="9"/>
      <c r="AV43" s="9"/>
    </row>
    <row r="44" spans="1:48" s="10" customFormat="1" ht="24" customHeight="1">
      <c r="A44" s="9"/>
      <c r="B44" s="356"/>
      <c r="C44" s="404" t="s">
        <v>70</v>
      </c>
      <c r="D44" s="358"/>
      <c r="E44" s="358"/>
      <c r="F44" s="358" t="s">
        <v>74</v>
      </c>
      <c r="G44" s="358"/>
      <c r="H44" s="405"/>
      <c r="I44" s="406" t="s">
        <v>261</v>
      </c>
      <c r="J44" s="403"/>
      <c r="K44" s="403"/>
      <c r="L44" s="403" t="s">
        <v>76</v>
      </c>
      <c r="M44" s="403"/>
      <c r="N44" s="407"/>
      <c r="O44" s="406" t="s">
        <v>261</v>
      </c>
      <c r="P44" s="403"/>
      <c r="Q44" s="403"/>
      <c r="R44" s="403" t="s">
        <v>76</v>
      </c>
      <c r="S44" s="403"/>
      <c r="T44" s="407"/>
      <c r="U44" s="406" t="s">
        <v>261</v>
      </c>
      <c r="V44" s="403"/>
      <c r="W44" s="403"/>
      <c r="X44" s="403" t="s">
        <v>76</v>
      </c>
      <c r="Y44" s="403"/>
      <c r="Z44" s="407"/>
      <c r="AA44" s="358"/>
      <c r="AB44" s="430" t="s">
        <v>88</v>
      </c>
      <c r="AC44" s="430"/>
      <c r="AD44" s="430"/>
      <c r="AE44" s="428"/>
      <c r="AF44" s="359"/>
      <c r="AG44" s="359"/>
      <c r="AH44" s="358"/>
      <c r="AI44" s="358"/>
      <c r="AJ44" s="377"/>
      <c r="AK44" s="360"/>
      <c r="AL44" s="360"/>
      <c r="AM44" s="360"/>
      <c r="AN44" s="360"/>
      <c r="AO44" s="360"/>
      <c r="AP44" s="360"/>
      <c r="AQ44" s="360"/>
      <c r="AR44" s="361"/>
      <c r="AS44" s="361"/>
      <c r="AT44" s="362"/>
      <c r="AU44" s="9"/>
      <c r="AV44" s="9"/>
    </row>
    <row r="45" spans="1:48" s="10" customFormat="1" ht="24" customHeight="1">
      <c r="A45" s="9"/>
      <c r="B45" s="356"/>
      <c r="C45" s="404" t="s">
        <v>71</v>
      </c>
      <c r="D45" s="358"/>
      <c r="E45" s="358"/>
      <c r="F45" s="358" t="s">
        <v>75</v>
      </c>
      <c r="G45" s="358"/>
      <c r="H45" s="405"/>
      <c r="I45" s="406" t="s">
        <v>82</v>
      </c>
      <c r="J45" s="403"/>
      <c r="K45" s="403"/>
      <c r="L45" s="403" t="s">
        <v>143</v>
      </c>
      <c r="M45" s="403"/>
      <c r="N45" s="407"/>
      <c r="O45" s="406" t="s">
        <v>82</v>
      </c>
      <c r="P45" s="403"/>
      <c r="Q45" s="403"/>
      <c r="R45" s="403" t="s">
        <v>143</v>
      </c>
      <c r="S45" s="403"/>
      <c r="T45" s="407"/>
      <c r="U45" s="406" t="s">
        <v>280</v>
      </c>
      <c r="V45" s="403"/>
      <c r="W45" s="403"/>
      <c r="X45" s="403" t="s">
        <v>78</v>
      </c>
      <c r="Y45" s="403"/>
      <c r="Z45" s="407"/>
      <c r="AA45" s="358"/>
      <c r="AB45" s="430" t="s">
        <v>280</v>
      </c>
      <c r="AC45" s="430"/>
      <c r="AD45" s="430"/>
      <c r="AE45" s="428"/>
      <c r="AF45" s="359"/>
      <c r="AG45" s="359"/>
      <c r="AH45" s="358"/>
      <c r="AI45" s="358"/>
      <c r="AJ45" s="377"/>
      <c r="AK45" s="360"/>
      <c r="AL45" s="360"/>
      <c r="AM45" s="360"/>
      <c r="AN45" s="360"/>
      <c r="AO45" s="360"/>
      <c r="AP45" s="360"/>
      <c r="AQ45" s="360"/>
      <c r="AR45" s="361"/>
      <c r="AS45" s="361"/>
      <c r="AT45" s="362"/>
      <c r="AU45" s="9"/>
      <c r="AV45" s="9"/>
    </row>
    <row r="46" spans="1:48" s="10" customFormat="1" ht="24" customHeight="1">
      <c r="A46" s="9"/>
      <c r="B46" s="356"/>
      <c r="C46" s="412" t="s">
        <v>25</v>
      </c>
      <c r="D46" s="413"/>
      <c r="E46" s="413"/>
      <c r="F46" s="413"/>
      <c r="G46" s="413"/>
      <c r="H46" s="414"/>
      <c r="I46" s="415" t="s">
        <v>269</v>
      </c>
      <c r="J46" s="416"/>
      <c r="K46" s="416"/>
      <c r="L46" s="416" t="s">
        <v>264</v>
      </c>
      <c r="M46" s="416"/>
      <c r="N46" s="417"/>
      <c r="O46" s="415" t="s">
        <v>271</v>
      </c>
      <c r="P46" s="416"/>
      <c r="Q46" s="416"/>
      <c r="R46" s="416" t="s">
        <v>79</v>
      </c>
      <c r="S46" s="416"/>
      <c r="T46" s="417"/>
      <c r="U46" s="415" t="s">
        <v>272</v>
      </c>
      <c r="V46" s="416"/>
      <c r="W46" s="416"/>
      <c r="X46" s="416" t="s">
        <v>268</v>
      </c>
      <c r="Y46" s="416"/>
      <c r="Z46" s="417"/>
      <c r="AA46" s="358"/>
      <c r="AB46" s="430" t="s">
        <v>286</v>
      </c>
      <c r="AC46" s="430"/>
      <c r="AD46" s="430"/>
      <c r="AE46" s="428"/>
      <c r="AF46" s="359"/>
      <c r="AG46" s="359"/>
      <c r="AH46" s="358"/>
      <c r="AI46" s="358"/>
      <c r="AJ46" s="377"/>
      <c r="AK46" s="360"/>
      <c r="AL46" s="360"/>
      <c r="AM46" s="360"/>
      <c r="AN46" s="360"/>
      <c r="AO46" s="360"/>
      <c r="AP46" s="360"/>
      <c r="AQ46" s="360"/>
      <c r="AR46" s="361"/>
      <c r="AS46" s="361"/>
      <c r="AT46" s="362"/>
      <c r="AU46" s="9"/>
      <c r="AV46" s="9"/>
    </row>
    <row r="47" spans="1:48" s="10" customFormat="1" ht="24" customHeight="1">
      <c r="A47" s="9"/>
      <c r="B47" s="356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9"/>
      <c r="AG47" s="359"/>
      <c r="AH47" s="358"/>
      <c r="AI47" s="358"/>
      <c r="AJ47" s="377"/>
      <c r="AK47" s="360"/>
      <c r="AL47" s="360"/>
      <c r="AM47" s="360"/>
      <c r="AN47" s="360"/>
      <c r="AO47" s="360"/>
      <c r="AP47" s="360"/>
      <c r="AQ47" s="360"/>
      <c r="AR47" s="361"/>
      <c r="AS47" s="361"/>
      <c r="AT47" s="362"/>
      <c r="AU47" s="9"/>
      <c r="AV47" s="9"/>
    </row>
    <row r="48" spans="1:48" s="10" customFormat="1" ht="24" customHeight="1">
      <c r="A48" s="9"/>
      <c r="B48" s="356"/>
      <c r="C48" s="358"/>
      <c r="D48" s="358"/>
      <c r="E48" s="358"/>
      <c r="F48" s="358"/>
      <c r="G48" s="358"/>
      <c r="H48" s="358"/>
      <c r="I48" s="412" t="s">
        <v>274</v>
      </c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2" t="s">
        <v>273</v>
      </c>
      <c r="V48" s="413"/>
      <c r="W48" s="413"/>
      <c r="X48" s="413"/>
      <c r="Y48" s="413"/>
      <c r="Z48" s="413"/>
      <c r="AA48" s="413"/>
      <c r="AB48" s="413"/>
      <c r="AC48" s="413"/>
      <c r="AD48" s="413"/>
      <c r="AE48" s="413"/>
      <c r="AF48" s="414"/>
      <c r="AG48" s="359"/>
      <c r="AH48" s="358"/>
      <c r="AI48" s="358"/>
      <c r="AJ48" s="377"/>
      <c r="AK48" s="360"/>
      <c r="AL48" s="360"/>
      <c r="AM48" s="360"/>
      <c r="AN48" s="360"/>
      <c r="AO48" s="360"/>
      <c r="AP48" s="360"/>
      <c r="AQ48" s="360"/>
      <c r="AR48" s="361"/>
      <c r="AS48" s="361"/>
      <c r="AT48" s="362"/>
      <c r="AU48" s="9"/>
      <c r="AV48" s="9"/>
    </row>
    <row r="49" spans="1:48" s="10" customFormat="1" ht="24" customHeight="1">
      <c r="A49" s="9"/>
      <c r="B49" s="356"/>
      <c r="C49" s="408" t="s">
        <v>65</v>
      </c>
      <c r="D49" s="409"/>
      <c r="E49" s="410"/>
      <c r="F49" s="410" t="s">
        <v>66</v>
      </c>
      <c r="G49" s="410"/>
      <c r="H49" s="411"/>
      <c r="I49" s="412" t="s">
        <v>257</v>
      </c>
      <c r="J49" s="413"/>
      <c r="K49" s="413"/>
      <c r="L49" s="414"/>
      <c r="M49" s="412" t="s">
        <v>258</v>
      </c>
      <c r="N49" s="413"/>
      <c r="O49" s="413"/>
      <c r="P49" s="414"/>
      <c r="Q49" s="412" t="s">
        <v>259</v>
      </c>
      <c r="R49" s="413"/>
      <c r="S49" s="413"/>
      <c r="T49" s="414"/>
      <c r="U49" s="412" t="s">
        <v>257</v>
      </c>
      <c r="V49" s="413"/>
      <c r="W49" s="413"/>
      <c r="X49" s="414"/>
      <c r="Y49" s="412" t="s">
        <v>258</v>
      </c>
      <c r="Z49" s="413"/>
      <c r="AA49" s="413"/>
      <c r="AB49" s="414"/>
      <c r="AC49" s="412" t="s">
        <v>259</v>
      </c>
      <c r="AD49" s="413"/>
      <c r="AE49" s="413"/>
      <c r="AF49" s="414"/>
      <c r="AG49" s="359"/>
      <c r="AH49" s="358"/>
      <c r="AI49" s="358"/>
      <c r="AJ49" s="377"/>
      <c r="AK49" s="360"/>
      <c r="AL49" s="360"/>
      <c r="AM49" s="360"/>
      <c r="AN49" s="360"/>
      <c r="AO49" s="360"/>
      <c r="AP49" s="360"/>
      <c r="AQ49" s="360"/>
      <c r="AR49" s="361"/>
      <c r="AS49" s="361"/>
      <c r="AT49" s="362"/>
      <c r="AU49" s="9"/>
      <c r="AV49" s="9"/>
    </row>
    <row r="50" spans="1:48" s="10" customFormat="1" ht="24" customHeight="1">
      <c r="A50" s="9"/>
      <c r="B50" s="356"/>
      <c r="C50" s="404" t="s">
        <v>68</v>
      </c>
      <c r="D50" s="359"/>
      <c r="E50" s="358"/>
      <c r="F50" s="358" t="s">
        <v>72</v>
      </c>
      <c r="G50" s="358"/>
      <c r="H50" s="405"/>
      <c r="I50" s="421">
        <v>107200</v>
      </c>
      <c r="J50" s="422"/>
      <c r="K50" s="422"/>
      <c r="L50" s="423"/>
      <c r="M50" s="421">
        <v>299200</v>
      </c>
      <c r="N50" s="422"/>
      <c r="O50" s="422"/>
      <c r="P50" s="423"/>
      <c r="Q50" s="421">
        <v>300000</v>
      </c>
      <c r="R50" s="422"/>
      <c r="S50" s="422"/>
      <c r="T50" s="423"/>
      <c r="U50" s="421">
        <v>99200</v>
      </c>
      <c r="V50" s="422"/>
      <c r="W50" s="422"/>
      <c r="X50" s="423"/>
      <c r="Y50" s="421">
        <f>50400+50400+100800+100800</f>
        <v>302400</v>
      </c>
      <c r="Z50" s="422"/>
      <c r="AA50" s="422"/>
      <c r="AB50" s="423"/>
      <c r="AC50" s="421">
        <f>108000+108000+108000</f>
        <v>324000</v>
      </c>
      <c r="AD50" s="422"/>
      <c r="AE50" s="422"/>
      <c r="AF50" s="423"/>
      <c r="AG50" s="359"/>
      <c r="AH50" s="358"/>
      <c r="AI50" s="358"/>
      <c r="AJ50" s="377"/>
      <c r="AK50" s="360"/>
      <c r="AL50" s="360"/>
      <c r="AM50" s="360"/>
      <c r="AN50" s="360"/>
      <c r="AO50" s="360"/>
      <c r="AP50" s="360"/>
      <c r="AQ50" s="360"/>
      <c r="AR50" s="361"/>
      <c r="AS50" s="361"/>
      <c r="AT50" s="362"/>
      <c r="AU50" s="9"/>
      <c r="AV50" s="9"/>
    </row>
    <row r="51" spans="1:48" s="10" customFormat="1" ht="24" customHeight="1">
      <c r="A51" s="9"/>
      <c r="B51" s="356"/>
      <c r="C51" s="404" t="s">
        <v>69</v>
      </c>
      <c r="D51" s="358"/>
      <c r="E51" s="358"/>
      <c r="F51" s="358" t="s">
        <v>73</v>
      </c>
      <c r="G51" s="358"/>
      <c r="H51" s="405"/>
      <c r="I51" s="424">
        <v>300000</v>
      </c>
      <c r="J51" s="425"/>
      <c r="K51" s="425"/>
      <c r="L51" s="426"/>
      <c r="M51" s="424">
        <v>300000</v>
      </c>
      <c r="N51" s="425"/>
      <c r="O51" s="425"/>
      <c r="P51" s="426"/>
      <c r="Q51" s="424">
        <v>300000</v>
      </c>
      <c r="R51" s="425"/>
      <c r="S51" s="425"/>
      <c r="T51" s="426"/>
      <c r="U51" s="424">
        <v>300000</v>
      </c>
      <c r="V51" s="425"/>
      <c r="W51" s="425"/>
      <c r="X51" s="426"/>
      <c r="Y51" s="424">
        <v>300000</v>
      </c>
      <c r="Z51" s="425"/>
      <c r="AA51" s="425"/>
      <c r="AB51" s="426"/>
      <c r="AC51" s="424">
        <v>300000</v>
      </c>
      <c r="AD51" s="425"/>
      <c r="AE51" s="425"/>
      <c r="AF51" s="426"/>
      <c r="AG51" s="359"/>
      <c r="AH51" s="358"/>
      <c r="AI51" s="358"/>
      <c r="AJ51" s="377"/>
      <c r="AK51" s="360"/>
      <c r="AL51" s="360"/>
      <c r="AM51" s="360"/>
      <c r="AN51" s="360"/>
      <c r="AO51" s="360"/>
      <c r="AP51" s="360"/>
      <c r="AQ51" s="360"/>
      <c r="AR51" s="361"/>
      <c r="AS51" s="361"/>
      <c r="AT51" s="362"/>
      <c r="AU51" s="9"/>
      <c r="AV51" s="9"/>
    </row>
    <row r="52" spans="1:48" s="10" customFormat="1" ht="24" customHeight="1">
      <c r="A52" s="9"/>
      <c r="B52" s="356"/>
      <c r="C52" s="404" t="s">
        <v>70</v>
      </c>
      <c r="D52" s="358"/>
      <c r="E52" s="358"/>
      <c r="F52" s="358" t="s">
        <v>74</v>
      </c>
      <c r="G52" s="358"/>
      <c r="H52" s="405"/>
      <c r="I52" s="424">
        <v>500000</v>
      </c>
      <c r="J52" s="425"/>
      <c r="K52" s="425"/>
      <c r="L52" s="426"/>
      <c r="M52" s="424">
        <v>300000</v>
      </c>
      <c r="N52" s="425"/>
      <c r="O52" s="425"/>
      <c r="P52" s="426"/>
      <c r="Q52" s="424">
        <v>500000</v>
      </c>
      <c r="R52" s="425"/>
      <c r="S52" s="425"/>
      <c r="T52" s="426"/>
      <c r="U52" s="424">
        <v>500000</v>
      </c>
      <c r="V52" s="425"/>
      <c r="W52" s="425"/>
      <c r="X52" s="426"/>
      <c r="Y52" s="424">
        <v>400000</v>
      </c>
      <c r="Z52" s="425"/>
      <c r="AA52" s="425"/>
      <c r="AB52" s="426"/>
      <c r="AC52" s="424">
        <v>500000</v>
      </c>
      <c r="AD52" s="425"/>
      <c r="AE52" s="425"/>
      <c r="AF52" s="426"/>
      <c r="AG52" s="359"/>
      <c r="AH52" s="358"/>
      <c r="AI52" s="358"/>
      <c r="AJ52" s="377"/>
      <c r="AK52" s="360"/>
      <c r="AL52" s="360"/>
      <c r="AM52" s="360"/>
      <c r="AN52" s="360"/>
      <c r="AO52" s="360"/>
      <c r="AP52" s="360"/>
      <c r="AQ52" s="360"/>
      <c r="AR52" s="361"/>
      <c r="AS52" s="361"/>
      <c r="AT52" s="362"/>
      <c r="AU52" s="9"/>
      <c r="AV52" s="9"/>
    </row>
    <row r="53" spans="1:48" s="10" customFormat="1" ht="24" customHeight="1">
      <c r="A53" s="9"/>
      <c r="B53" s="356"/>
      <c r="C53" s="404" t="s">
        <v>71</v>
      </c>
      <c r="D53" s="358"/>
      <c r="E53" s="358"/>
      <c r="F53" s="358" t="s">
        <v>75</v>
      </c>
      <c r="G53" s="358"/>
      <c r="H53" s="405"/>
      <c r="I53" s="424">
        <v>1190000</v>
      </c>
      <c r="J53" s="425"/>
      <c r="K53" s="425"/>
      <c r="L53" s="426"/>
      <c r="M53" s="424">
        <v>1400000</v>
      </c>
      <c r="N53" s="425"/>
      <c r="O53" s="425"/>
      <c r="P53" s="426"/>
      <c r="Q53" s="424">
        <v>1400000</v>
      </c>
      <c r="R53" s="425"/>
      <c r="S53" s="425"/>
      <c r="T53" s="426"/>
      <c r="U53" s="424">
        <f>440000+450000+350000</f>
        <v>1240000</v>
      </c>
      <c r="V53" s="425"/>
      <c r="W53" s="425"/>
      <c r="X53" s="426"/>
      <c r="Y53" s="424">
        <f>800000+650000</f>
        <v>1450000</v>
      </c>
      <c r="Z53" s="425"/>
      <c r="AA53" s="425"/>
      <c r="AB53" s="426"/>
      <c r="AC53" s="424">
        <v>1400000</v>
      </c>
      <c r="AD53" s="425"/>
      <c r="AE53" s="425"/>
      <c r="AF53" s="426"/>
      <c r="AG53" s="359"/>
      <c r="AH53" s="358"/>
      <c r="AI53" s="358"/>
      <c r="AJ53" s="377"/>
      <c r="AK53" s="360"/>
      <c r="AL53" s="360"/>
      <c r="AM53" s="360"/>
      <c r="AN53" s="360"/>
      <c r="AO53" s="360"/>
      <c r="AP53" s="360"/>
      <c r="AQ53" s="360"/>
      <c r="AR53" s="361"/>
      <c r="AS53" s="361"/>
      <c r="AT53" s="362"/>
      <c r="AU53" s="9"/>
      <c r="AV53" s="9"/>
    </row>
    <row r="54" spans="1:48" s="10" customFormat="1" ht="24" customHeight="1">
      <c r="A54" s="9"/>
      <c r="B54" s="356"/>
      <c r="C54" s="412" t="s">
        <v>25</v>
      </c>
      <c r="D54" s="413"/>
      <c r="E54" s="413"/>
      <c r="F54" s="413"/>
      <c r="G54" s="413"/>
      <c r="H54" s="414"/>
      <c r="I54" s="418">
        <f>SUM(I50:L53)</f>
        <v>2097200</v>
      </c>
      <c r="J54" s="419"/>
      <c r="K54" s="419"/>
      <c r="L54" s="420"/>
      <c r="M54" s="418">
        <f t="shared" ref="M54" si="0">SUM(M50:P53)</f>
        <v>2299200</v>
      </c>
      <c r="N54" s="419"/>
      <c r="O54" s="419"/>
      <c r="P54" s="420"/>
      <c r="Q54" s="418">
        <f t="shared" ref="Q54" si="1">SUM(Q50:T53)</f>
        <v>2500000</v>
      </c>
      <c r="R54" s="419"/>
      <c r="S54" s="419"/>
      <c r="T54" s="420"/>
      <c r="U54" s="418">
        <f t="shared" ref="U54" si="2">SUM(U50:X53)</f>
        <v>2139200</v>
      </c>
      <c r="V54" s="419"/>
      <c r="W54" s="419"/>
      <c r="X54" s="420"/>
      <c r="Y54" s="418">
        <f t="shared" ref="Y54" si="3">SUM(Y50:AB53)</f>
        <v>2452400</v>
      </c>
      <c r="Z54" s="419"/>
      <c r="AA54" s="419"/>
      <c r="AB54" s="420"/>
      <c r="AC54" s="418">
        <f t="shared" ref="AC54" si="4">SUM(AC50:AF53)</f>
        <v>2524000</v>
      </c>
      <c r="AD54" s="419"/>
      <c r="AE54" s="419"/>
      <c r="AF54" s="420"/>
      <c r="AG54" s="359"/>
      <c r="AH54" s="358"/>
      <c r="AI54" s="358"/>
      <c r="AJ54" s="377"/>
      <c r="AK54" s="360"/>
      <c r="AL54" s="360"/>
      <c r="AM54" s="360"/>
      <c r="AN54" s="360"/>
      <c r="AO54" s="360"/>
      <c r="AP54" s="360"/>
      <c r="AQ54" s="360"/>
      <c r="AR54" s="361"/>
      <c r="AS54" s="361"/>
      <c r="AT54" s="362"/>
      <c r="AU54" s="9"/>
      <c r="AV54" s="9"/>
    </row>
    <row r="55" spans="1:48" s="10" customFormat="1" ht="24" customHeight="1">
      <c r="A55" s="9"/>
      <c r="B55" s="356"/>
      <c r="C55" s="358"/>
      <c r="D55" s="358"/>
      <c r="E55" s="358"/>
      <c r="F55" s="358"/>
      <c r="G55" s="358"/>
      <c r="H55" s="358"/>
      <c r="I55" s="427">
        <f>I54/3450000</f>
        <v>0.60788405797101452</v>
      </c>
      <c r="J55" s="427"/>
      <c r="K55" s="427"/>
      <c r="L55" s="427"/>
      <c r="M55" s="427">
        <f t="shared" ref="M55" si="5">M54/3450000</f>
        <v>0.6664347826086956</v>
      </c>
      <c r="N55" s="427"/>
      <c r="O55" s="427"/>
      <c r="P55" s="427"/>
      <c r="Q55" s="427">
        <f t="shared" ref="Q55" si="6">Q54/3450000</f>
        <v>0.72463768115942029</v>
      </c>
      <c r="R55" s="427"/>
      <c r="S55" s="427"/>
      <c r="T55" s="427"/>
      <c r="U55" s="427">
        <f t="shared" ref="U55" si="7">U54/3450000</f>
        <v>0.62005797101449278</v>
      </c>
      <c r="V55" s="427"/>
      <c r="W55" s="427"/>
      <c r="X55" s="427"/>
      <c r="Y55" s="427">
        <f t="shared" ref="Y55" si="8">Y54/3450000</f>
        <v>0.71084057971014492</v>
      </c>
      <c r="Z55" s="427"/>
      <c r="AA55" s="427"/>
      <c r="AB55" s="427"/>
      <c r="AC55" s="427">
        <f t="shared" ref="AC55" si="9">AC54/3450000</f>
        <v>0.73159420289855071</v>
      </c>
      <c r="AD55" s="427"/>
      <c r="AE55" s="427"/>
      <c r="AF55" s="427"/>
      <c r="AG55" s="359"/>
      <c r="AH55" s="358"/>
      <c r="AI55" s="358"/>
      <c r="AJ55" s="377"/>
      <c r="AK55" s="360"/>
      <c r="AL55" s="360"/>
      <c r="AM55" s="360"/>
      <c r="AN55" s="360"/>
      <c r="AO55" s="360"/>
      <c r="AP55" s="360"/>
      <c r="AQ55" s="360"/>
      <c r="AR55" s="361"/>
      <c r="AS55" s="361"/>
      <c r="AT55" s="362"/>
      <c r="AU55" s="9"/>
      <c r="AV55" s="9"/>
    </row>
    <row r="56" spans="1:48" s="10" customFormat="1" ht="24" customHeight="1">
      <c r="A56" s="9"/>
      <c r="B56" s="356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  <c r="AB56" s="358"/>
      <c r="AC56" s="358"/>
      <c r="AD56" s="358"/>
      <c r="AE56" s="358"/>
      <c r="AF56" s="359"/>
      <c r="AG56" s="359"/>
      <c r="AH56" s="358"/>
      <c r="AI56" s="358"/>
      <c r="AJ56" s="377"/>
      <c r="AK56" s="360"/>
      <c r="AL56" s="360"/>
      <c r="AM56" s="360"/>
      <c r="AN56" s="360"/>
      <c r="AO56" s="360"/>
      <c r="AP56" s="360"/>
      <c r="AQ56" s="360"/>
      <c r="AR56" s="361"/>
      <c r="AS56" s="361"/>
      <c r="AT56" s="362"/>
      <c r="AU56" s="9"/>
      <c r="AV56" s="9"/>
    </row>
    <row r="57" spans="1:48" s="10" customFormat="1" ht="24" customHeight="1">
      <c r="A57" s="9"/>
      <c r="B57" s="356"/>
      <c r="C57" s="363" t="s">
        <v>63</v>
      </c>
      <c r="D57" s="358" t="s">
        <v>281</v>
      </c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  <c r="AD57" s="358"/>
      <c r="AE57" s="358"/>
      <c r="AF57" s="359"/>
      <c r="AG57" s="359"/>
      <c r="AH57" s="358"/>
      <c r="AI57" s="358"/>
      <c r="AJ57" s="377"/>
      <c r="AK57" s="360"/>
      <c r="AL57" s="360"/>
      <c r="AM57" s="360"/>
      <c r="AN57" s="360"/>
      <c r="AO57" s="360"/>
      <c r="AP57" s="360"/>
      <c r="AQ57" s="360"/>
      <c r="AR57" s="361"/>
      <c r="AS57" s="361"/>
      <c r="AT57" s="362"/>
      <c r="AU57" s="9"/>
      <c r="AV57" s="9"/>
    </row>
    <row r="58" spans="1:48" s="10" customFormat="1" ht="24" customHeight="1">
      <c r="A58" s="9"/>
      <c r="B58" s="356"/>
      <c r="C58" s="358"/>
      <c r="D58" s="358" t="s">
        <v>282</v>
      </c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  <c r="AB58" s="358"/>
      <c r="AC58" s="358"/>
      <c r="AD58" s="358"/>
      <c r="AE58" s="358"/>
      <c r="AF58" s="359"/>
      <c r="AG58" s="359"/>
      <c r="AH58" s="358"/>
      <c r="AI58" s="358"/>
      <c r="AJ58" s="377"/>
      <c r="AK58" s="360"/>
      <c r="AL58" s="360"/>
      <c r="AM58" s="360"/>
      <c r="AN58" s="360"/>
      <c r="AO58" s="360"/>
      <c r="AP58" s="360"/>
      <c r="AQ58" s="360"/>
      <c r="AR58" s="361"/>
      <c r="AS58" s="361"/>
      <c r="AT58" s="362"/>
      <c r="AU58" s="9"/>
      <c r="AV58" s="9"/>
    </row>
    <row r="59" spans="1:48" s="10" customFormat="1" ht="24" customHeight="1">
      <c r="A59" s="9"/>
      <c r="B59" s="356"/>
      <c r="C59" s="358"/>
      <c r="D59" s="401" t="s">
        <v>288</v>
      </c>
      <c r="E59" s="358" t="s">
        <v>283</v>
      </c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9"/>
      <c r="AG59" s="359"/>
      <c r="AH59" s="358"/>
      <c r="AI59" s="358"/>
      <c r="AJ59" s="377"/>
      <c r="AK59" s="360"/>
      <c r="AL59" s="360"/>
      <c r="AM59" s="360"/>
      <c r="AN59" s="360"/>
      <c r="AO59" s="360"/>
      <c r="AP59" s="360"/>
      <c r="AQ59" s="360"/>
      <c r="AR59" s="361"/>
      <c r="AS59" s="361"/>
      <c r="AT59" s="362"/>
      <c r="AU59" s="9"/>
      <c r="AV59" s="9"/>
    </row>
    <row r="60" spans="1:48" s="10" customFormat="1" ht="24" customHeight="1">
      <c r="A60" s="9"/>
      <c r="B60" s="356"/>
      <c r="C60" s="358"/>
      <c r="D60" s="401" t="s">
        <v>288</v>
      </c>
      <c r="E60" s="358" t="s">
        <v>285</v>
      </c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  <c r="AD60" s="358"/>
      <c r="AE60" s="358"/>
      <c r="AF60" s="359"/>
      <c r="AG60" s="359"/>
      <c r="AH60" s="358"/>
      <c r="AI60" s="358"/>
      <c r="AJ60" s="377"/>
      <c r="AK60" s="360"/>
      <c r="AL60" s="360"/>
      <c r="AM60" s="360"/>
      <c r="AN60" s="360"/>
      <c r="AO60" s="360"/>
      <c r="AP60" s="360"/>
      <c r="AQ60" s="360"/>
      <c r="AR60" s="361"/>
      <c r="AS60" s="361"/>
      <c r="AT60" s="362"/>
      <c r="AU60" s="9"/>
      <c r="AV60" s="9"/>
    </row>
    <row r="61" spans="1:48" s="10" customFormat="1" ht="24" customHeight="1">
      <c r="A61" s="9"/>
      <c r="B61" s="356"/>
      <c r="C61" s="358"/>
      <c r="D61" s="401" t="s">
        <v>288</v>
      </c>
      <c r="E61" s="358" t="s">
        <v>284</v>
      </c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358"/>
      <c r="AE61" s="358"/>
      <c r="AF61" s="359"/>
      <c r="AG61" s="359"/>
      <c r="AH61" s="358"/>
      <c r="AI61" s="358"/>
      <c r="AJ61" s="377"/>
      <c r="AK61" s="360"/>
      <c r="AL61" s="360"/>
      <c r="AM61" s="360"/>
      <c r="AN61" s="360"/>
      <c r="AO61" s="360"/>
      <c r="AP61" s="360"/>
      <c r="AQ61" s="360"/>
      <c r="AR61" s="361"/>
      <c r="AS61" s="361"/>
      <c r="AT61" s="362"/>
      <c r="AU61" s="9"/>
      <c r="AV61" s="9"/>
    </row>
    <row r="62" spans="1:48" s="10" customFormat="1" ht="24" customHeight="1">
      <c r="A62" s="9"/>
      <c r="B62" s="356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  <c r="AD62" s="358"/>
      <c r="AE62" s="358"/>
      <c r="AF62" s="359"/>
      <c r="AG62" s="359"/>
      <c r="AH62" s="358"/>
      <c r="AI62" s="358"/>
      <c r="AJ62" s="377"/>
      <c r="AK62" s="360"/>
      <c r="AL62" s="360"/>
      <c r="AM62" s="360"/>
      <c r="AN62" s="360"/>
      <c r="AO62" s="360"/>
      <c r="AP62" s="360"/>
      <c r="AQ62" s="360"/>
      <c r="AR62" s="361"/>
      <c r="AS62" s="361"/>
      <c r="AT62" s="362"/>
      <c r="AU62" s="9"/>
      <c r="AV62" s="9"/>
    </row>
    <row r="63" spans="1:48" s="10" customFormat="1" ht="24" customHeight="1">
      <c r="A63" s="9"/>
      <c r="B63" s="356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  <c r="AD63" s="358"/>
      <c r="AE63" s="358"/>
      <c r="AF63" s="359"/>
      <c r="AG63" s="359"/>
      <c r="AH63" s="358"/>
      <c r="AI63" s="358"/>
      <c r="AJ63" s="377"/>
      <c r="AK63" s="360"/>
      <c r="AL63" s="360"/>
      <c r="AM63" s="360"/>
      <c r="AN63" s="360"/>
      <c r="AO63" s="360"/>
      <c r="AP63" s="360"/>
      <c r="AQ63" s="360"/>
      <c r="AR63" s="361"/>
      <c r="AS63" s="361"/>
      <c r="AT63" s="362"/>
      <c r="AU63" s="9"/>
      <c r="AV63" s="9"/>
    </row>
    <row r="64" spans="1:48" s="10" customFormat="1" ht="24" customHeight="1">
      <c r="A64" s="9"/>
      <c r="B64" s="356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9"/>
      <c r="AG64" s="359"/>
      <c r="AH64" s="358"/>
      <c r="AI64" s="358"/>
      <c r="AJ64" s="377"/>
      <c r="AK64" s="360"/>
      <c r="AL64" s="360"/>
      <c r="AM64" s="360"/>
      <c r="AN64" s="360"/>
      <c r="AO64" s="360"/>
      <c r="AP64" s="360"/>
      <c r="AQ64" s="360"/>
      <c r="AR64" s="361"/>
      <c r="AS64" s="361"/>
      <c r="AT64" s="362"/>
      <c r="AU64" s="9"/>
      <c r="AV64" s="9"/>
    </row>
    <row r="65" spans="1:48" s="10" customFormat="1" ht="24" customHeight="1">
      <c r="A65" s="9"/>
      <c r="B65" s="356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9"/>
      <c r="AG65" s="359"/>
      <c r="AH65" s="358"/>
      <c r="AI65" s="358"/>
      <c r="AJ65" s="377"/>
      <c r="AK65" s="360"/>
      <c r="AL65" s="360"/>
      <c r="AM65" s="360"/>
      <c r="AN65" s="360"/>
      <c r="AO65" s="360"/>
      <c r="AP65" s="360"/>
      <c r="AQ65" s="360"/>
      <c r="AR65" s="361"/>
      <c r="AS65" s="361"/>
      <c r="AT65" s="362"/>
      <c r="AU65" s="9"/>
      <c r="AV65" s="9"/>
    </row>
    <row r="66" spans="1:48" s="10" customFormat="1" ht="24" customHeight="1">
      <c r="A66" s="9"/>
      <c r="B66" s="356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9"/>
      <c r="AG66" s="359"/>
      <c r="AH66" s="358"/>
      <c r="AI66" s="358"/>
      <c r="AJ66" s="377"/>
      <c r="AK66" s="360"/>
      <c r="AL66" s="360"/>
      <c r="AM66" s="360"/>
      <c r="AN66" s="360"/>
      <c r="AO66" s="360"/>
      <c r="AP66" s="360"/>
      <c r="AQ66" s="360"/>
      <c r="AR66" s="361"/>
      <c r="AS66" s="361"/>
      <c r="AT66" s="362"/>
      <c r="AU66" s="9"/>
      <c r="AV66" s="9"/>
    </row>
    <row r="67" spans="1:48" s="10" customFormat="1" ht="24" customHeight="1">
      <c r="A67" s="9"/>
      <c r="B67" s="356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  <c r="AD67" s="358"/>
      <c r="AE67" s="358"/>
      <c r="AF67" s="359"/>
      <c r="AG67" s="359"/>
      <c r="AH67" s="358"/>
      <c r="AI67" s="358"/>
      <c r="AJ67" s="377"/>
      <c r="AK67" s="360"/>
      <c r="AL67" s="360"/>
      <c r="AM67" s="360"/>
      <c r="AN67" s="360"/>
      <c r="AO67" s="360"/>
      <c r="AP67" s="360"/>
      <c r="AQ67" s="360"/>
      <c r="AR67" s="361"/>
      <c r="AS67" s="361"/>
      <c r="AT67" s="362"/>
      <c r="AU67" s="9"/>
      <c r="AV67" s="9"/>
    </row>
    <row r="68" spans="1:48" s="10" customFormat="1" ht="24" customHeight="1" thickBot="1">
      <c r="A68" s="9"/>
      <c r="B68" s="365"/>
      <c r="C68" s="366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8"/>
      <c r="Q68" s="368"/>
      <c r="R68" s="369"/>
      <c r="S68" s="370"/>
      <c r="T68" s="370"/>
      <c r="U68" s="370"/>
      <c r="V68" s="367"/>
      <c r="W68" s="371"/>
      <c r="X68" s="371"/>
      <c r="Y68" s="371"/>
      <c r="Z68" s="370"/>
      <c r="AA68" s="370"/>
      <c r="AB68" s="370"/>
      <c r="AC68" s="367"/>
      <c r="AD68" s="367"/>
      <c r="AE68" s="372"/>
      <c r="AF68" s="372"/>
      <c r="AG68" s="372"/>
      <c r="AH68" s="372"/>
      <c r="AI68" s="372"/>
      <c r="AJ68" s="378"/>
      <c r="AK68" s="373"/>
      <c r="AL68" s="373"/>
      <c r="AM68" s="373"/>
      <c r="AN68" s="373"/>
      <c r="AO68" s="373"/>
      <c r="AP68" s="373"/>
      <c r="AQ68" s="373"/>
      <c r="AR68" s="374"/>
      <c r="AS68" s="374"/>
      <c r="AT68" s="375"/>
      <c r="AU68" s="9"/>
      <c r="AV68" s="9"/>
    </row>
    <row r="69" spans="1:48" s="10" customFormat="1" ht="24" customHeight="1" thickBot="1">
      <c r="A69" s="9"/>
      <c r="B69" s="397" t="s">
        <v>249</v>
      </c>
      <c r="C69" s="398"/>
      <c r="D69" s="399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400"/>
      <c r="AU69" s="9"/>
      <c r="AV69" s="9"/>
    </row>
    <row r="70" spans="1:48" s="10" customFormat="1" ht="24" customHeight="1">
      <c r="A70" s="9"/>
      <c r="B70" s="379"/>
      <c r="C70" s="353"/>
      <c r="D70" s="352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80"/>
      <c r="Q70" s="380"/>
      <c r="R70" s="380"/>
      <c r="S70" s="381"/>
      <c r="T70" s="381"/>
      <c r="U70" s="381"/>
      <c r="V70" s="352"/>
      <c r="W70" s="382"/>
      <c r="X70" s="382"/>
      <c r="Y70" s="382"/>
      <c r="Z70" s="381"/>
      <c r="AA70" s="381"/>
      <c r="AB70" s="381"/>
      <c r="AC70" s="352"/>
      <c r="AD70" s="352"/>
      <c r="AE70" s="383"/>
      <c r="AF70" s="383"/>
      <c r="AG70" s="383"/>
      <c r="AH70" s="383"/>
      <c r="AI70" s="383"/>
      <c r="AJ70" s="383"/>
      <c r="AK70" s="352"/>
      <c r="AL70" s="383"/>
      <c r="AM70" s="383"/>
      <c r="AN70" s="383"/>
      <c r="AO70" s="383"/>
      <c r="AP70" s="383"/>
      <c r="AQ70" s="383"/>
      <c r="AR70" s="383"/>
      <c r="AS70" s="383"/>
      <c r="AT70" s="384"/>
      <c r="AU70" s="9"/>
      <c r="AV70" s="9"/>
    </row>
    <row r="71" spans="1:48" s="10" customFormat="1" ht="24" customHeight="1">
      <c r="A71" s="9"/>
      <c r="B71" s="385"/>
      <c r="C71" s="359" t="s">
        <v>289</v>
      </c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86"/>
      <c r="Q71" s="386"/>
      <c r="R71" s="386"/>
      <c r="S71" s="387"/>
      <c r="T71" s="387"/>
      <c r="U71" s="387"/>
      <c r="V71" s="358"/>
      <c r="W71" s="388"/>
      <c r="X71" s="388"/>
      <c r="Y71" s="388"/>
      <c r="Z71" s="387"/>
      <c r="AA71" s="387"/>
      <c r="AB71" s="387"/>
      <c r="AC71" s="358"/>
      <c r="AD71" s="358"/>
      <c r="AE71" s="389"/>
      <c r="AF71" s="389"/>
      <c r="AG71" s="389"/>
      <c r="AH71" s="389"/>
      <c r="AI71" s="389"/>
      <c r="AJ71" s="389"/>
      <c r="AK71" s="358"/>
      <c r="AL71" s="389"/>
      <c r="AM71" s="389"/>
      <c r="AN71" s="389"/>
      <c r="AO71" s="389"/>
      <c r="AP71" s="389"/>
      <c r="AQ71" s="389"/>
      <c r="AR71" s="389"/>
      <c r="AS71" s="389"/>
      <c r="AT71" s="390"/>
      <c r="AU71" s="9"/>
      <c r="AV71" s="9"/>
    </row>
    <row r="72" spans="1:48" s="10" customFormat="1" ht="24" customHeight="1">
      <c r="A72" s="9"/>
      <c r="B72" s="385"/>
      <c r="C72" s="359" t="s">
        <v>290</v>
      </c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86"/>
      <c r="Q72" s="386"/>
      <c r="R72" s="386"/>
      <c r="S72" s="387"/>
      <c r="T72" s="387"/>
      <c r="U72" s="387"/>
      <c r="V72" s="358"/>
      <c r="W72" s="388"/>
      <c r="X72" s="388"/>
      <c r="Y72" s="388"/>
      <c r="Z72" s="387"/>
      <c r="AA72" s="387"/>
      <c r="AB72" s="387"/>
      <c r="AC72" s="358"/>
      <c r="AD72" s="358"/>
      <c r="AE72" s="389"/>
      <c r="AF72" s="389"/>
      <c r="AG72" s="389"/>
      <c r="AH72" s="389"/>
      <c r="AI72" s="389"/>
      <c r="AJ72" s="389"/>
      <c r="AK72" s="358"/>
      <c r="AL72" s="389"/>
      <c r="AM72" s="389"/>
      <c r="AN72" s="389"/>
      <c r="AO72" s="389"/>
      <c r="AP72" s="389"/>
      <c r="AQ72" s="389"/>
      <c r="AR72" s="389"/>
      <c r="AS72" s="389"/>
      <c r="AT72" s="390"/>
      <c r="AU72" s="9"/>
      <c r="AV72" s="9"/>
    </row>
    <row r="73" spans="1:48" s="10" customFormat="1" ht="24" customHeight="1">
      <c r="A73" s="9"/>
      <c r="B73" s="385"/>
      <c r="C73" s="359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86"/>
      <c r="Q73" s="386"/>
      <c r="R73" s="386"/>
      <c r="S73" s="387"/>
      <c r="T73" s="387"/>
      <c r="U73" s="387"/>
      <c r="V73" s="358"/>
      <c r="W73" s="388"/>
      <c r="X73" s="388"/>
      <c r="Y73" s="388"/>
      <c r="Z73" s="387"/>
      <c r="AA73" s="387"/>
      <c r="AB73" s="387"/>
      <c r="AC73" s="358"/>
      <c r="AD73" s="358"/>
      <c r="AE73" s="389"/>
      <c r="AF73" s="389"/>
      <c r="AG73" s="389"/>
      <c r="AH73" s="389"/>
      <c r="AI73" s="389"/>
      <c r="AJ73" s="389"/>
      <c r="AK73" s="358"/>
      <c r="AL73" s="389"/>
      <c r="AM73" s="389"/>
      <c r="AN73" s="389"/>
      <c r="AO73" s="389"/>
      <c r="AP73" s="389"/>
      <c r="AQ73" s="389"/>
      <c r="AR73" s="389"/>
      <c r="AS73" s="389"/>
      <c r="AT73" s="390"/>
      <c r="AU73" s="9"/>
      <c r="AV73" s="9"/>
    </row>
    <row r="74" spans="1:48" s="10" customFormat="1" ht="24" customHeight="1">
      <c r="A74" s="9"/>
      <c r="B74" s="385"/>
      <c r="C74" s="359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86"/>
      <c r="Q74" s="386"/>
      <c r="R74" s="386"/>
      <c r="S74" s="387"/>
      <c r="T74" s="387"/>
      <c r="U74" s="387"/>
      <c r="V74" s="358"/>
      <c r="W74" s="388"/>
      <c r="X74" s="388"/>
      <c r="Y74" s="388"/>
      <c r="Z74" s="387"/>
      <c r="AA74" s="387"/>
      <c r="AB74" s="387"/>
      <c r="AC74" s="358"/>
      <c r="AD74" s="358"/>
      <c r="AE74" s="389"/>
      <c r="AF74" s="389"/>
      <c r="AG74" s="389"/>
      <c r="AH74" s="389"/>
      <c r="AI74" s="389"/>
      <c r="AJ74" s="389"/>
      <c r="AK74" s="358"/>
      <c r="AL74" s="389"/>
      <c r="AM74" s="389"/>
      <c r="AN74" s="389"/>
      <c r="AO74" s="389"/>
      <c r="AP74" s="389"/>
      <c r="AQ74" s="389"/>
      <c r="AR74" s="389"/>
      <c r="AS74" s="389"/>
      <c r="AT74" s="390"/>
      <c r="AU74" s="9"/>
      <c r="AV74" s="9"/>
    </row>
    <row r="75" spans="1:48" s="10" customFormat="1" ht="24" customHeight="1" thickBot="1">
      <c r="A75" s="9"/>
      <c r="B75" s="365"/>
      <c r="C75" s="366"/>
      <c r="D75" s="367"/>
      <c r="E75" s="367"/>
      <c r="F75" s="367"/>
      <c r="G75" s="367"/>
      <c r="H75" s="367"/>
      <c r="I75" s="367"/>
      <c r="J75" s="367"/>
      <c r="K75" s="367"/>
      <c r="L75" s="367"/>
      <c r="M75" s="367"/>
      <c r="N75" s="367"/>
      <c r="O75" s="367"/>
      <c r="P75" s="369"/>
      <c r="Q75" s="369"/>
      <c r="R75" s="369"/>
      <c r="S75" s="391"/>
      <c r="T75" s="391"/>
      <c r="U75" s="391"/>
      <c r="V75" s="367"/>
      <c r="W75" s="392"/>
      <c r="X75" s="392"/>
      <c r="Y75" s="392"/>
      <c r="Z75" s="391"/>
      <c r="AA75" s="391"/>
      <c r="AB75" s="391"/>
      <c r="AC75" s="367"/>
      <c r="AD75" s="367"/>
      <c r="AE75" s="372"/>
      <c r="AF75" s="372"/>
      <c r="AG75" s="372"/>
      <c r="AH75" s="372"/>
      <c r="AI75" s="372"/>
      <c r="AJ75" s="372"/>
      <c r="AK75" s="367"/>
      <c r="AL75" s="372"/>
      <c r="AM75" s="372"/>
      <c r="AN75" s="372"/>
      <c r="AO75" s="372"/>
      <c r="AP75" s="372"/>
      <c r="AQ75" s="372"/>
      <c r="AR75" s="372"/>
      <c r="AS75" s="372"/>
      <c r="AT75" s="393"/>
      <c r="AU75" s="9"/>
      <c r="AV75" s="9"/>
    </row>
    <row r="76" spans="1:48" s="10" customFormat="1" ht="22.5">
      <c r="A76" s="9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9"/>
      <c r="AV76" s="9"/>
    </row>
    <row r="77" spans="1:48" s="10" customFormat="1" ht="22.5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20.2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s="10" customFormat="1" ht="18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130">
    <mergeCell ref="C54:H54"/>
    <mergeCell ref="I40:Z40"/>
    <mergeCell ref="AB45:AD45"/>
    <mergeCell ref="AB46:AD46"/>
    <mergeCell ref="AB42:AD42"/>
    <mergeCell ref="AB43:AD43"/>
    <mergeCell ref="AB44:AD44"/>
    <mergeCell ref="I48:T48"/>
    <mergeCell ref="U48:AF48"/>
    <mergeCell ref="I55:L55"/>
    <mergeCell ref="M55:P55"/>
    <mergeCell ref="Q55:T55"/>
    <mergeCell ref="U55:X55"/>
    <mergeCell ref="Y55:AB55"/>
    <mergeCell ref="AC55:AF55"/>
    <mergeCell ref="U53:X53"/>
    <mergeCell ref="Y53:AB53"/>
    <mergeCell ref="AC53:AF53"/>
    <mergeCell ref="U54:X54"/>
    <mergeCell ref="Y54:AB54"/>
    <mergeCell ref="AC54:AF54"/>
    <mergeCell ref="U51:X51"/>
    <mergeCell ref="Y51:AB51"/>
    <mergeCell ref="AC51:AF51"/>
    <mergeCell ref="U52:X52"/>
    <mergeCell ref="Y52:AB52"/>
    <mergeCell ref="AC52:AF52"/>
    <mergeCell ref="U49:X49"/>
    <mergeCell ref="Y49:AB49"/>
    <mergeCell ref="AC49:AF49"/>
    <mergeCell ref="U50:X50"/>
    <mergeCell ref="Y50:AB50"/>
    <mergeCell ref="AC50:AF50"/>
    <mergeCell ref="Q49:T49"/>
    <mergeCell ref="Q50:T50"/>
    <mergeCell ref="Q51:T51"/>
    <mergeCell ref="Q52:T52"/>
    <mergeCell ref="Q53:T53"/>
    <mergeCell ref="Q54:T54"/>
    <mergeCell ref="M49:P49"/>
    <mergeCell ref="M50:P50"/>
    <mergeCell ref="M51:P51"/>
    <mergeCell ref="M52:P52"/>
    <mergeCell ref="M53:P53"/>
    <mergeCell ref="M54:P54"/>
    <mergeCell ref="I50:L50"/>
    <mergeCell ref="I51:L51"/>
    <mergeCell ref="I52:L52"/>
    <mergeCell ref="I53:L53"/>
    <mergeCell ref="I54:L54"/>
    <mergeCell ref="I49:L49"/>
    <mergeCell ref="U45:W45"/>
    <mergeCell ref="X45:Z45"/>
    <mergeCell ref="U46:W46"/>
    <mergeCell ref="X46:Z46"/>
    <mergeCell ref="C46:H46"/>
    <mergeCell ref="U41:Z41"/>
    <mergeCell ref="U42:W42"/>
    <mergeCell ref="X42:Z42"/>
    <mergeCell ref="U43:W43"/>
    <mergeCell ref="X43:Z43"/>
    <mergeCell ref="U44:W44"/>
    <mergeCell ref="X44:Z44"/>
    <mergeCell ref="I41:N41"/>
    <mergeCell ref="O41:T41"/>
    <mergeCell ref="O42:Q42"/>
    <mergeCell ref="R42:T42"/>
    <mergeCell ref="O43:Q43"/>
    <mergeCell ref="R43:T43"/>
    <mergeCell ref="I42:K42"/>
    <mergeCell ref="I43:K43"/>
    <mergeCell ref="I44:K44"/>
    <mergeCell ref="I45:K45"/>
    <mergeCell ref="I46:K46"/>
    <mergeCell ref="L42:N42"/>
    <mergeCell ref="L43:N43"/>
    <mergeCell ref="L44:N44"/>
    <mergeCell ref="L45:N45"/>
    <mergeCell ref="L46:N46"/>
    <mergeCell ref="O44:Q44"/>
    <mergeCell ref="R44:T44"/>
    <mergeCell ref="O45:Q45"/>
    <mergeCell ref="R45:T45"/>
    <mergeCell ref="O46:Q46"/>
    <mergeCell ref="R46:T46"/>
    <mergeCell ref="I39:L39"/>
    <mergeCell ref="M39:P39"/>
    <mergeCell ref="Q39:T39"/>
    <mergeCell ref="R11:Z11"/>
    <mergeCell ref="R12:Z12"/>
    <mergeCell ref="P68:Q68"/>
    <mergeCell ref="S68:U68"/>
    <mergeCell ref="W68:Y68"/>
    <mergeCell ref="Z68:AB68"/>
    <mergeCell ref="B69:AT69"/>
    <mergeCell ref="B22:AT22"/>
    <mergeCell ref="B23:P23"/>
    <mergeCell ref="Q23:AE23"/>
    <mergeCell ref="AF23:AT23"/>
    <mergeCell ref="B31:AI31"/>
    <mergeCell ref="AJ31:AT31"/>
    <mergeCell ref="D12:K12"/>
    <mergeCell ref="L12:P12"/>
    <mergeCell ref="AA12:AE12"/>
    <mergeCell ref="B13:AT13"/>
    <mergeCell ref="B14:P14"/>
    <mergeCell ref="Q14:AE14"/>
    <mergeCell ref="AF14:AT14"/>
    <mergeCell ref="D9:K9"/>
    <mergeCell ref="L9:P9"/>
    <mergeCell ref="AA9:AE9"/>
    <mergeCell ref="D10:K10"/>
    <mergeCell ref="L10:P10"/>
    <mergeCell ref="AA10:AE10"/>
    <mergeCell ref="R9:Z9"/>
    <mergeCell ref="R10:Z10"/>
    <mergeCell ref="AR6:AT6"/>
    <mergeCell ref="B7:P7"/>
    <mergeCell ref="Q7:AE7"/>
    <mergeCell ref="AF7:AT7"/>
    <mergeCell ref="D8:K8"/>
    <mergeCell ref="L8:P8"/>
    <mergeCell ref="AA8:AE8"/>
    <mergeCell ref="R8:Z8"/>
    <mergeCell ref="G2:AJ4"/>
    <mergeCell ref="B6:G6"/>
    <mergeCell ref="H6:AE6"/>
    <mergeCell ref="AF6:AI6"/>
    <mergeCell ref="AJ6:AN6"/>
    <mergeCell ref="AO6:AQ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C25:C29 Q25:Q29 AF25:AF29 C8:C12 Q8:Q12 AF8:AF12 C42:C45 C50:D5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31" zoomScale="85" zoomScaleNormal="85" workbookViewId="0">
      <selection activeCell="AD33" sqref="AD3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7" t="s">
        <v>47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08" t="s">
        <v>51</v>
      </c>
      <c r="C5" s="109"/>
      <c r="D5" s="109"/>
      <c r="E5" s="109"/>
      <c r="F5" s="109"/>
      <c r="G5" s="109"/>
      <c r="H5" s="110" t="s">
        <v>59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09" t="s">
        <v>52</v>
      </c>
      <c r="AG5" s="109"/>
      <c r="AH5" s="109"/>
      <c r="AI5" s="109"/>
      <c r="AJ5" s="111" t="s">
        <v>173</v>
      </c>
      <c r="AK5" s="111"/>
      <c r="AL5" s="111"/>
      <c r="AM5" s="111"/>
      <c r="AN5" s="111"/>
      <c r="AO5" s="125" t="s">
        <v>53</v>
      </c>
      <c r="AP5" s="125"/>
      <c r="AQ5" s="125"/>
      <c r="AR5" s="112" t="s">
        <v>174</v>
      </c>
      <c r="AS5" s="110"/>
      <c r="AT5" s="113"/>
      <c r="AU5" s="7"/>
      <c r="AV5" s="7"/>
    </row>
    <row r="6" spans="1:52" s="10" customFormat="1" ht="24" customHeight="1">
      <c r="A6" s="9"/>
      <c r="B6" s="114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 t="s">
        <v>1</v>
      </c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7" t="s">
        <v>2</v>
      </c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0" t="s">
        <v>12</v>
      </c>
      <c r="E7" s="120"/>
      <c r="F7" s="120"/>
      <c r="G7" s="120"/>
      <c r="H7" s="120"/>
      <c r="I7" s="120"/>
      <c r="J7" s="120"/>
      <c r="K7" s="120"/>
      <c r="L7" s="120" t="s">
        <v>23</v>
      </c>
      <c r="M7" s="120"/>
      <c r="N7" s="120"/>
      <c r="O7" s="120"/>
      <c r="P7" s="121"/>
      <c r="Q7" s="14"/>
      <c r="R7" s="13" t="s">
        <v>3</v>
      </c>
      <c r="S7" s="122" t="s">
        <v>60</v>
      </c>
      <c r="T7" s="122"/>
      <c r="U7" s="122"/>
      <c r="V7" s="122"/>
      <c r="W7" s="122"/>
      <c r="X7" s="122"/>
      <c r="Y7" s="122"/>
      <c r="Z7" s="122"/>
      <c r="AA7" s="123" t="s">
        <v>124</v>
      </c>
      <c r="AB7" s="123"/>
      <c r="AC7" s="123"/>
      <c r="AD7" s="123"/>
      <c r="AE7" s="12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1"/>
      <c r="Q8" s="14"/>
      <c r="R8" s="13" t="s">
        <v>4</v>
      </c>
      <c r="S8" s="122" t="s">
        <v>126</v>
      </c>
      <c r="T8" s="122"/>
      <c r="U8" s="122"/>
      <c r="V8" s="122"/>
      <c r="W8" s="122"/>
      <c r="X8" s="122"/>
      <c r="Y8" s="122"/>
      <c r="Z8" s="122"/>
      <c r="AA8" s="123" t="s">
        <v>175</v>
      </c>
      <c r="AB8" s="123"/>
      <c r="AC8" s="123"/>
      <c r="AD8" s="123"/>
      <c r="AE8" s="12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1"/>
      <c r="Q9" s="14"/>
      <c r="R9" s="13" t="s">
        <v>5</v>
      </c>
      <c r="S9" s="122" t="s">
        <v>127</v>
      </c>
      <c r="T9" s="122"/>
      <c r="U9" s="122"/>
      <c r="V9" s="122"/>
      <c r="W9" s="122"/>
      <c r="X9" s="122"/>
      <c r="Y9" s="122"/>
      <c r="Z9" s="122"/>
      <c r="AA9" s="123" t="s">
        <v>130</v>
      </c>
      <c r="AB9" s="123"/>
      <c r="AC9" s="123"/>
      <c r="AD9" s="123"/>
      <c r="AE9" s="12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6"/>
      <c r="Q10" s="14"/>
      <c r="R10" s="13" t="s">
        <v>43</v>
      </c>
      <c r="S10" s="97"/>
      <c r="T10" s="97"/>
      <c r="U10" s="97"/>
      <c r="V10" s="97"/>
      <c r="W10" s="97"/>
      <c r="X10" s="97"/>
      <c r="Y10" s="97"/>
      <c r="Z10" s="97"/>
      <c r="AA10" s="98"/>
      <c r="AB10" s="98"/>
      <c r="AC10" s="98"/>
      <c r="AD10" s="98"/>
      <c r="AE10" s="9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1"/>
      <c r="Q11" s="14"/>
      <c r="R11" s="30" t="s">
        <v>7</v>
      </c>
      <c r="S11" s="122"/>
      <c r="T11" s="122"/>
      <c r="U11" s="122"/>
      <c r="V11" s="122"/>
      <c r="W11" s="122"/>
      <c r="X11" s="122"/>
      <c r="Y11" s="122"/>
      <c r="Z11" s="122"/>
      <c r="AA11" s="123"/>
      <c r="AB11" s="123"/>
      <c r="AC11" s="123"/>
      <c r="AD11" s="123"/>
      <c r="AE11" s="124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0" t="s">
        <v>54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2"/>
      <c r="AU12" s="9"/>
      <c r="AV12" s="9"/>
    </row>
    <row r="13" spans="1:52" s="10" customFormat="1" ht="24" customHeight="1">
      <c r="A13" s="9"/>
      <c r="B13" s="126" t="s">
        <v>35</v>
      </c>
      <c r="C13" s="127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16"/>
      <c r="P13" s="116"/>
      <c r="Q13" s="116" t="s">
        <v>36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27"/>
      <c r="AF13" s="116" t="s">
        <v>37</v>
      </c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29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95" t="s">
        <v>40</v>
      </c>
      <c r="T18" s="9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95" t="s">
        <v>34</v>
      </c>
      <c r="AI18" s="9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95" t="s">
        <v>25</v>
      </c>
      <c r="T19" s="9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95" t="s">
        <v>25</v>
      </c>
      <c r="AI19" s="9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9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9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9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0" t="s">
        <v>55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2"/>
      <c r="AU21" s="9"/>
      <c r="AV21" s="9"/>
    </row>
    <row r="22" spans="1:48" s="10" customFormat="1" ht="24" customHeight="1">
      <c r="A22" s="9"/>
      <c r="B22" s="126" t="s">
        <v>19</v>
      </c>
      <c r="C22" s="127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16"/>
      <c r="P22" s="116"/>
      <c r="Q22" s="128" t="s">
        <v>21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7" t="s">
        <v>20</v>
      </c>
      <c r="AG22" s="127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3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9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95"/>
      <c r="Q24" s="14" t="s">
        <v>3</v>
      </c>
      <c r="R24" s="95" t="s">
        <v>9</v>
      </c>
      <c r="S24" s="9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96"/>
      <c r="AF24" s="13" t="s">
        <v>3</v>
      </c>
      <c r="AG24" s="95" t="s">
        <v>15</v>
      </c>
      <c r="AH24" s="9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9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95"/>
      <c r="Q25" s="14" t="s">
        <v>4</v>
      </c>
      <c r="R25" s="97" t="s">
        <v>10</v>
      </c>
      <c r="S25" s="9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96"/>
      <c r="AF25" s="13" t="s">
        <v>4</v>
      </c>
      <c r="AG25" s="98" t="s">
        <v>8</v>
      </c>
      <c r="AH25" s="9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9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95"/>
      <c r="Q26" s="14" t="s">
        <v>5</v>
      </c>
      <c r="R26" s="95" t="s">
        <v>16</v>
      </c>
      <c r="S26" s="9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96"/>
      <c r="AF26" s="13" t="s">
        <v>5</v>
      </c>
      <c r="AG26" s="98" t="s">
        <v>11</v>
      </c>
      <c r="AH26" s="9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9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95"/>
      <c r="Q27" s="14" t="s">
        <v>6</v>
      </c>
      <c r="R27" s="95" t="s">
        <v>17</v>
      </c>
      <c r="S27" s="9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96"/>
      <c r="AF27" s="13" t="s">
        <v>6</v>
      </c>
      <c r="AG27" s="95" t="s">
        <v>38</v>
      </c>
      <c r="AH27" s="9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9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95"/>
      <c r="Q28" s="14" t="s">
        <v>7</v>
      </c>
      <c r="R28" s="95" t="s">
        <v>14</v>
      </c>
      <c r="S28" s="9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96"/>
      <c r="AF28" s="13" t="s">
        <v>7</v>
      </c>
      <c r="AG28" s="95"/>
      <c r="AH28" s="9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9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95"/>
      <c r="Q29" s="14"/>
      <c r="R29" s="13"/>
      <c r="S29" s="9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9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0" t="s">
        <v>56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6"/>
      <c r="AJ30" s="137" t="s">
        <v>57</v>
      </c>
      <c r="AK30" s="138"/>
      <c r="AL30" s="138"/>
      <c r="AM30" s="138"/>
      <c r="AN30" s="138"/>
      <c r="AO30" s="138"/>
      <c r="AP30" s="138"/>
      <c r="AQ30" s="138"/>
      <c r="AR30" s="138"/>
      <c r="AS30" s="138"/>
      <c r="AT30" s="13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 t="s">
        <v>176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3"/>
      <c r="AS32" s="133"/>
      <c r="AT32" s="134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177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3"/>
      <c r="AS33" s="133"/>
      <c r="AT33" s="134"/>
      <c r="AU33" s="9"/>
      <c r="AV33" s="9"/>
    </row>
    <row r="34" spans="1:48" s="10" customFormat="1" ht="24" customHeight="1">
      <c r="A34" s="9"/>
      <c r="B34" s="49"/>
      <c r="C34" s="56"/>
      <c r="D34" s="51" t="s">
        <v>180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3"/>
      <c r="AS34" s="133"/>
      <c r="AT34" s="134"/>
      <c r="AU34" s="9"/>
      <c r="AV34" s="9"/>
    </row>
    <row r="35" spans="1:48" s="10" customFormat="1" ht="24" customHeight="1">
      <c r="A35" s="9"/>
      <c r="B35" s="49"/>
      <c r="C35" s="56"/>
      <c r="D35" s="52" t="s">
        <v>3</v>
      </c>
      <c r="E35" s="51" t="s">
        <v>178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93"/>
      <c r="AS35" s="93"/>
      <c r="AT35" s="94"/>
      <c r="AU35" s="9"/>
      <c r="AV35" s="9"/>
    </row>
    <row r="36" spans="1:48" s="10" customFormat="1" ht="24" customHeight="1">
      <c r="A36" s="9"/>
      <c r="B36" s="49"/>
      <c r="C36" s="51"/>
      <c r="D36" s="52" t="s">
        <v>4</v>
      </c>
      <c r="E36" s="51" t="s">
        <v>179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100"/>
      <c r="AB36" s="100"/>
      <c r="AC36" s="52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3"/>
      <c r="AS36" s="133"/>
      <c r="AT36" s="134"/>
      <c r="AU36" s="9"/>
      <c r="AV36" s="9"/>
    </row>
    <row r="37" spans="1:48" s="10" customFormat="1" ht="24" customHeight="1">
      <c r="A37" s="9"/>
      <c r="B37" s="49"/>
      <c r="C37" s="51"/>
      <c r="D37" s="5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100"/>
      <c r="AB37" s="100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3"/>
      <c r="AS37" s="133"/>
      <c r="AT37" s="134"/>
      <c r="AU37" s="9"/>
      <c r="AV37" s="9"/>
    </row>
    <row r="38" spans="1:48" s="10" customFormat="1" ht="24" customHeight="1">
      <c r="A38" s="9"/>
      <c r="B38" s="49"/>
      <c r="C38" s="50" t="s">
        <v>183</v>
      </c>
      <c r="D38" s="52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100"/>
      <c r="AB38" s="100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3"/>
      <c r="AS38" s="133"/>
      <c r="AT38" s="134"/>
      <c r="AU38" s="9"/>
      <c r="AV38" s="9"/>
    </row>
    <row r="39" spans="1:48" s="10" customFormat="1" ht="24" customHeight="1">
      <c r="A39" s="9"/>
      <c r="B39" s="49"/>
      <c r="C39" s="56" t="s">
        <v>63</v>
      </c>
      <c r="D39" s="52" t="s">
        <v>181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0"/>
      <c r="AB39" s="100"/>
      <c r="AC39" s="52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133"/>
      <c r="AS39" s="133"/>
      <c r="AT39" s="134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182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0"/>
      <c r="AB40" s="100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93"/>
      <c r="AS40" s="93"/>
      <c r="AT40" s="94"/>
      <c r="AU40" s="9"/>
      <c r="AV40" s="9"/>
    </row>
    <row r="41" spans="1:48" s="10" customFormat="1" ht="24" customHeight="1">
      <c r="A41" s="9"/>
      <c r="B41" s="49"/>
      <c r="C41" s="56"/>
      <c r="D41" s="51" t="s">
        <v>184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93"/>
      <c r="AS41" s="93"/>
      <c r="AT41" s="94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185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3"/>
      <c r="AS42" s="93"/>
      <c r="AT42" s="94"/>
      <c r="AU42" s="9"/>
      <c r="AV42" s="9"/>
    </row>
    <row r="43" spans="1:48" s="10" customFormat="1" ht="24" customHeight="1">
      <c r="A43" s="9"/>
      <c r="B43" s="49"/>
      <c r="C43" s="56" t="s">
        <v>63</v>
      </c>
      <c r="D43" s="51" t="s">
        <v>186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3"/>
      <c r="AS43" s="133"/>
      <c r="AT43" s="134"/>
      <c r="AU43" s="9"/>
      <c r="AV43" s="9"/>
    </row>
    <row r="44" spans="1:48" s="10" customFormat="1" ht="24" customHeight="1">
      <c r="A44" s="9"/>
      <c r="B44" s="49"/>
      <c r="C44" s="56"/>
      <c r="D44" s="51" t="s">
        <v>187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3"/>
      <c r="AS44" s="133"/>
      <c r="AT44" s="134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33"/>
      <c r="AS45" s="133"/>
      <c r="AT45" s="134"/>
      <c r="AU45" s="9"/>
      <c r="AV45" s="9"/>
    </row>
    <row r="46" spans="1:48" s="10" customFormat="1" ht="24" customHeight="1">
      <c r="A46" s="9"/>
      <c r="B46" s="49"/>
      <c r="C46" s="50" t="s">
        <v>188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93"/>
      <c r="AS46" s="93"/>
      <c r="AT46" s="94"/>
      <c r="AU46" s="9"/>
      <c r="AV46" s="9"/>
    </row>
    <row r="47" spans="1:48" s="10" customFormat="1" ht="24" customHeight="1">
      <c r="A47" s="9"/>
      <c r="B47" s="49"/>
      <c r="C47" s="56" t="s">
        <v>63</v>
      </c>
      <c r="D47" s="51" t="s">
        <v>189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3"/>
      <c r="AS47" s="93"/>
      <c r="AT47" s="94"/>
      <c r="AU47" s="9"/>
      <c r="AV47" s="9"/>
    </row>
    <row r="48" spans="1:48" s="10" customFormat="1" ht="24" customHeight="1">
      <c r="A48" s="9"/>
      <c r="B48" s="49"/>
      <c r="C48" s="56"/>
      <c r="D48" s="52" t="s">
        <v>190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33"/>
      <c r="AS48" s="133"/>
      <c r="AT48" s="134"/>
      <c r="AU48" s="9"/>
      <c r="AV48" s="9"/>
    </row>
    <row r="49" spans="1:48" s="10" customFormat="1" ht="24" customHeight="1">
      <c r="A49" s="9"/>
      <c r="B49" s="49"/>
      <c r="C49" s="56"/>
      <c r="D49" s="52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93"/>
      <c r="AS49" s="93"/>
      <c r="AT49" s="94"/>
      <c r="AU49" s="9"/>
      <c r="AV49" s="9"/>
    </row>
    <row r="50" spans="1:48" s="10" customFormat="1" ht="24" customHeight="1">
      <c r="A50" s="9"/>
      <c r="B50" s="49"/>
      <c r="C50" s="56"/>
      <c r="D50" s="52" t="s">
        <v>191</v>
      </c>
      <c r="E50" s="51"/>
      <c r="F50" s="51"/>
      <c r="G50" s="51"/>
      <c r="H50" s="51"/>
      <c r="I50" s="51"/>
      <c r="J50" s="51"/>
      <c r="K50" s="52" t="s">
        <v>3</v>
      </c>
      <c r="L50" s="51" t="s">
        <v>192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3"/>
      <c r="AS50" s="93"/>
      <c r="AT50" s="94"/>
      <c r="AU50" s="9"/>
      <c r="AV50" s="9"/>
    </row>
    <row r="51" spans="1:48" s="10" customFormat="1" ht="24" customHeight="1">
      <c r="A51" s="9"/>
      <c r="B51" s="49"/>
      <c r="C51" s="56"/>
      <c r="D51" s="52"/>
      <c r="E51" s="51"/>
      <c r="F51" s="51"/>
      <c r="G51" s="51"/>
      <c r="H51" s="51"/>
      <c r="I51" s="51"/>
      <c r="J51" s="51"/>
      <c r="K51" s="52" t="s">
        <v>193</v>
      </c>
      <c r="L51" s="51" t="s">
        <v>194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 t="s">
        <v>195</v>
      </c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3"/>
      <c r="AS51" s="133"/>
      <c r="AT51" s="134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2" t="s">
        <v>5</v>
      </c>
      <c r="L52" s="51" t="s">
        <v>196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3"/>
      <c r="AS52" s="133"/>
      <c r="AT52" s="134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3"/>
      <c r="AS53" s="133"/>
      <c r="AT53" s="134"/>
      <c r="AU53" s="9"/>
      <c r="AV53" s="9"/>
    </row>
    <row r="54" spans="1:48" s="10" customFormat="1" ht="24" customHeight="1">
      <c r="A54" s="9"/>
      <c r="B54" s="49"/>
      <c r="C54" s="56"/>
      <c r="D54" s="51" t="s">
        <v>197</v>
      </c>
      <c r="E54" s="51"/>
      <c r="F54" s="51"/>
      <c r="G54" s="51" t="s">
        <v>198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3"/>
      <c r="AS54" s="133"/>
      <c r="AT54" s="134"/>
      <c r="AU54" s="9"/>
      <c r="AV54" s="9"/>
    </row>
    <row r="55" spans="1:48" s="10" customFormat="1" ht="24" customHeight="1">
      <c r="A55" s="9"/>
      <c r="B55" s="49"/>
      <c r="C55" s="56"/>
      <c r="D55" s="51" t="s">
        <v>199</v>
      </c>
      <c r="E55" s="51"/>
      <c r="F55" s="51"/>
      <c r="G55" s="51" t="s">
        <v>200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3"/>
      <c r="AS55" s="133"/>
      <c r="AT55" s="134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3"/>
      <c r="AS56" s="133"/>
      <c r="AT56" s="134"/>
      <c r="AU56" s="9"/>
      <c r="AV56" s="9"/>
    </row>
    <row r="57" spans="1:48" s="10" customFormat="1" ht="24" customHeight="1">
      <c r="A57" s="9"/>
      <c r="B57" s="49"/>
      <c r="C57" s="56"/>
      <c r="D57" s="51" t="s">
        <v>201</v>
      </c>
      <c r="E57" s="51"/>
      <c r="F57" s="51"/>
      <c r="G57" s="51"/>
      <c r="H57" s="52" t="s">
        <v>3</v>
      </c>
      <c r="I57" s="51" t="s">
        <v>202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3"/>
      <c r="AS57" s="133"/>
      <c r="AT57" s="134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2" t="s">
        <v>4</v>
      </c>
      <c r="I58" s="51" t="s">
        <v>203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3"/>
      <c r="AS58" s="133"/>
      <c r="AT58" s="134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2" t="s">
        <v>5</v>
      </c>
      <c r="I59" s="51" t="s">
        <v>204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3"/>
      <c r="AS59" s="133"/>
      <c r="AT59" s="134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3"/>
      <c r="AS60" s="133"/>
      <c r="AT60" s="134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 t="s">
        <v>205</v>
      </c>
      <c r="I61" s="51"/>
      <c r="J61" s="51"/>
      <c r="K61" s="51"/>
      <c r="L61" s="51"/>
      <c r="M61" s="51"/>
      <c r="N61" s="51" t="s">
        <v>206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33"/>
      <c r="AS61" s="133"/>
      <c r="AT61" s="134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 t="s">
        <v>207</v>
      </c>
      <c r="I62" s="51"/>
      <c r="J62" s="51"/>
      <c r="K62" s="51"/>
      <c r="L62" s="51"/>
      <c r="M62" s="51"/>
      <c r="N62" s="51" t="s">
        <v>208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93"/>
      <c r="AS62" s="93"/>
      <c r="AT62" s="94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 t="s">
        <v>209</v>
      </c>
      <c r="I63" s="51"/>
      <c r="J63" s="51"/>
      <c r="K63" s="51"/>
      <c r="L63" s="51"/>
      <c r="M63" s="51"/>
      <c r="N63" s="51" t="s">
        <v>210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3"/>
      <c r="AS63" s="93"/>
      <c r="AT63" s="94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3"/>
      <c r="AS64" s="133"/>
      <c r="AT64" s="134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33"/>
      <c r="AS65" s="133"/>
      <c r="AT65" s="134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42"/>
      <c r="Q66" s="142"/>
      <c r="R66" s="90"/>
      <c r="S66" s="143"/>
      <c r="T66" s="143"/>
      <c r="U66" s="143"/>
      <c r="V66" s="51"/>
      <c r="W66" s="144"/>
      <c r="X66" s="144"/>
      <c r="Y66" s="144"/>
      <c r="Z66" s="143"/>
      <c r="AA66" s="143"/>
      <c r="AB66" s="143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33"/>
      <c r="AS66" s="133"/>
      <c r="AT66" s="134"/>
      <c r="AU66" s="9"/>
      <c r="AV66" s="9"/>
    </row>
    <row r="67" spans="1:48" s="10" customFormat="1" ht="24" customHeight="1">
      <c r="A67" s="9"/>
      <c r="B67" s="130" t="s">
        <v>58</v>
      </c>
      <c r="C67" s="131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1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90"/>
      <c r="Q68" s="90"/>
      <c r="R68" s="90"/>
      <c r="S68" s="91"/>
      <c r="T68" s="91"/>
      <c r="U68" s="91"/>
      <c r="V68" s="51"/>
      <c r="W68" s="92"/>
      <c r="X68" s="92"/>
      <c r="Y68" s="92"/>
      <c r="Z68" s="91"/>
      <c r="AA68" s="91"/>
      <c r="AB68" s="91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90"/>
      <c r="Q69" s="90"/>
      <c r="R69" s="90"/>
      <c r="S69" s="91"/>
      <c r="T69" s="91"/>
      <c r="U69" s="91"/>
      <c r="V69" s="51"/>
      <c r="W69" s="92"/>
      <c r="X69" s="92"/>
      <c r="Y69" s="92"/>
      <c r="Z69" s="91"/>
      <c r="AA69" s="91"/>
      <c r="AB69" s="91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90"/>
      <c r="Q70" s="90"/>
      <c r="R70" s="90"/>
      <c r="S70" s="91"/>
      <c r="T70" s="91"/>
      <c r="U70" s="91"/>
      <c r="V70" s="51"/>
      <c r="W70" s="92"/>
      <c r="X70" s="92"/>
      <c r="Y70" s="92"/>
      <c r="Z70" s="91"/>
      <c r="AA70" s="91"/>
      <c r="AB70" s="91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90"/>
      <c r="Q71" s="90"/>
      <c r="R71" s="90"/>
      <c r="S71" s="91"/>
      <c r="T71" s="91"/>
      <c r="U71" s="91"/>
      <c r="V71" s="51"/>
      <c r="W71" s="92"/>
      <c r="X71" s="92"/>
      <c r="Y71" s="92"/>
      <c r="Z71" s="91"/>
      <c r="AA71" s="91"/>
      <c r="AB71" s="91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90"/>
      <c r="Q72" s="90"/>
      <c r="R72" s="90"/>
      <c r="S72" s="91"/>
      <c r="T72" s="91"/>
      <c r="U72" s="91"/>
      <c r="V72" s="51"/>
      <c r="W72" s="92"/>
      <c r="X72" s="92"/>
      <c r="Y72" s="92"/>
      <c r="Z72" s="91"/>
      <c r="AA72" s="91"/>
      <c r="AB72" s="91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B67:AT6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  <mergeCell ref="AR57:AT57"/>
    <mergeCell ref="AR39:AT39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AR38:AT38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6:AT36"/>
    <mergeCell ref="AR37:AT37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34" zoomScale="85" zoomScaleNormal="85" workbookViewId="0">
      <selection activeCell="AA43" sqref="AA4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7" t="s">
        <v>47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08" t="s">
        <v>51</v>
      </c>
      <c r="C5" s="109"/>
      <c r="D5" s="109"/>
      <c r="E5" s="109"/>
      <c r="F5" s="109"/>
      <c r="G5" s="109"/>
      <c r="H5" s="110" t="s">
        <v>59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09" t="s">
        <v>52</v>
      </c>
      <c r="AG5" s="109"/>
      <c r="AH5" s="109"/>
      <c r="AI5" s="109"/>
      <c r="AJ5" s="111"/>
      <c r="AK5" s="111"/>
      <c r="AL5" s="111"/>
      <c r="AM5" s="111"/>
      <c r="AN5" s="111"/>
      <c r="AO5" s="125" t="s">
        <v>53</v>
      </c>
      <c r="AP5" s="125"/>
      <c r="AQ5" s="125"/>
      <c r="AR5" s="112"/>
      <c r="AS5" s="110"/>
      <c r="AT5" s="113"/>
      <c r="AU5" s="7"/>
      <c r="AV5" s="7"/>
    </row>
    <row r="6" spans="1:52" s="10" customFormat="1" ht="24" customHeight="1">
      <c r="A6" s="9"/>
      <c r="B6" s="114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 t="s">
        <v>1</v>
      </c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7" t="s">
        <v>2</v>
      </c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0" t="s">
        <v>12</v>
      </c>
      <c r="E7" s="120"/>
      <c r="F7" s="120"/>
      <c r="G7" s="120"/>
      <c r="H7" s="120"/>
      <c r="I7" s="120"/>
      <c r="J7" s="120"/>
      <c r="K7" s="120"/>
      <c r="L7" s="120" t="s">
        <v>23</v>
      </c>
      <c r="M7" s="120"/>
      <c r="N7" s="120"/>
      <c r="O7" s="120"/>
      <c r="P7" s="121"/>
      <c r="Q7" s="14"/>
      <c r="R7" s="13" t="s">
        <v>3</v>
      </c>
      <c r="S7" s="122" t="s">
        <v>60</v>
      </c>
      <c r="T7" s="122"/>
      <c r="U7" s="122"/>
      <c r="V7" s="122"/>
      <c r="W7" s="122"/>
      <c r="X7" s="122"/>
      <c r="Y7" s="122"/>
      <c r="Z7" s="122"/>
      <c r="AA7" s="123" t="s">
        <v>124</v>
      </c>
      <c r="AB7" s="123"/>
      <c r="AC7" s="123"/>
      <c r="AD7" s="123"/>
      <c r="AE7" s="12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1"/>
      <c r="Q8" s="14"/>
      <c r="R8" s="13" t="s">
        <v>4</v>
      </c>
      <c r="S8" s="122"/>
      <c r="T8" s="122"/>
      <c r="U8" s="122"/>
      <c r="V8" s="122"/>
      <c r="W8" s="122"/>
      <c r="X8" s="122"/>
      <c r="Y8" s="122"/>
      <c r="Z8" s="122"/>
      <c r="AA8" s="123"/>
      <c r="AB8" s="123"/>
      <c r="AC8" s="123"/>
      <c r="AD8" s="123"/>
      <c r="AE8" s="12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1"/>
      <c r="Q9" s="14"/>
      <c r="R9" s="13" t="s">
        <v>5</v>
      </c>
      <c r="S9" s="122"/>
      <c r="T9" s="122"/>
      <c r="U9" s="122"/>
      <c r="V9" s="122"/>
      <c r="W9" s="122"/>
      <c r="X9" s="122"/>
      <c r="Y9" s="122"/>
      <c r="Z9" s="122"/>
      <c r="AA9" s="123"/>
      <c r="AB9" s="123"/>
      <c r="AC9" s="123"/>
      <c r="AD9" s="123"/>
      <c r="AE9" s="12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1"/>
      <c r="Q11" s="14"/>
      <c r="R11" s="30" t="s">
        <v>7</v>
      </c>
      <c r="S11" s="122"/>
      <c r="T11" s="122"/>
      <c r="U11" s="122"/>
      <c r="V11" s="122"/>
      <c r="W11" s="122"/>
      <c r="X11" s="122"/>
      <c r="Y11" s="122"/>
      <c r="Z11" s="122"/>
      <c r="AA11" s="123"/>
      <c r="AB11" s="123"/>
      <c r="AC11" s="123"/>
      <c r="AD11" s="123"/>
      <c r="AE11" s="124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0" t="s">
        <v>54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2"/>
      <c r="AU12" s="9"/>
      <c r="AV12" s="9"/>
    </row>
    <row r="13" spans="1:52" s="10" customFormat="1" ht="24" customHeight="1">
      <c r="A13" s="9"/>
      <c r="B13" s="126" t="s">
        <v>35</v>
      </c>
      <c r="C13" s="127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16"/>
      <c r="P13" s="116"/>
      <c r="Q13" s="116" t="s">
        <v>36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27"/>
      <c r="AF13" s="116" t="s">
        <v>37</v>
      </c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29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0" t="s">
        <v>55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2"/>
      <c r="AU21" s="9"/>
      <c r="AV21" s="9"/>
    </row>
    <row r="22" spans="1:48" s="10" customFormat="1" ht="24" customHeight="1">
      <c r="A22" s="9"/>
      <c r="B22" s="126" t="s">
        <v>19</v>
      </c>
      <c r="C22" s="127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16"/>
      <c r="P22" s="116"/>
      <c r="Q22" s="128" t="s">
        <v>21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7" t="s">
        <v>20</v>
      </c>
      <c r="AG22" s="127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3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0" t="s">
        <v>56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6"/>
      <c r="AJ30" s="137" t="s">
        <v>57</v>
      </c>
      <c r="AK30" s="138"/>
      <c r="AL30" s="138"/>
      <c r="AM30" s="138"/>
      <c r="AN30" s="138"/>
      <c r="AO30" s="138"/>
      <c r="AP30" s="138"/>
      <c r="AQ30" s="138"/>
      <c r="AR30" s="138"/>
      <c r="AS30" s="138"/>
      <c r="AT30" s="13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3"/>
      <c r="AS32" s="133"/>
      <c r="AT32" s="134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3"/>
      <c r="AS33" s="133"/>
      <c r="AT33" s="134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219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3"/>
      <c r="AS34" s="133"/>
      <c r="AT34" s="134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 t="s">
        <v>165</v>
      </c>
      <c r="M35" s="51"/>
      <c r="N35" s="51"/>
      <c r="O35" s="51"/>
      <c r="P35" s="51"/>
      <c r="Q35" s="51"/>
      <c r="R35" s="51"/>
      <c r="S35" s="51"/>
      <c r="T35" s="51"/>
      <c r="U35" s="51" t="s">
        <v>214</v>
      </c>
      <c r="V35" s="51"/>
      <c r="W35" s="51"/>
      <c r="X35" s="51"/>
      <c r="Y35" s="51"/>
      <c r="Z35" s="51"/>
      <c r="AA35" s="51"/>
      <c r="AB35" s="51"/>
      <c r="AC35" s="51" t="s">
        <v>215</v>
      </c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51" t="s">
        <v>161</v>
      </c>
      <c r="M36" s="51"/>
      <c r="N36" s="51"/>
      <c r="O36" s="51"/>
      <c r="P36" s="51" t="s">
        <v>151</v>
      </c>
      <c r="Q36" s="51"/>
      <c r="R36" s="51"/>
      <c r="S36" s="51"/>
      <c r="T36" s="51"/>
      <c r="U36" s="51" t="s">
        <v>166</v>
      </c>
      <c r="V36" s="51"/>
      <c r="W36" s="51"/>
      <c r="X36" s="51"/>
      <c r="Y36" s="51"/>
      <c r="Z36" s="51"/>
      <c r="AA36" s="89" t="s">
        <v>169</v>
      </c>
      <c r="AB36" s="51"/>
      <c r="AC36" s="52" t="s">
        <v>216</v>
      </c>
      <c r="AD36" s="51"/>
      <c r="AE36" s="51"/>
      <c r="AF36" s="52"/>
      <c r="AG36" s="52"/>
      <c r="AH36" s="51"/>
      <c r="AI36" s="51"/>
      <c r="AJ36" s="53"/>
      <c r="AK36" s="52" t="s">
        <v>172</v>
      </c>
      <c r="AL36" s="51"/>
      <c r="AM36" s="54"/>
      <c r="AN36" s="54"/>
      <c r="AO36" s="54"/>
      <c r="AP36" s="54"/>
      <c r="AQ36" s="54"/>
      <c r="AR36" s="133"/>
      <c r="AS36" s="133"/>
      <c r="AT36" s="134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51" t="s">
        <v>143</v>
      </c>
      <c r="M37" s="51"/>
      <c r="N37" s="51"/>
      <c r="O37" s="51"/>
      <c r="P37" s="51" t="s">
        <v>149</v>
      </c>
      <c r="Q37" s="51"/>
      <c r="R37" s="51"/>
      <c r="S37" s="51"/>
      <c r="T37" s="51"/>
      <c r="U37" s="51" t="s">
        <v>167</v>
      </c>
      <c r="V37" s="51"/>
      <c r="W37" s="51"/>
      <c r="X37" s="51"/>
      <c r="Y37" s="51"/>
      <c r="Z37" s="51"/>
      <c r="AA37" s="89" t="s">
        <v>211</v>
      </c>
      <c r="AB37" s="51"/>
      <c r="AC37" s="51" t="s">
        <v>217</v>
      </c>
      <c r="AD37" s="51"/>
      <c r="AE37" s="51"/>
      <c r="AF37" s="52"/>
      <c r="AG37" s="52"/>
      <c r="AH37" s="51"/>
      <c r="AI37" s="51"/>
      <c r="AJ37" s="53"/>
      <c r="AK37" s="51"/>
      <c r="AL37" s="51"/>
      <c r="AM37" s="54"/>
      <c r="AN37" s="54"/>
      <c r="AO37" s="54"/>
      <c r="AP37" s="54"/>
      <c r="AQ37" s="54"/>
      <c r="AR37" s="133"/>
      <c r="AS37" s="133"/>
      <c r="AT37" s="134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51" t="s">
        <v>76</v>
      </c>
      <c r="M38" s="51"/>
      <c r="N38" s="51"/>
      <c r="O38" s="51"/>
      <c r="P38" s="51" t="s">
        <v>163</v>
      </c>
      <c r="Q38" s="51"/>
      <c r="R38" s="51"/>
      <c r="S38" s="51"/>
      <c r="T38" s="51"/>
      <c r="U38" s="51" t="s">
        <v>76</v>
      </c>
      <c r="V38" s="51"/>
      <c r="W38" s="51"/>
      <c r="X38" s="51"/>
      <c r="Y38" s="51"/>
      <c r="Z38" s="51"/>
      <c r="AA38" s="89" t="s">
        <v>170</v>
      </c>
      <c r="AB38" s="51"/>
      <c r="AC38" s="51" t="s">
        <v>217</v>
      </c>
      <c r="AD38" s="51"/>
      <c r="AE38" s="51"/>
      <c r="AF38" s="52"/>
      <c r="AG38" s="52"/>
      <c r="AH38" s="51"/>
      <c r="AI38" s="51"/>
      <c r="AJ38" s="53"/>
      <c r="AK38" s="51"/>
      <c r="AL38" s="51"/>
      <c r="AM38" s="54"/>
      <c r="AN38" s="54"/>
      <c r="AO38" s="54"/>
      <c r="AP38" s="54"/>
      <c r="AQ38" s="54"/>
      <c r="AR38" s="133"/>
      <c r="AS38" s="133"/>
      <c r="AT38" s="134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51" t="s">
        <v>78</v>
      </c>
      <c r="M39" s="51"/>
      <c r="N39" s="51"/>
      <c r="O39" s="51"/>
      <c r="P39" s="51" t="s">
        <v>162</v>
      </c>
      <c r="Q39" s="51"/>
      <c r="R39" s="51"/>
      <c r="S39" s="51"/>
      <c r="T39" s="51"/>
      <c r="U39" s="51" t="s">
        <v>78</v>
      </c>
      <c r="V39" s="51"/>
      <c r="W39" s="51"/>
      <c r="X39" s="51"/>
      <c r="Y39" s="51"/>
      <c r="Z39" s="51"/>
      <c r="AA39" s="89" t="s">
        <v>212</v>
      </c>
      <c r="AB39" s="51"/>
      <c r="AC39" s="52" t="s">
        <v>148</v>
      </c>
      <c r="AD39" s="51"/>
      <c r="AE39" s="51"/>
      <c r="AF39" s="52"/>
      <c r="AG39" s="52"/>
      <c r="AH39" s="51"/>
      <c r="AI39" s="51"/>
      <c r="AJ39" s="53"/>
      <c r="AK39" s="52" t="s">
        <v>172</v>
      </c>
      <c r="AL39" s="51"/>
      <c r="AM39" s="54"/>
      <c r="AN39" s="54"/>
      <c r="AO39" s="54"/>
      <c r="AP39" s="54"/>
      <c r="AQ39" s="54"/>
      <c r="AR39" s="133"/>
      <c r="AS39" s="133"/>
      <c r="AT39" s="134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51" t="s">
        <v>164</v>
      </c>
      <c r="M40" s="51"/>
      <c r="N40" s="51"/>
      <c r="O40" s="51"/>
      <c r="P40" s="51" t="s">
        <v>171</v>
      </c>
      <c r="Q40" s="51"/>
      <c r="R40" s="51"/>
      <c r="S40" s="51"/>
      <c r="T40" s="51"/>
      <c r="U40" s="51" t="s">
        <v>168</v>
      </c>
      <c r="V40" s="51"/>
      <c r="W40" s="51"/>
      <c r="X40" s="51"/>
      <c r="Y40" s="51"/>
      <c r="Z40" s="51"/>
      <c r="AA40" s="89" t="s">
        <v>213</v>
      </c>
      <c r="AB40" s="51"/>
      <c r="AC40" s="51" t="s">
        <v>218</v>
      </c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220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62"/>
      <c r="AS42" s="62"/>
      <c r="AT42" s="63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3"/>
      <c r="AS43" s="133"/>
      <c r="AT43" s="134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3"/>
      <c r="AS44" s="133"/>
      <c r="AT44" s="134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33"/>
      <c r="AS45" s="133"/>
      <c r="AT45" s="134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62"/>
      <c r="AS47" s="62"/>
      <c r="AT47" s="63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33"/>
      <c r="AS48" s="133"/>
      <c r="AT48" s="134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62"/>
      <c r="AS50" s="62"/>
      <c r="AT50" s="6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3"/>
      <c r="AS51" s="133"/>
      <c r="AT51" s="134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3"/>
      <c r="AS52" s="133"/>
      <c r="AT52" s="134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3"/>
      <c r="AS53" s="133"/>
      <c r="AT53" s="134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3"/>
      <c r="AS54" s="133"/>
      <c r="AT54" s="134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3"/>
      <c r="AS55" s="133"/>
      <c r="AT55" s="134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3"/>
      <c r="AS56" s="133"/>
      <c r="AT56" s="134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3"/>
      <c r="AS57" s="133"/>
      <c r="AT57" s="134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3"/>
      <c r="AS58" s="133"/>
      <c r="AT58" s="134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3"/>
      <c r="AS59" s="133"/>
      <c r="AT59" s="134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3"/>
      <c r="AS60" s="133"/>
      <c r="AT60" s="134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33"/>
      <c r="AS61" s="133"/>
      <c r="AT61" s="134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62"/>
      <c r="AS63" s="62"/>
      <c r="AT63" s="63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3"/>
      <c r="AS64" s="133"/>
      <c r="AT64" s="134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33"/>
      <c r="AS65" s="133"/>
      <c r="AT65" s="134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42"/>
      <c r="Q66" s="142"/>
      <c r="R66" s="68"/>
      <c r="S66" s="143"/>
      <c r="T66" s="143"/>
      <c r="U66" s="143"/>
      <c r="V66" s="51"/>
      <c r="W66" s="144"/>
      <c r="X66" s="144"/>
      <c r="Y66" s="144"/>
      <c r="Z66" s="143"/>
      <c r="AA66" s="143"/>
      <c r="AB66" s="143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33"/>
      <c r="AS66" s="133"/>
      <c r="AT66" s="134"/>
      <c r="AU66" s="9"/>
      <c r="AV66" s="9"/>
    </row>
    <row r="67" spans="1:48" s="10" customFormat="1" ht="24" customHeight="1">
      <c r="A67" s="9"/>
      <c r="B67" s="130" t="s">
        <v>58</v>
      </c>
      <c r="C67" s="131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1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68"/>
      <c r="Q72" s="68"/>
      <c r="R72" s="68"/>
      <c r="S72" s="70"/>
      <c r="T72" s="70"/>
      <c r="U72" s="70"/>
      <c r="V72" s="51"/>
      <c r="W72" s="71"/>
      <c r="X72" s="71"/>
      <c r="Y72" s="71"/>
      <c r="Z72" s="70"/>
      <c r="AA72" s="70"/>
      <c r="AB72" s="7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  <mergeCell ref="B67:AT67"/>
    <mergeCell ref="Q13:AE13"/>
    <mergeCell ref="AF13:AT13"/>
    <mergeCell ref="P66:Q66"/>
    <mergeCell ref="S66:U66"/>
    <mergeCell ref="W66:Y66"/>
    <mergeCell ref="Z66:AB66"/>
    <mergeCell ref="B22:P22"/>
    <mergeCell ref="B13:P13"/>
    <mergeCell ref="B21:AT21"/>
    <mergeCell ref="AF22:AT22"/>
    <mergeCell ref="Q22:AE22"/>
    <mergeCell ref="AR37:AT37"/>
    <mergeCell ref="AR38:AT38"/>
    <mergeCell ref="AR39:AT39"/>
    <mergeCell ref="AR55:AT55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S9:Z9"/>
    <mergeCell ref="L9:P9"/>
    <mergeCell ref="AR53:AT53"/>
    <mergeCell ref="AR54:AT54"/>
    <mergeCell ref="AR36:AT36"/>
    <mergeCell ref="AR43:AT43"/>
    <mergeCell ref="AR5:AT5"/>
    <mergeCell ref="AR32:AT32"/>
    <mergeCell ref="AR56:AT56"/>
    <mergeCell ref="AR57:AT57"/>
    <mergeCell ref="AR33:AT33"/>
    <mergeCell ref="AR34:AT34"/>
    <mergeCell ref="AR66:AT66"/>
    <mergeCell ref="AR64:AT64"/>
    <mergeCell ref="AR65:AT65"/>
    <mergeCell ref="AR44:AT44"/>
    <mergeCell ref="AR58:AT58"/>
    <mergeCell ref="AR59:AT59"/>
    <mergeCell ref="AR60:AT60"/>
    <mergeCell ref="AR61:AT61"/>
    <mergeCell ref="AR45:AT45"/>
    <mergeCell ref="AR48:AT48"/>
    <mergeCell ref="AR51:AT51"/>
    <mergeCell ref="AR52:AT52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topLeftCell="A17" workbookViewId="0">
      <selection activeCell="G28" sqref="G28"/>
    </sheetView>
  </sheetViews>
  <sheetFormatPr defaultColWidth="9.625" defaultRowHeight="13.5"/>
  <cols>
    <col min="1" max="1" width="5.625" style="102" customWidth="1"/>
    <col min="2" max="2" width="9.625" style="106"/>
    <col min="3" max="3" width="5.625" style="101" customWidth="1"/>
    <col min="4" max="5" width="9.625" style="103"/>
    <col min="6" max="6" width="9.625" style="105"/>
    <col min="7" max="8" width="9.625" style="103"/>
    <col min="9" max="9" width="9.625" style="105"/>
    <col min="10" max="11" width="9.625" style="103"/>
    <col min="12" max="12" width="9.625" style="105"/>
    <col min="13" max="14" width="9.625" style="103"/>
    <col min="15" max="15" width="9.625" style="105"/>
  </cols>
  <sheetData>
    <row r="3" spans="1:15">
      <c r="D3" s="145" t="s">
        <v>227</v>
      </c>
      <c r="E3" s="145" t="s">
        <v>227</v>
      </c>
      <c r="F3" s="145"/>
      <c r="G3" s="145" t="s">
        <v>229</v>
      </c>
      <c r="H3" s="145" t="s">
        <v>227</v>
      </c>
      <c r="I3" s="145"/>
      <c r="J3" s="145" t="s">
        <v>231</v>
      </c>
      <c r="K3" s="145" t="s">
        <v>227</v>
      </c>
      <c r="L3" s="145"/>
      <c r="M3" s="145" t="s">
        <v>233</v>
      </c>
      <c r="N3" s="145" t="s">
        <v>227</v>
      </c>
      <c r="O3" s="145"/>
    </row>
    <row r="4" spans="1:15">
      <c r="A4" s="146" t="s">
        <v>221</v>
      </c>
      <c r="B4" s="146"/>
      <c r="C4" s="146"/>
      <c r="D4" s="145" t="s">
        <v>224</v>
      </c>
      <c r="E4" s="145" t="s">
        <v>224</v>
      </c>
      <c r="F4" s="145"/>
      <c r="G4" s="145" t="s">
        <v>230</v>
      </c>
      <c r="H4" s="145" t="s">
        <v>224</v>
      </c>
      <c r="I4" s="145"/>
      <c r="J4" s="145" t="s">
        <v>232</v>
      </c>
      <c r="K4" s="145" t="s">
        <v>224</v>
      </c>
      <c r="L4" s="145"/>
      <c r="M4" s="145" t="s">
        <v>234</v>
      </c>
      <c r="N4" s="145" t="s">
        <v>224</v>
      </c>
      <c r="O4" s="145"/>
    </row>
    <row r="5" spans="1:15">
      <c r="A5" s="102" t="s">
        <v>235</v>
      </c>
      <c r="B5" s="106" t="s">
        <v>225</v>
      </c>
      <c r="C5" s="101" t="s">
        <v>226</v>
      </c>
      <c r="D5" s="102" t="s">
        <v>222</v>
      </c>
      <c r="E5" s="102" t="s">
        <v>228</v>
      </c>
      <c r="F5" s="104" t="s">
        <v>223</v>
      </c>
      <c r="G5" s="102" t="s">
        <v>222</v>
      </c>
      <c r="H5" s="102" t="s">
        <v>228</v>
      </c>
      <c r="I5" s="104" t="s">
        <v>223</v>
      </c>
      <c r="J5" s="102" t="s">
        <v>222</v>
      </c>
      <c r="K5" s="102" t="s">
        <v>228</v>
      </c>
      <c r="L5" s="104" t="s">
        <v>223</v>
      </c>
      <c r="M5" s="102" t="s">
        <v>222</v>
      </c>
      <c r="N5" s="102" t="s">
        <v>228</v>
      </c>
      <c r="O5" s="104" t="s">
        <v>223</v>
      </c>
    </row>
    <row r="6" spans="1:15">
      <c r="A6" s="102">
        <v>4</v>
      </c>
      <c r="D6" s="102"/>
      <c r="E6" s="102"/>
      <c r="F6" s="104"/>
      <c r="G6" s="102"/>
      <c r="H6" s="102"/>
      <c r="I6" s="104"/>
      <c r="J6" s="102"/>
      <c r="K6" s="102"/>
      <c r="L6" s="104"/>
      <c r="M6" s="102"/>
      <c r="N6" s="102"/>
      <c r="O6" s="104"/>
    </row>
    <row r="7" spans="1:15">
      <c r="A7" s="102">
        <v>1</v>
      </c>
      <c r="B7" s="106">
        <v>42495</v>
      </c>
      <c r="C7" s="101" t="s">
        <v>236</v>
      </c>
      <c r="D7" s="103">
        <v>1000000</v>
      </c>
      <c r="G7" s="103">
        <v>1000000</v>
      </c>
      <c r="J7" s="103">
        <v>1000000</v>
      </c>
      <c r="M7" s="103">
        <v>1000000</v>
      </c>
    </row>
    <row r="8" spans="1:15">
      <c r="A8" s="102">
        <v>2</v>
      </c>
      <c r="B8" s="106">
        <v>42502</v>
      </c>
      <c r="C8" s="101" t="s">
        <v>236</v>
      </c>
    </row>
    <row r="9" spans="1:15">
      <c r="A9" s="102">
        <v>3</v>
      </c>
      <c r="B9" s="106">
        <v>42509</v>
      </c>
      <c r="C9" s="101" t="s">
        <v>236</v>
      </c>
    </row>
    <row r="11" spans="1:15">
      <c r="B11" s="106" t="s">
        <v>25</v>
      </c>
    </row>
    <row r="12" spans="1:15">
      <c r="A12" s="102">
        <v>4</v>
      </c>
      <c r="B12" s="106">
        <v>42521</v>
      </c>
      <c r="C12" s="101" t="s">
        <v>237</v>
      </c>
    </row>
    <row r="13" spans="1:15">
      <c r="A13" s="102">
        <v>1</v>
      </c>
      <c r="B13" s="106">
        <v>42528</v>
      </c>
      <c r="C13" s="101" t="s">
        <v>237</v>
      </c>
    </row>
    <row r="14" spans="1:15">
      <c r="A14" s="102">
        <v>2</v>
      </c>
      <c r="B14" s="106">
        <v>42535</v>
      </c>
      <c r="C14" s="101" t="s">
        <v>237</v>
      </c>
    </row>
    <row r="15" spans="1:15">
      <c r="A15" s="102">
        <v>3</v>
      </c>
      <c r="B15" s="106">
        <v>42542</v>
      </c>
      <c r="C15" s="101" t="s">
        <v>237</v>
      </c>
    </row>
    <row r="17" spans="1:3">
      <c r="B17" s="106" t="s">
        <v>25</v>
      </c>
    </row>
    <row r="18" spans="1:3">
      <c r="A18" s="102">
        <v>4</v>
      </c>
      <c r="B18" s="106">
        <v>42551</v>
      </c>
      <c r="C18" s="101" t="s">
        <v>236</v>
      </c>
    </row>
    <row r="19" spans="1:3">
      <c r="A19" s="102">
        <v>1</v>
      </c>
      <c r="B19" s="106">
        <v>42558</v>
      </c>
      <c r="C19" s="101" t="s">
        <v>236</v>
      </c>
    </row>
    <row r="20" spans="1:3">
      <c r="A20" s="102">
        <v>2</v>
      </c>
      <c r="B20" s="106">
        <v>42565</v>
      </c>
      <c r="C20" s="101" t="s">
        <v>236</v>
      </c>
    </row>
    <row r="21" spans="1:3">
      <c r="A21" s="102">
        <v>3</v>
      </c>
      <c r="B21" s="106">
        <v>42572</v>
      </c>
      <c r="C21" s="101" t="s">
        <v>236</v>
      </c>
    </row>
    <row r="23" spans="1:3">
      <c r="B23" s="106" t="s">
        <v>25</v>
      </c>
    </row>
    <row r="24" spans="1:3">
      <c r="A24" s="102">
        <v>4</v>
      </c>
      <c r="B24" s="106">
        <v>42579</v>
      </c>
      <c r="C24" s="101" t="s">
        <v>236</v>
      </c>
    </row>
    <row r="25" spans="1:3">
      <c r="A25" s="102">
        <v>1</v>
      </c>
      <c r="B25" s="106">
        <v>42586</v>
      </c>
      <c r="C25" s="101" t="s">
        <v>236</v>
      </c>
    </row>
    <row r="26" spans="1:3">
      <c r="A26" s="102">
        <v>2</v>
      </c>
      <c r="B26" s="106">
        <v>42593</v>
      </c>
      <c r="C26" s="101" t="s">
        <v>236</v>
      </c>
    </row>
    <row r="27" spans="1:3">
      <c r="A27" s="102">
        <v>3</v>
      </c>
      <c r="B27" s="106">
        <v>42600</v>
      </c>
      <c r="C27" s="101" t="s">
        <v>236</v>
      </c>
    </row>
    <row r="29" spans="1:3">
      <c r="B29" s="106" t="s">
        <v>25</v>
      </c>
    </row>
    <row r="30" spans="1:3">
      <c r="A30" s="102">
        <v>4</v>
      </c>
      <c r="B30" s="106">
        <v>42607</v>
      </c>
      <c r="C30" s="101" t="s">
        <v>236</v>
      </c>
    </row>
    <row r="31" spans="1:3">
      <c r="A31" s="102">
        <v>1</v>
      </c>
      <c r="B31" s="106">
        <v>42588</v>
      </c>
      <c r="C31" s="101" t="s">
        <v>237</v>
      </c>
    </row>
    <row r="32" spans="1:3">
      <c r="A32" s="102">
        <v>2</v>
      </c>
      <c r="B32" s="106">
        <v>42626</v>
      </c>
      <c r="C32" s="101" t="s">
        <v>237</v>
      </c>
    </row>
    <row r="33" spans="1:3">
      <c r="A33" s="102">
        <v>3</v>
      </c>
      <c r="B33" s="106">
        <v>42633</v>
      </c>
      <c r="C33" s="101" t="s">
        <v>237</v>
      </c>
    </row>
    <row r="35" spans="1:3">
      <c r="B35" s="106" t="s">
        <v>25</v>
      </c>
    </row>
  </sheetData>
  <mergeCells count="9">
    <mergeCell ref="M3:O3"/>
    <mergeCell ref="M4:O4"/>
    <mergeCell ref="D4:F4"/>
    <mergeCell ref="A4:C4"/>
    <mergeCell ref="D3:F3"/>
    <mergeCell ref="G3:I3"/>
    <mergeCell ref="G4:I4"/>
    <mergeCell ref="J3:L3"/>
    <mergeCell ref="J4:L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opLeftCell="A40" zoomScale="85" zoomScaleNormal="85" workbookViewId="0">
      <selection activeCell="C44" sqref="C44:V5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7" t="s">
        <v>47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08" t="s">
        <v>51</v>
      </c>
      <c r="C5" s="109"/>
      <c r="D5" s="109"/>
      <c r="E5" s="109"/>
      <c r="F5" s="109"/>
      <c r="G5" s="109"/>
      <c r="H5" s="110" t="s">
        <v>59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09" t="s">
        <v>52</v>
      </c>
      <c r="AG5" s="109"/>
      <c r="AH5" s="109"/>
      <c r="AI5" s="109"/>
      <c r="AJ5" s="111">
        <v>42394</v>
      </c>
      <c r="AK5" s="111"/>
      <c r="AL5" s="111"/>
      <c r="AM5" s="111"/>
      <c r="AN5" s="111"/>
      <c r="AO5" s="125" t="s">
        <v>53</v>
      </c>
      <c r="AP5" s="125"/>
      <c r="AQ5" s="125"/>
      <c r="AR5" s="112" t="s">
        <v>125</v>
      </c>
      <c r="AS5" s="110"/>
      <c r="AT5" s="113"/>
      <c r="AU5" s="7"/>
      <c r="AV5" s="7"/>
    </row>
    <row r="6" spans="1:52" s="10" customFormat="1" ht="24" customHeight="1">
      <c r="A6" s="9"/>
      <c r="B6" s="114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 t="s">
        <v>1</v>
      </c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7" t="s">
        <v>2</v>
      </c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0" t="s">
        <v>12</v>
      </c>
      <c r="E7" s="120"/>
      <c r="F7" s="120"/>
      <c r="G7" s="120"/>
      <c r="H7" s="120"/>
      <c r="I7" s="120"/>
      <c r="J7" s="120"/>
      <c r="K7" s="120"/>
      <c r="L7" s="120" t="s">
        <v>23</v>
      </c>
      <c r="M7" s="120"/>
      <c r="N7" s="120"/>
      <c r="O7" s="120"/>
      <c r="P7" s="121"/>
      <c r="Q7" s="14"/>
      <c r="R7" s="13" t="s">
        <v>3</v>
      </c>
      <c r="S7" s="122" t="s">
        <v>60</v>
      </c>
      <c r="T7" s="122"/>
      <c r="U7" s="122"/>
      <c r="V7" s="122"/>
      <c r="W7" s="122"/>
      <c r="X7" s="122"/>
      <c r="Y7" s="122"/>
      <c r="Z7" s="122"/>
      <c r="AA7" s="123" t="s">
        <v>124</v>
      </c>
      <c r="AB7" s="123"/>
      <c r="AC7" s="123"/>
      <c r="AD7" s="123"/>
      <c r="AE7" s="12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1"/>
      <c r="Q8" s="14"/>
      <c r="R8" s="13" t="s">
        <v>4</v>
      </c>
      <c r="S8" s="122" t="s">
        <v>126</v>
      </c>
      <c r="T8" s="122"/>
      <c r="U8" s="122"/>
      <c r="V8" s="122"/>
      <c r="W8" s="122"/>
      <c r="X8" s="122"/>
      <c r="Y8" s="122"/>
      <c r="Z8" s="122"/>
      <c r="AA8" s="123" t="s">
        <v>130</v>
      </c>
      <c r="AB8" s="123"/>
      <c r="AC8" s="123"/>
      <c r="AD8" s="123"/>
      <c r="AE8" s="12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1"/>
      <c r="Q9" s="14"/>
      <c r="R9" s="13" t="s">
        <v>5</v>
      </c>
      <c r="S9" s="122" t="s">
        <v>127</v>
      </c>
      <c r="T9" s="122"/>
      <c r="U9" s="122"/>
      <c r="V9" s="122"/>
      <c r="W9" s="122"/>
      <c r="X9" s="122"/>
      <c r="Y9" s="122"/>
      <c r="Z9" s="122"/>
      <c r="AA9" s="123" t="s">
        <v>130</v>
      </c>
      <c r="AB9" s="123"/>
      <c r="AC9" s="123"/>
      <c r="AD9" s="123"/>
      <c r="AE9" s="12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1"/>
      <c r="Q11" s="14"/>
      <c r="R11" s="30" t="s">
        <v>7</v>
      </c>
      <c r="S11" s="122" t="s">
        <v>129</v>
      </c>
      <c r="T11" s="122"/>
      <c r="U11" s="122"/>
      <c r="V11" s="122"/>
      <c r="W11" s="122"/>
      <c r="X11" s="122"/>
      <c r="Y11" s="122"/>
      <c r="Z11" s="122"/>
      <c r="AA11" s="123" t="s">
        <v>130</v>
      </c>
      <c r="AB11" s="123"/>
      <c r="AC11" s="123"/>
      <c r="AD11" s="123"/>
      <c r="AE11" s="124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0" t="s">
        <v>54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2"/>
      <c r="AU12" s="9"/>
      <c r="AV12" s="9"/>
    </row>
    <row r="13" spans="1:52" s="10" customFormat="1" ht="24" customHeight="1">
      <c r="A13" s="9"/>
      <c r="B13" s="126" t="s">
        <v>35</v>
      </c>
      <c r="C13" s="127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16"/>
      <c r="P13" s="116"/>
      <c r="Q13" s="116" t="s">
        <v>36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27"/>
      <c r="AF13" s="116" t="s">
        <v>37</v>
      </c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29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0" t="s">
        <v>55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2"/>
      <c r="AU21" s="9"/>
      <c r="AV21" s="9"/>
    </row>
    <row r="22" spans="1:48" s="10" customFormat="1" ht="24" customHeight="1">
      <c r="A22" s="9"/>
      <c r="B22" s="126" t="s">
        <v>19</v>
      </c>
      <c r="C22" s="127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16"/>
      <c r="P22" s="116"/>
      <c r="Q22" s="128" t="s">
        <v>21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7" t="s">
        <v>20</v>
      </c>
      <c r="AG22" s="127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3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0" t="s">
        <v>56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6"/>
      <c r="AJ30" s="137" t="s">
        <v>57</v>
      </c>
      <c r="AK30" s="138"/>
      <c r="AL30" s="138"/>
      <c r="AM30" s="138"/>
      <c r="AN30" s="138"/>
      <c r="AO30" s="138"/>
      <c r="AP30" s="138"/>
      <c r="AQ30" s="138"/>
      <c r="AR30" s="138"/>
      <c r="AS30" s="138"/>
      <c r="AT30" s="13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3"/>
      <c r="AS32" s="133"/>
      <c r="AT32" s="134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3"/>
      <c r="AS33" s="133"/>
      <c r="AT33" s="134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3"/>
      <c r="AS34" s="133"/>
      <c r="AT34" s="134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133"/>
      <c r="AS35" s="133"/>
      <c r="AT35" s="134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3"/>
      <c r="AS36" s="133"/>
      <c r="AT36" s="134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3"/>
      <c r="AS37" s="133"/>
      <c r="AT37" s="134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3"/>
      <c r="AS38" s="133"/>
      <c r="AT38" s="134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33"/>
      <c r="AS42" s="133"/>
      <c r="AT42" s="134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3"/>
      <c r="AS43" s="133"/>
      <c r="AT43" s="134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3"/>
      <c r="AS44" s="133"/>
      <c r="AT44" s="134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33"/>
      <c r="AS47" s="133"/>
      <c r="AT47" s="134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33"/>
      <c r="AS50" s="133"/>
      <c r="AT50" s="134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3"/>
      <c r="AS51" s="133"/>
      <c r="AT51" s="134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3"/>
      <c r="AS52" s="133"/>
      <c r="AT52" s="134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3"/>
      <c r="AS53" s="133"/>
      <c r="AT53" s="134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3"/>
      <c r="AS54" s="133"/>
      <c r="AT54" s="134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3"/>
      <c r="AS55" s="133"/>
      <c r="AT55" s="134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3"/>
      <c r="AS56" s="133"/>
      <c r="AT56" s="134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3"/>
      <c r="AS57" s="133"/>
      <c r="AT57" s="134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3"/>
      <c r="AS58" s="133"/>
      <c r="AT58" s="134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3"/>
      <c r="AS59" s="133"/>
      <c r="AT59" s="134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3"/>
      <c r="AS60" s="133"/>
      <c r="AT60" s="134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33"/>
      <c r="AS63" s="133"/>
      <c r="AT63" s="134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3"/>
      <c r="AS64" s="133"/>
      <c r="AT64" s="134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42"/>
      <c r="Q65" s="142"/>
      <c r="R65" s="68"/>
      <c r="S65" s="143"/>
      <c r="T65" s="143"/>
      <c r="U65" s="143"/>
      <c r="V65" s="51"/>
      <c r="W65" s="144"/>
      <c r="X65" s="144"/>
      <c r="Y65" s="144"/>
      <c r="Z65" s="143"/>
      <c r="AA65" s="143"/>
      <c r="AB65" s="143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33"/>
      <c r="AS65" s="133"/>
      <c r="AT65" s="134"/>
      <c r="AU65" s="9"/>
      <c r="AV65" s="9"/>
    </row>
    <row r="66" spans="1:48" s="10" customFormat="1" ht="24" customHeight="1">
      <c r="A66" s="9"/>
      <c r="B66" s="130" t="s">
        <v>58</v>
      </c>
      <c r="C66" s="131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1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37:AT37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56:AT56"/>
    <mergeCell ref="AR38:AT38"/>
    <mergeCell ref="AR42:AT42"/>
    <mergeCell ref="AR43:AT43"/>
    <mergeCell ref="AR44:AT44"/>
    <mergeCell ref="AR47:AT47"/>
    <mergeCell ref="AR50:AT50"/>
    <mergeCell ref="AR51:AT51"/>
    <mergeCell ref="AR52:AT52"/>
    <mergeCell ref="AR53:AT53"/>
    <mergeCell ref="AR54:AT54"/>
    <mergeCell ref="AR55:AT55"/>
    <mergeCell ref="B66:AT66"/>
    <mergeCell ref="AR57:AT57"/>
    <mergeCell ref="AR58:AT58"/>
    <mergeCell ref="AR59:AT59"/>
    <mergeCell ref="AR60:AT60"/>
    <mergeCell ref="AR63:AT63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7" t="s">
        <v>47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08" t="s">
        <v>51</v>
      </c>
      <c r="C5" s="109"/>
      <c r="D5" s="109"/>
      <c r="E5" s="109"/>
      <c r="F5" s="109"/>
      <c r="G5" s="109"/>
      <c r="H5" s="110" t="s">
        <v>59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09" t="s">
        <v>52</v>
      </c>
      <c r="AG5" s="109"/>
      <c r="AH5" s="109"/>
      <c r="AI5" s="109"/>
      <c r="AJ5" s="111">
        <v>42104</v>
      </c>
      <c r="AK5" s="111"/>
      <c r="AL5" s="111"/>
      <c r="AM5" s="111"/>
      <c r="AN5" s="111"/>
      <c r="AO5" s="125" t="s">
        <v>53</v>
      </c>
      <c r="AP5" s="125"/>
      <c r="AQ5" s="125"/>
      <c r="AR5" s="112">
        <v>0.45833333333333331</v>
      </c>
      <c r="AS5" s="110"/>
      <c r="AT5" s="113"/>
      <c r="AU5" s="7"/>
      <c r="AV5" s="7"/>
    </row>
    <row r="6" spans="1:52" s="10" customFormat="1" ht="24" customHeight="1">
      <c r="A6" s="9"/>
      <c r="B6" s="114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 t="s">
        <v>1</v>
      </c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7" t="s">
        <v>2</v>
      </c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0" t="s">
        <v>12</v>
      </c>
      <c r="E7" s="120"/>
      <c r="F7" s="120"/>
      <c r="G7" s="120"/>
      <c r="H7" s="120"/>
      <c r="I7" s="120"/>
      <c r="J7" s="120"/>
      <c r="K7" s="120"/>
      <c r="L7" s="120" t="s">
        <v>23</v>
      </c>
      <c r="M7" s="120"/>
      <c r="N7" s="120"/>
      <c r="O7" s="120"/>
      <c r="P7" s="121"/>
      <c r="Q7" s="14"/>
      <c r="R7" s="13" t="s">
        <v>3</v>
      </c>
      <c r="S7" s="122" t="s">
        <v>60</v>
      </c>
      <c r="T7" s="122"/>
      <c r="U7" s="122"/>
      <c r="V7" s="122"/>
      <c r="W7" s="122"/>
      <c r="X7" s="122"/>
      <c r="Y7" s="122"/>
      <c r="Z7" s="122"/>
      <c r="AA7" s="123" t="s">
        <v>124</v>
      </c>
      <c r="AB7" s="123"/>
      <c r="AC7" s="123"/>
      <c r="AD7" s="123"/>
      <c r="AE7" s="12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1"/>
      <c r="Q8" s="14"/>
      <c r="R8" s="13" t="s">
        <v>4</v>
      </c>
      <c r="S8" s="122"/>
      <c r="T8" s="122"/>
      <c r="U8" s="122"/>
      <c r="V8" s="122"/>
      <c r="W8" s="122"/>
      <c r="X8" s="122"/>
      <c r="Y8" s="122"/>
      <c r="Z8" s="122"/>
      <c r="AA8" s="123"/>
      <c r="AB8" s="123"/>
      <c r="AC8" s="123"/>
      <c r="AD8" s="123"/>
      <c r="AE8" s="12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1"/>
      <c r="Q9" s="14"/>
      <c r="R9" s="13" t="s">
        <v>5</v>
      </c>
      <c r="S9" s="122"/>
      <c r="T9" s="122"/>
      <c r="U9" s="122"/>
      <c r="V9" s="122"/>
      <c r="W9" s="122"/>
      <c r="X9" s="122"/>
      <c r="Y9" s="122"/>
      <c r="Z9" s="122"/>
      <c r="AA9" s="123"/>
      <c r="AB9" s="123"/>
      <c r="AC9" s="123"/>
      <c r="AD9" s="123"/>
      <c r="AE9" s="12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1"/>
      <c r="Q11" s="14"/>
      <c r="R11" s="30" t="s">
        <v>7</v>
      </c>
      <c r="S11" s="122"/>
      <c r="T11" s="122"/>
      <c r="U11" s="122"/>
      <c r="V11" s="122"/>
      <c r="W11" s="122"/>
      <c r="X11" s="122"/>
      <c r="Y11" s="122"/>
      <c r="Z11" s="122"/>
      <c r="AA11" s="123"/>
      <c r="AB11" s="123"/>
      <c r="AC11" s="123"/>
      <c r="AD11" s="123"/>
      <c r="AE11" s="124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0" t="s">
        <v>54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2"/>
      <c r="AU12" s="9"/>
      <c r="AV12" s="9"/>
    </row>
    <row r="13" spans="1:52" s="10" customFormat="1" ht="24" customHeight="1">
      <c r="A13" s="9"/>
      <c r="B13" s="126" t="s">
        <v>35</v>
      </c>
      <c r="C13" s="127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16"/>
      <c r="P13" s="116"/>
      <c r="Q13" s="116" t="s">
        <v>36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27"/>
      <c r="AF13" s="116" t="s">
        <v>37</v>
      </c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29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0" t="s">
        <v>55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2"/>
      <c r="AU21" s="9"/>
      <c r="AV21" s="9"/>
    </row>
    <row r="22" spans="1:48" s="10" customFormat="1" ht="24" customHeight="1">
      <c r="A22" s="9"/>
      <c r="B22" s="126" t="s">
        <v>19</v>
      </c>
      <c r="C22" s="127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16"/>
      <c r="P22" s="116"/>
      <c r="Q22" s="128" t="s">
        <v>21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7" t="s">
        <v>20</v>
      </c>
      <c r="AG22" s="127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3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0" t="s">
        <v>56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6"/>
      <c r="AJ30" s="137" t="s">
        <v>57</v>
      </c>
      <c r="AK30" s="138"/>
      <c r="AL30" s="138"/>
      <c r="AM30" s="138"/>
      <c r="AN30" s="138"/>
      <c r="AO30" s="138"/>
      <c r="AP30" s="138"/>
      <c r="AQ30" s="138"/>
      <c r="AR30" s="138"/>
      <c r="AS30" s="138"/>
      <c r="AT30" s="139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3"/>
      <c r="AS32" s="133"/>
      <c r="AT32" s="134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3"/>
      <c r="AS33" s="133"/>
      <c r="AT33" s="134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147" t="s">
        <v>81</v>
      </c>
      <c r="L34" s="148"/>
      <c r="M34" s="148"/>
      <c r="N34" s="149" t="s">
        <v>67</v>
      </c>
      <c r="O34" s="149"/>
      <c r="P34" s="149"/>
      <c r="Q34" s="149"/>
      <c r="R34" s="149"/>
      <c r="S34" s="148" t="s">
        <v>87</v>
      </c>
      <c r="T34" s="148"/>
      <c r="U34" s="148"/>
      <c r="V34" s="150"/>
      <c r="W34" s="151" t="s">
        <v>93</v>
      </c>
      <c r="X34" s="151"/>
      <c r="Y34" s="151"/>
      <c r="Z34" s="151"/>
      <c r="AA34" s="151" t="s">
        <v>92</v>
      </c>
      <c r="AB34" s="151"/>
      <c r="AC34" s="151"/>
      <c r="AD34" s="151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133"/>
      <c r="AS34" s="133"/>
      <c r="AT34" s="134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152" t="s">
        <v>80</v>
      </c>
      <c r="L35" s="151"/>
      <c r="M35" s="151"/>
      <c r="N35" s="51"/>
      <c r="O35" s="151" t="s">
        <v>83</v>
      </c>
      <c r="P35" s="151"/>
      <c r="Q35" s="151"/>
      <c r="R35" s="151"/>
      <c r="S35" s="151" t="s">
        <v>88</v>
      </c>
      <c r="T35" s="151"/>
      <c r="U35" s="151"/>
      <c r="V35" s="153"/>
      <c r="W35" s="151" t="s">
        <v>97</v>
      </c>
      <c r="X35" s="151"/>
      <c r="Y35" s="151"/>
      <c r="Z35" s="151"/>
      <c r="AA35" s="151" t="s">
        <v>88</v>
      </c>
      <c r="AB35" s="151"/>
      <c r="AC35" s="151"/>
      <c r="AD35" s="151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133"/>
      <c r="AS35" s="133"/>
      <c r="AT35" s="134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152" t="s">
        <v>76</v>
      </c>
      <c r="L36" s="151"/>
      <c r="M36" s="151"/>
      <c r="N36" s="51"/>
      <c r="O36" s="151" t="s">
        <v>84</v>
      </c>
      <c r="P36" s="151"/>
      <c r="Q36" s="151"/>
      <c r="R36" s="151"/>
      <c r="S36" s="151" t="s">
        <v>89</v>
      </c>
      <c r="T36" s="151"/>
      <c r="U36" s="151"/>
      <c r="V36" s="153"/>
      <c r="W36" s="151" t="s">
        <v>98</v>
      </c>
      <c r="X36" s="151"/>
      <c r="Y36" s="151"/>
      <c r="Z36" s="151"/>
      <c r="AA36" s="151" t="s">
        <v>94</v>
      </c>
      <c r="AB36" s="151"/>
      <c r="AC36" s="151"/>
      <c r="AD36" s="151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133"/>
      <c r="AS36" s="133"/>
      <c r="AT36" s="134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152" t="s">
        <v>77</v>
      </c>
      <c r="L37" s="151"/>
      <c r="M37" s="151"/>
      <c r="N37" s="51"/>
      <c r="O37" s="151" t="s">
        <v>85</v>
      </c>
      <c r="P37" s="151"/>
      <c r="Q37" s="151"/>
      <c r="R37" s="151"/>
      <c r="S37" s="151" t="s">
        <v>88</v>
      </c>
      <c r="T37" s="151"/>
      <c r="U37" s="151"/>
      <c r="V37" s="153"/>
      <c r="W37" s="151" t="s">
        <v>94</v>
      </c>
      <c r="X37" s="151"/>
      <c r="Y37" s="151"/>
      <c r="Z37" s="151"/>
      <c r="AA37" s="151" t="s">
        <v>88</v>
      </c>
      <c r="AB37" s="151"/>
      <c r="AC37" s="151"/>
      <c r="AD37" s="151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133"/>
      <c r="AS37" s="133"/>
      <c r="AT37" s="134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152" t="s">
        <v>78</v>
      </c>
      <c r="L38" s="151"/>
      <c r="M38" s="151"/>
      <c r="N38" s="51"/>
      <c r="O38" s="151" t="s">
        <v>82</v>
      </c>
      <c r="P38" s="151"/>
      <c r="Q38" s="151"/>
      <c r="R38" s="151"/>
      <c r="S38" s="151" t="s">
        <v>90</v>
      </c>
      <c r="T38" s="151"/>
      <c r="U38" s="151"/>
      <c r="V38" s="153"/>
      <c r="W38" s="151" t="s">
        <v>88</v>
      </c>
      <c r="X38" s="151"/>
      <c r="Y38" s="151"/>
      <c r="Z38" s="151"/>
      <c r="AA38" s="151" t="s">
        <v>95</v>
      </c>
      <c r="AB38" s="151"/>
      <c r="AC38" s="151"/>
      <c r="AD38" s="151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133"/>
      <c r="AS38" s="133"/>
      <c r="AT38" s="134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152" t="s">
        <v>79</v>
      </c>
      <c r="L42" s="151"/>
      <c r="M42" s="151"/>
      <c r="N42" s="51"/>
      <c r="O42" s="151" t="s">
        <v>86</v>
      </c>
      <c r="P42" s="151"/>
      <c r="Q42" s="151"/>
      <c r="R42" s="151"/>
      <c r="S42" s="151" t="s">
        <v>91</v>
      </c>
      <c r="T42" s="151"/>
      <c r="U42" s="151"/>
      <c r="V42" s="153"/>
      <c r="W42" s="151" t="s">
        <v>99</v>
      </c>
      <c r="X42" s="151"/>
      <c r="Y42" s="151"/>
      <c r="Z42" s="151"/>
      <c r="AA42" s="151" t="s">
        <v>96</v>
      </c>
      <c r="AB42" s="151"/>
      <c r="AC42" s="151"/>
      <c r="AD42" s="1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33"/>
      <c r="AS42" s="133"/>
      <c r="AT42" s="134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154">
        <v>0.75</v>
      </c>
      <c r="T43" s="154"/>
      <c r="U43" s="154"/>
      <c r="V43" s="155"/>
      <c r="W43" s="154">
        <v>0.5</v>
      </c>
      <c r="X43" s="154"/>
      <c r="Y43" s="154"/>
      <c r="Z43" s="154"/>
      <c r="AA43" s="154"/>
      <c r="AB43" s="154"/>
      <c r="AC43" s="154"/>
      <c r="AD43" s="154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3"/>
      <c r="AS43" s="133"/>
      <c r="AT43" s="134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3"/>
      <c r="AS44" s="133"/>
      <c r="AT44" s="134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33"/>
      <c r="AS47" s="133"/>
      <c r="AT47" s="134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33"/>
      <c r="AS50" s="133"/>
      <c r="AT50" s="134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3"/>
      <c r="AS51" s="133"/>
      <c r="AT51" s="134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3"/>
      <c r="AS52" s="133"/>
      <c r="AT52" s="134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3"/>
      <c r="AS53" s="133"/>
      <c r="AT53" s="134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3"/>
      <c r="AS54" s="133"/>
      <c r="AT54" s="134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3"/>
      <c r="AS55" s="133"/>
      <c r="AT55" s="134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3"/>
      <c r="AS56" s="133"/>
      <c r="AT56" s="134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3"/>
      <c r="AS57" s="133"/>
      <c r="AT57" s="134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3"/>
      <c r="AS58" s="133"/>
      <c r="AT58" s="134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3"/>
      <c r="AS59" s="133"/>
      <c r="AT59" s="134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3"/>
      <c r="AS60" s="133"/>
      <c r="AT60" s="134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33"/>
      <c r="AS63" s="133"/>
      <c r="AT63" s="134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3"/>
      <c r="AS64" s="133"/>
      <c r="AT64" s="134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42"/>
      <c r="Q65" s="142"/>
      <c r="R65" s="68"/>
      <c r="S65" s="143"/>
      <c r="T65" s="143"/>
      <c r="U65" s="143"/>
      <c r="V65" s="51"/>
      <c r="W65" s="144"/>
      <c r="X65" s="144"/>
      <c r="Y65" s="144"/>
      <c r="Z65" s="143"/>
      <c r="AA65" s="143"/>
      <c r="AB65" s="143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33"/>
      <c r="AS65" s="133"/>
      <c r="AT65" s="134"/>
      <c r="AU65" s="9"/>
      <c r="AV65" s="9"/>
    </row>
    <row r="66" spans="1:48" s="10" customFormat="1" ht="24" customHeight="1">
      <c r="A66" s="9"/>
      <c r="B66" s="130" t="s">
        <v>58</v>
      </c>
      <c r="C66" s="131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1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B66:AT66"/>
    <mergeCell ref="AR64:AT64"/>
    <mergeCell ref="P65:Q65"/>
    <mergeCell ref="S65:U65"/>
    <mergeCell ref="W65:Y65"/>
    <mergeCell ref="Z65:AB65"/>
    <mergeCell ref="AR65:AT65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B21:AT21"/>
    <mergeCell ref="B22:P22"/>
    <mergeCell ref="Q22:AE22"/>
    <mergeCell ref="AF22:AT22"/>
    <mergeCell ref="B30:AI30"/>
    <mergeCell ref="AJ30:AT30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BTF</vt:lpstr>
      <vt:lpstr>160713</vt:lpstr>
      <vt:lpstr>160427</vt:lpstr>
      <vt:lpstr>160318</vt:lpstr>
      <vt:lpstr>Sheet1</vt:lpstr>
      <vt:lpstr>160125</vt:lpstr>
      <vt:lpstr>150410</vt:lpstr>
      <vt:lpstr>'150410'!Print_Area</vt:lpstr>
      <vt:lpstr>'160125'!Print_Area</vt:lpstr>
      <vt:lpstr>'160318'!Print_Area</vt:lpstr>
      <vt:lpstr>'160427'!Print_Area</vt:lpstr>
      <vt:lpstr>'160713'!Print_Area</vt:lpstr>
      <vt:lpstr>BTF!Print_Area</vt:lpstr>
      <vt:lpstr>'150410'!Print_Titles</vt:lpstr>
      <vt:lpstr>'160125'!Print_Titles</vt:lpstr>
      <vt:lpstr>'160318'!Print_Titles</vt:lpstr>
      <vt:lpstr>'160427'!Print_Titles</vt:lpstr>
      <vt:lpstr>'160713'!Print_Titles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2016-07-16T15:02:18Z</cp:lastPrinted>
  <dcterms:created xsi:type="dcterms:W3CDTF">2002-03-24T05:26:10Z</dcterms:created>
  <dcterms:modified xsi:type="dcterms:W3CDTF">2016-07-16T15:03:13Z</dcterms:modified>
</cp:coreProperties>
</file>