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ASJ\"/>
    </mc:Choice>
  </mc:AlternateContent>
  <bookViews>
    <workbookView xWindow="0" yWindow="0" windowWidth="20490" windowHeight="7065" activeTab="1"/>
  </bookViews>
  <sheets>
    <sheet name="BTF" sheetId="2" r:id="rId1"/>
    <sheet name="Delivery Schedule" sheetId="4" r:id="rId2"/>
    <sheet name="Sheet1" sheetId="3" r:id="rId3"/>
  </sheets>
  <definedNames>
    <definedName name="_xlnm.Print_Area" localSheetId="0">BTF!$B$1:$AV$71</definedName>
    <definedName name="_xlnm.Print_Area" localSheetId="1">'Delivery Schedule'!$B$2:$N$30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4" l="1"/>
  <c r="E15" i="4"/>
  <c r="F15" i="4"/>
  <c r="G15" i="4"/>
  <c r="D8" i="4"/>
  <c r="K29" i="4" l="1"/>
  <c r="L29" i="4"/>
  <c r="M29" i="4"/>
  <c r="J29" i="4"/>
  <c r="K23" i="4"/>
  <c r="L23" i="4"/>
  <c r="M23" i="4"/>
  <c r="J23" i="4"/>
  <c r="K17" i="4"/>
  <c r="L17" i="4"/>
  <c r="M17" i="4"/>
  <c r="J17" i="4"/>
  <c r="K10" i="4"/>
  <c r="L10" i="4"/>
  <c r="M10" i="4"/>
  <c r="J10" i="4"/>
  <c r="D21" i="4"/>
  <c r="G8" i="4"/>
  <c r="H28" i="4" l="1"/>
  <c r="H27" i="4"/>
  <c r="H22" i="4"/>
  <c r="H21" i="4"/>
  <c r="H16" i="4"/>
  <c r="H8" i="4"/>
  <c r="H9" i="4"/>
  <c r="D27" i="4"/>
  <c r="E8" i="4"/>
  <c r="F8" i="4"/>
  <c r="E27" i="4"/>
  <c r="F27" i="4"/>
  <c r="G27" i="4"/>
  <c r="G21" i="4"/>
  <c r="E21" i="4"/>
  <c r="F21" i="4"/>
  <c r="H15" i="4" l="1"/>
  <c r="N17" i="4"/>
  <c r="N10" i="4"/>
  <c r="N29" i="4" l="1"/>
  <c r="N23" i="4"/>
</calcChain>
</file>

<file path=xl/comments1.xml><?xml version="1.0" encoding="utf-8"?>
<comments xmlns="http://schemas.openxmlformats.org/spreadsheetml/2006/main">
  <authors>
    <author>Rosli Ahmad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Add request 500K not possible to do-master carton no add capacity
1598M 300K
874M 200K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Add request 500K not possible to do-master carton no add capacity
1598M 300K
874M 200K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Add request 500K not possible to do-master carton no add capacity
1598M 300K
874M 200K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Add request 500K not possible to do-master carton no add capacity
1598M 300K
874M 200K</t>
        </r>
      </text>
    </comment>
  </commentList>
</comments>
</file>

<file path=xl/sharedStrings.xml><?xml version="1.0" encoding="utf-8"?>
<sst xmlns="http://schemas.openxmlformats.org/spreadsheetml/2006/main" count="235" uniqueCount="156">
  <si>
    <t/>
  </si>
  <si>
    <t>出張先 Customer</t>
  </si>
  <si>
    <t>相手先　  面談者  Attendance</t>
  </si>
  <si>
    <t>出張目的 Visit Purpose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</si>
  <si>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</si>
  <si>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</si>
  <si>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</si>
  <si>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</si>
  <si>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</si>
  <si>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</si>
  <si>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</si>
  <si>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</si>
  <si>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</si>
  <si>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</si>
  <si>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</si>
  <si>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</si>
  <si>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</si>
  <si>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</si>
  <si>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</si>
  <si>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</si>
  <si>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</si>
  <si>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</si>
  <si>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</si>
  <si>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</si>
  <si>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ロスリー　アフマド　 　　           　Rosli Ahmad</t>
  </si>
  <si>
    <t>Month</t>
  </si>
  <si>
    <t>ETD</t>
  </si>
  <si>
    <t>7910M</t>
  </si>
  <si>
    <t>3080M</t>
  </si>
  <si>
    <t>1598M</t>
  </si>
  <si>
    <t>874M</t>
  </si>
  <si>
    <t>Total</t>
  </si>
  <si>
    <t>M[M]</t>
  </si>
  <si>
    <t>[0402]</t>
  </si>
  <si>
    <t>[0603]</t>
  </si>
  <si>
    <t>[0805]</t>
  </si>
  <si>
    <t>[1206]</t>
  </si>
  <si>
    <t>Done</t>
  </si>
  <si>
    <t>Forecast</t>
  </si>
  <si>
    <t>Dec-16</t>
  </si>
  <si>
    <t>30-Nov</t>
  </si>
  <si>
    <t>08-Dec</t>
  </si>
  <si>
    <t>15-Dec</t>
  </si>
  <si>
    <t>22-Dec</t>
  </si>
  <si>
    <t>Jan-17</t>
  </si>
  <si>
    <t>29-Dec</t>
  </si>
  <si>
    <t>05-Jan</t>
  </si>
  <si>
    <t>12-Jan</t>
  </si>
  <si>
    <t>19-Jan</t>
  </si>
  <si>
    <t>26-Jan</t>
  </si>
  <si>
    <t>Feb-17</t>
  </si>
  <si>
    <t>31-Jan</t>
  </si>
  <si>
    <t>09-Feb</t>
  </si>
  <si>
    <t>16-Feb</t>
  </si>
  <si>
    <t>23-Feb</t>
  </si>
  <si>
    <t>Mar-17</t>
  </si>
  <si>
    <t>28-Feb</t>
  </si>
  <si>
    <t>06-Mar</t>
  </si>
  <si>
    <t>16-Mar</t>
  </si>
  <si>
    <t>23-Mar</t>
  </si>
  <si>
    <t>30-Mar</t>
  </si>
  <si>
    <t>Mr. Sivakumar</t>
  </si>
  <si>
    <t>ASJ Components (M) Sdn.Bhd</t>
  </si>
  <si>
    <t>Ms. Sun (Pur. Mgr)</t>
  </si>
  <si>
    <t>Mr. Azlan (Prod.Eng)</t>
  </si>
  <si>
    <t>■</t>
  </si>
  <si>
    <t xml:space="preserve">❶ </t>
  </si>
  <si>
    <t>Shallow slit line (KF return goods 592K)</t>
  </si>
  <si>
    <t>❸</t>
  </si>
  <si>
    <t>New angle spec toincrease ranking yield from 50% to 80%</t>
  </si>
  <si>
    <t xml:space="preserve"> Min quantity/rank 3.2K/division ==&gt; 4.8K/division</t>
  </si>
  <si>
    <t xml:space="preserve">Additional order Dec - Feb </t>
  </si>
  <si>
    <t>Budget 2017</t>
  </si>
  <si>
    <r>
      <t>❷</t>
    </r>
    <r>
      <rPr>
        <sz val="13.75"/>
        <color theme="1"/>
        <rFont val="Tahoma"/>
        <family val="2"/>
      </rPr>
      <t xml:space="preserve"> </t>
    </r>
  </si>
  <si>
    <t>Submit new angle spec 500pcs. Mr. Izham (production) will arrange the test. His most worry is the impect to printing position.</t>
  </si>
  <si>
    <t>especially they don't have much knowledge and understanding on angle issue. I keep explained this new angle spec will increase</t>
  </si>
  <si>
    <t>ranking yield from 50% to 80%. With new agle spec MARUWA will be able to increase min quantity 3.2K/division to 4.8K/divison</t>
  </si>
  <si>
    <t>as ASJ requested. Further more 7910M order had increase from 200K to 600K and new angle spec with ensure MARUWA be able</t>
  </si>
  <si>
    <t>to support ASJ required quantity.</t>
  </si>
  <si>
    <t>Sample A</t>
  </si>
  <si>
    <t>Sample B</t>
  </si>
  <si>
    <t>Sample C</t>
  </si>
  <si>
    <t>Sample D</t>
  </si>
  <si>
    <t>Sample E</t>
  </si>
  <si>
    <t>84L</t>
  </si>
  <si>
    <t>84R</t>
  </si>
  <si>
    <t>84</t>
  </si>
  <si>
    <t>-0.05 ~ +0.03</t>
  </si>
  <si>
    <t>-0.03 ~ +0.05</t>
  </si>
  <si>
    <t xml:space="preserve"> 0.00 ~ -0.03</t>
  </si>
  <si>
    <t xml:space="preserve"> 0.00 ~ +0.03</t>
  </si>
  <si>
    <t>-0.03 ~ -0.05</t>
  </si>
  <si>
    <t>+0.03 ~ +0.05</t>
  </si>
  <si>
    <t>Sample Not Available</t>
  </si>
  <si>
    <t>If there are still issue not understanding angle spec, Mr Izham and team might be coming over to MARUWA on 23-Dec.</t>
  </si>
  <si>
    <t xml:space="preserve">Since Mr. Azlan on leave for 1 week, Mr. Jovi is following up the sample. He did not telling the sample result BUT request bigger </t>
  </si>
  <si>
    <t>quantity to be test (10 lots x 200pcs = 2,000pcs) rather than approve base on 200pcs test sample. I agreed to prepare 2Kpcs</t>
  </si>
  <si>
    <t>sample submit by 21-Dec (Mr. Jovi give commitment to complete the test by 2nd week Jan.</t>
  </si>
  <si>
    <t>Basically Mr. Izham and Mr. Jovi agreed by calculation printing test sample will show ok, but test still needed for approval.</t>
  </si>
  <si>
    <t>I agree to change to 4.8K/division only after new angle spec approve.</t>
  </si>
  <si>
    <t>Ms. Sun requested 1598M 200K and 874M 200K additional quantity in Dec to top-up safety stock (Nov ASJ produce 11B).</t>
  </si>
  <si>
    <t>I did not accept additional shipment because lead-time was too short. I agreed to increase shipment quantity in Jan and Feb.</t>
  </si>
  <si>
    <t>Product</t>
  </si>
  <si>
    <t>8-Dec</t>
  </si>
  <si>
    <t>100.8K</t>
  </si>
  <si>
    <t>150.4K</t>
  </si>
  <si>
    <t>502.4K</t>
  </si>
  <si>
    <t>100K</t>
  </si>
  <si>
    <t>200K</t>
  </si>
  <si>
    <t>300K</t>
  </si>
  <si>
    <t>150K</t>
  </si>
  <si>
    <t>500K</t>
  </si>
  <si>
    <t>350K</t>
  </si>
  <si>
    <t>550K</t>
  </si>
  <si>
    <t>1600K</t>
  </si>
  <si>
    <t>2902.4K</t>
  </si>
  <si>
    <t>5-Jan</t>
  </si>
  <si>
    <t>600K</t>
  </si>
  <si>
    <t>400K</t>
  </si>
  <si>
    <t>3000K</t>
  </si>
  <si>
    <t>Feb</t>
  </si>
  <si>
    <t>BUDGET 2017</t>
  </si>
  <si>
    <t>ASJ maximum produce raech to 11B in Nov. Minimum will produce 10B.</t>
  </si>
  <si>
    <t>950K</t>
  </si>
  <si>
    <t>510K</t>
  </si>
  <si>
    <t>660K</t>
  </si>
  <si>
    <t>1700K</t>
  </si>
  <si>
    <t>3820K</t>
  </si>
  <si>
    <t>7.5B</t>
  </si>
  <si>
    <t>1.57B</t>
  </si>
  <si>
    <t>1.05B</t>
  </si>
  <si>
    <t>1.48B</t>
  </si>
  <si>
    <t>11.6B</t>
  </si>
  <si>
    <t>M[M] 2017</t>
  </si>
  <si>
    <t>[78%]</t>
  </si>
  <si>
    <t>Subs/Mth</t>
  </si>
  <si>
    <t>Cap/Mth</t>
  </si>
  <si>
    <t>ADDITIONAL QTY DEC -FEB</t>
  </si>
  <si>
    <t>7910M NEW ANGLE SPEC</t>
  </si>
  <si>
    <t>7910M SHALLOW SLIT SAMPLE [KUNSHAN-F RETURN 600KPCS]</t>
  </si>
  <si>
    <t>7910M MIN QTY/DIVISION 3.2K =&gt; 4.8K</t>
  </si>
  <si>
    <r>
      <rPr>
        <sz val="10"/>
        <color theme="1"/>
        <rFont val="Calibri"/>
        <family val="2"/>
      </rPr>
      <t>※</t>
    </r>
    <r>
      <rPr>
        <sz val="10"/>
        <color theme="1"/>
        <rFont val="Tahoma"/>
        <family val="2"/>
      </rPr>
      <t xml:space="preserve"> </t>
    </r>
  </si>
  <si>
    <t>New plant 3 stories contruction started complete in 20 months/Oct'18 with capacity 20B + 10B current = 30B New Capacity.</t>
  </si>
  <si>
    <t>0201 no slit and chip array type plan to transfer from Ralec China to new plant.</t>
  </si>
  <si>
    <t>ASJ will end with 30B capacity by 2019 once new plant completed by year 2018. ASJ asking MARUWA increase production plan to</t>
  </si>
  <si>
    <t xml:space="preserve">ensure that can support ASJ at min 70% substrate supply monthly. Eventhough additional 20B New Plant from Ralec China transfer </t>
  </si>
  <si>
    <t>MARUWA need to be prepare because No Slit Product and Chip Array (High Value Product) among product to be trasnfer.</t>
  </si>
  <si>
    <t>603.2k</t>
  </si>
  <si>
    <t>800K</t>
  </si>
  <si>
    <t>1650K</t>
  </si>
  <si>
    <t>3252.2K</t>
  </si>
  <si>
    <t>509.6K</t>
  </si>
  <si>
    <t>1800K</t>
  </si>
  <si>
    <t>2909.6K</t>
  </si>
  <si>
    <t>601.6K</t>
  </si>
  <si>
    <t>3101.6K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</si>
</sst>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theme="1"/>
      <name val="MS UI Gothic"/>
      <family val="2"/>
    </font>
    <font>
      <sz val="12"/>
      <color rgb="FF000000"/>
      <name val="MS UI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.75"/>
      <color theme="1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ed">
        <color rgb="FFFF0000"/>
      </top>
      <bottom/>
      <diagonal/>
    </border>
    <border>
      <left/>
      <right style="medium">
        <color indexed="64"/>
      </right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 style="medium">
        <color indexed="64"/>
      </left>
      <right style="medium">
        <color indexed="64"/>
      </right>
      <top/>
      <bottom style="mediumDashed">
        <color rgb="FFFF0000"/>
      </bottom>
      <diagonal/>
    </border>
    <border>
      <left/>
      <right style="medium">
        <color indexed="64"/>
      </right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Dashed">
        <color rgb="FFFF0000"/>
      </bottom>
      <diagonal/>
    </border>
    <border>
      <left/>
      <right style="medium">
        <color indexed="64"/>
      </right>
      <top style="medium">
        <color theme="1"/>
      </top>
      <bottom style="mediumDashed">
        <color rgb="FFFF0000"/>
      </bottom>
      <diagonal/>
    </border>
    <border>
      <left/>
      <right style="medium">
        <color theme="1"/>
      </right>
      <top style="medium">
        <color theme="1"/>
      </top>
      <bottom style="mediumDashed">
        <color rgb="FFFF0000"/>
      </bottom>
      <diagonal/>
    </border>
    <border>
      <left style="medium">
        <color theme="1"/>
      </left>
      <right style="medium">
        <color indexed="64"/>
      </right>
      <top style="mediumDashed">
        <color rgb="FFFF0000"/>
      </top>
      <bottom/>
      <diagonal/>
    </border>
    <border>
      <left/>
      <right style="medium">
        <color theme="1"/>
      </right>
      <top style="mediumDashed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Dashed">
        <color rgb="FFFF0000"/>
      </bottom>
      <diagonal/>
    </border>
    <border>
      <left style="medium">
        <color theme="1"/>
      </left>
      <right style="medium">
        <color indexed="64"/>
      </right>
      <top/>
      <bottom style="mediumDashed">
        <color rgb="FFFF0000"/>
      </bottom>
      <diagonal/>
    </border>
    <border>
      <left/>
      <right style="medium">
        <color theme="1"/>
      </right>
      <top/>
      <bottom style="mediumDashed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49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7" fillId="0" borderId="0" xfId="1" applyFont="1" applyBorder="1" applyAlignment="1"/>
    <xf numFmtId="0" fontId="4" fillId="0" borderId="7" xfId="1" applyFont="1" applyBorder="1">
      <alignment vertical="center"/>
    </xf>
    <xf numFmtId="0" fontId="9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6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3" fillId="0" borderId="1" xfId="1" quotePrefix="1" applyNumberFormat="1" applyFont="1" applyBorder="1" applyAlignment="1">
      <alignment horizontal="left" vertical="center"/>
    </xf>
    <xf numFmtId="0" fontId="4" fillId="0" borderId="8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4" fillId="0" borderId="0" xfId="1" applyFont="1" applyBorder="1" applyAlignment="1">
      <alignment horizontal="center" vertical="center"/>
    </xf>
    <xf numFmtId="0" fontId="11" fillId="4" borderId="0" xfId="0" applyFont="1" applyFill="1"/>
    <xf numFmtId="0" fontId="11" fillId="0" borderId="0" xfId="0" applyFont="1"/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right" vertical="center" wrapText="1"/>
    </xf>
    <xf numFmtId="0" fontId="12" fillId="0" borderId="6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right" vertical="center" wrapText="1"/>
    </xf>
    <xf numFmtId="3" fontId="12" fillId="6" borderId="8" xfId="0" applyNumberFormat="1" applyFont="1" applyFill="1" applyBorder="1" applyAlignment="1">
      <alignment horizontal="right" vertical="center" wrapText="1"/>
    </xf>
    <xf numFmtId="3" fontId="12" fillId="0" borderId="8" xfId="0" applyNumberFormat="1" applyFont="1" applyBorder="1" applyAlignment="1">
      <alignment horizontal="right" vertical="center" wrapText="1"/>
    </xf>
    <xf numFmtId="0" fontId="12" fillId="0" borderId="12" xfId="0" applyFont="1" applyBorder="1" applyAlignment="1">
      <alignment horizontal="center" vertical="center" wrapText="1"/>
    </xf>
    <xf numFmtId="3" fontId="12" fillId="0" borderId="13" xfId="0" applyNumberFormat="1" applyFont="1" applyBorder="1" applyAlignment="1">
      <alignment horizontal="right" vertical="center" wrapText="1"/>
    </xf>
    <xf numFmtId="0" fontId="12" fillId="0" borderId="13" xfId="0" applyFont="1" applyBorder="1" applyAlignment="1">
      <alignment horizontal="right" vertical="center" wrapText="1"/>
    </xf>
    <xf numFmtId="0" fontId="11" fillId="4" borderId="14" xfId="0" applyFont="1" applyFill="1" applyBorder="1"/>
    <xf numFmtId="0" fontId="11" fillId="4" borderId="0" xfId="0" applyFont="1" applyFill="1" applyBorder="1"/>
    <xf numFmtId="0" fontId="12" fillId="0" borderId="10" xfId="0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right" vertical="center" wrapText="1"/>
    </xf>
    <xf numFmtId="0" fontId="12" fillId="6" borderId="10" xfId="0" applyFont="1" applyFill="1" applyBorder="1" applyAlignment="1">
      <alignment horizontal="center" vertical="center" wrapText="1"/>
    </xf>
    <xf numFmtId="3" fontId="12" fillId="0" borderId="16" xfId="0" applyNumberFormat="1" applyFont="1" applyBorder="1" applyAlignment="1">
      <alignment horizontal="right" vertical="center" wrapText="1"/>
    </xf>
    <xf numFmtId="0" fontId="11" fillId="4" borderId="17" xfId="0" applyFont="1" applyFill="1" applyBorder="1"/>
    <xf numFmtId="3" fontId="11" fillId="4" borderId="17" xfId="0" applyNumberFormat="1" applyFont="1" applyFill="1" applyBorder="1"/>
    <xf numFmtId="0" fontId="12" fillId="4" borderId="11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3" fontId="12" fillId="4" borderId="16" xfId="0" applyNumberFormat="1" applyFont="1" applyFill="1" applyBorder="1" applyAlignment="1">
      <alignment horizontal="right" vertical="center" wrapText="1"/>
    </xf>
    <xf numFmtId="0" fontId="12" fillId="4" borderId="16" xfId="0" applyFont="1" applyFill="1" applyBorder="1" applyAlignment="1">
      <alignment horizontal="right" vertical="center" wrapText="1"/>
    </xf>
    <xf numFmtId="3" fontId="12" fillId="4" borderId="13" xfId="0" applyNumberFormat="1" applyFont="1" applyFill="1" applyBorder="1" applyAlignment="1">
      <alignment horizontal="right" vertical="center" wrapText="1"/>
    </xf>
    <xf numFmtId="0" fontId="12" fillId="4" borderId="13" xfId="0" applyFont="1" applyFill="1" applyBorder="1" applyAlignment="1">
      <alignment horizontal="right" vertical="center" wrapText="1"/>
    </xf>
    <xf numFmtId="3" fontId="12" fillId="4" borderId="6" xfId="0" applyNumberFormat="1" applyFont="1" applyFill="1" applyBorder="1" applyAlignment="1">
      <alignment horizontal="right" vertical="center" wrapText="1"/>
    </xf>
    <xf numFmtId="0" fontId="12" fillId="4" borderId="6" xfId="0" applyFont="1" applyFill="1" applyBorder="1" applyAlignment="1">
      <alignment horizontal="right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righ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4" fillId="0" borderId="3" xfId="1" quotePrefix="1" applyFont="1" applyBorder="1">
      <alignment vertical="center"/>
    </xf>
    <xf numFmtId="0" fontId="4" fillId="0" borderId="0" xfId="1" quotePrefix="1" applyFont="1" applyBorder="1">
      <alignment vertical="center"/>
    </xf>
    <xf numFmtId="0" fontId="16" fillId="0" borderId="5" xfId="1" applyFont="1" applyBorder="1" applyAlignment="1">
      <alignment vertical="center"/>
    </xf>
    <xf numFmtId="0" fontId="16" fillId="0" borderId="5" xfId="1" applyFont="1" applyBorder="1">
      <alignment vertical="center"/>
    </xf>
    <xf numFmtId="0" fontId="17" fillId="0" borderId="0" xfId="1" applyFont="1" applyBorder="1">
      <alignment vertical="center"/>
    </xf>
    <xf numFmtId="0" fontId="4" fillId="0" borderId="5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 wrapText="1"/>
    </xf>
    <xf numFmtId="3" fontId="11" fillId="4" borderId="0" xfId="0" applyNumberFormat="1" applyFont="1" applyFill="1" applyBorder="1"/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right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right" vertical="center" wrapText="1"/>
    </xf>
    <xf numFmtId="0" fontId="12" fillId="6" borderId="22" xfId="0" applyFont="1" applyFill="1" applyBorder="1" applyAlignment="1">
      <alignment horizontal="center" vertical="center" wrapText="1"/>
    </xf>
    <xf numFmtId="3" fontId="12" fillId="6" borderId="23" xfId="0" applyNumberFormat="1" applyFont="1" applyFill="1" applyBorder="1" applyAlignment="1">
      <alignment horizontal="right" vertical="center" wrapText="1"/>
    </xf>
    <xf numFmtId="0" fontId="12" fillId="4" borderId="24" xfId="0" applyFont="1" applyFill="1" applyBorder="1" applyAlignment="1">
      <alignment horizontal="center" vertical="center" wrapText="1"/>
    </xf>
    <xf numFmtId="3" fontId="12" fillId="4" borderId="25" xfId="0" applyNumberFormat="1" applyFont="1" applyFill="1" applyBorder="1" applyAlignment="1">
      <alignment horizontal="right" vertical="center" wrapText="1"/>
    </xf>
    <xf numFmtId="0" fontId="12" fillId="4" borderId="26" xfId="0" applyFont="1" applyFill="1" applyBorder="1" applyAlignment="1">
      <alignment horizontal="right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right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right" vertical="center" wrapText="1"/>
    </xf>
    <xf numFmtId="0" fontId="12" fillId="0" borderId="29" xfId="0" applyFont="1" applyBorder="1" applyAlignment="1">
      <alignment horizontal="center" vertical="center" wrapText="1"/>
    </xf>
    <xf numFmtId="3" fontId="12" fillId="0" borderId="30" xfId="0" applyNumberFormat="1" applyFont="1" applyBorder="1" applyAlignment="1">
      <alignment horizontal="right" vertical="center" wrapText="1"/>
    </xf>
    <xf numFmtId="0" fontId="12" fillId="0" borderId="30" xfId="0" applyFont="1" applyBorder="1" applyAlignment="1">
      <alignment horizontal="right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right" vertical="center" wrapText="1"/>
    </xf>
    <xf numFmtId="0" fontId="12" fillId="4" borderId="20" xfId="0" applyFont="1" applyFill="1" applyBorder="1" applyAlignment="1">
      <alignment horizontal="center" vertical="center" wrapText="1"/>
    </xf>
    <xf numFmtId="3" fontId="12" fillId="4" borderId="8" xfId="0" applyNumberFormat="1" applyFont="1" applyFill="1" applyBorder="1" applyAlignment="1">
      <alignment horizontal="right" vertical="center" wrapText="1"/>
    </xf>
    <xf numFmtId="0" fontId="12" fillId="4" borderId="21" xfId="0" applyFont="1" applyFill="1" applyBorder="1" applyAlignment="1">
      <alignment horizontal="right" vertical="center" wrapText="1"/>
    </xf>
    <xf numFmtId="16" fontId="4" fillId="0" borderId="0" xfId="1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16" fontId="4" fillId="0" borderId="0" xfId="1" applyNumberFormat="1" applyFont="1" applyBorder="1" applyAlignment="1">
      <alignment horizontal="right" vertical="center"/>
    </xf>
    <xf numFmtId="0" fontId="4" fillId="0" borderId="0" xfId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right" vertical="center" wrapText="1"/>
    </xf>
    <xf numFmtId="3" fontId="12" fillId="4" borderId="10" xfId="0" applyNumberFormat="1" applyFont="1" applyFill="1" applyBorder="1" applyAlignment="1">
      <alignment horizontal="right" vertical="center" wrapText="1"/>
    </xf>
    <xf numFmtId="0" fontId="12" fillId="4" borderId="10" xfId="0" applyFont="1" applyFill="1" applyBorder="1" applyAlignment="1">
      <alignment horizontal="right" vertical="center" wrapText="1"/>
    </xf>
    <xf numFmtId="0" fontId="12" fillId="5" borderId="33" xfId="0" applyFont="1" applyFill="1" applyBorder="1" applyAlignment="1">
      <alignment horizontal="center" vertical="center" wrapText="1"/>
    </xf>
    <xf numFmtId="3" fontId="12" fillId="5" borderId="34" xfId="0" applyNumberFormat="1" applyFont="1" applyFill="1" applyBorder="1" applyAlignment="1">
      <alignment horizontal="right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34</xdr:col>
      <xdr:colOff>38100</xdr:colOff>
      <xdr:row>14</xdr:row>
      <xdr:rowOff>114300</xdr:rowOff>
    </xdr:from>
    <xdr:to>
      <xdr:col>47</xdr:col>
      <xdr:colOff>123825</xdr:colOff>
      <xdr:row>20</xdr:row>
      <xdr:rowOff>133350</xdr:rowOff>
    </xdr:to>
    <xdr:sp macro="" textlink="">
      <xdr:nvSpPr>
        <xdr:cNvPr id="7" name="AutoShape 1"/>
        <xdr:cNvSpPr>
          <a:spLocks noChangeArrowheads="1"/>
        </xdr:cNvSpPr>
      </xdr:nvSpPr>
      <xdr:spPr bwMode="auto">
        <a:xfrm>
          <a:off x="5867400" y="2686050"/>
          <a:ext cx="2143125" cy="1104900"/>
        </a:xfrm>
        <a:prstGeom prst="roundRect">
          <a:avLst>
            <a:gd name="adj" fmla="val 16667"/>
          </a:avLst>
        </a:prstGeom>
        <a:solidFill>
          <a:schemeClr val="accent2">
            <a:lumMod val="20000"/>
            <a:lumOff val="80000"/>
          </a:schemeClr>
        </a:solidFill>
        <a:ln w="222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報告的注意点！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先写不好的消息！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写事実</a:t>
          </a: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!!</a:t>
          </a:r>
        </a:p>
        <a:p>
          <a:pPr algn="l" rtl="0">
            <a:defRPr sz="1000"/>
          </a:pP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</a:t>
          </a:r>
          <a:r>
            <a:rPr lang="ja-JP" altLang="en-GB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先写結論！！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簡潔明確！具体的！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E71"/>
  <sheetViews>
    <sheetView topLeftCell="A49" zoomScale="125" zoomScaleNormal="125" workbookViewId="0">
      <selection activeCell="AV10" sqref="AV10"/>
    </sheetView>
  </sheetViews>
  <sheetFormatPr defaultColWidth="2.5703125" defaultRowHeight="14.25"/>
  <cols>
    <col min="1" max="1" width="2.5703125" style="4"/>
    <col min="2" max="48" width="2.5703125" style="4" customWidth="1"/>
    <col min="49" max="16384" width="2.5703125" style="4"/>
  </cols>
  <sheetData>
    <row r="1" spans="2:57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03" t="s">
        <v>11</v>
      </c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3"/>
      <c r="AK1" s="21" t="s">
        <v>18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2:57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3"/>
      <c r="AK2" s="3" t="s">
        <v>10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7" t="s">
        <v>6</v>
      </c>
    </row>
    <row r="3" spans="2:57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3"/>
      <c r="AK3" s="3" t="s">
        <v>9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7" t="s">
        <v>7</v>
      </c>
    </row>
    <row r="4" spans="2:57" ht="14.25" customHeight="1">
      <c r="B4" s="104" t="s">
        <v>14</v>
      </c>
      <c r="C4" s="104"/>
      <c r="D4" s="104"/>
      <c r="E4" s="104"/>
      <c r="F4" s="104"/>
      <c r="G4" s="123">
        <v>42717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3"/>
      <c r="S4" s="105" t="s">
        <v>12</v>
      </c>
      <c r="T4" s="105"/>
      <c r="U4" s="105"/>
      <c r="V4" s="105"/>
      <c r="W4" s="105"/>
      <c r="X4" s="108" t="s">
        <v>24</v>
      </c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3"/>
      <c r="AK4" s="3" t="s">
        <v>8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7" t="s">
        <v>19</v>
      </c>
      <c r="BE4" s="1"/>
    </row>
    <row r="5" spans="2:57" ht="14.25" customHeight="1">
      <c r="B5" s="104"/>
      <c r="C5" s="104"/>
      <c r="D5" s="104"/>
      <c r="E5" s="104"/>
      <c r="F5" s="104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3"/>
      <c r="S5" s="105"/>
      <c r="T5" s="105"/>
      <c r="U5" s="105"/>
      <c r="V5" s="105"/>
      <c r="W5" s="105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10"/>
      <c r="BE5" s="1"/>
    </row>
    <row r="6" spans="2:57" ht="14.25" customHeight="1" thickBot="1">
      <c r="B6" s="104"/>
      <c r="C6" s="104"/>
      <c r="D6" s="104"/>
      <c r="E6" s="104"/>
      <c r="F6" s="104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3"/>
      <c r="S6" s="106"/>
      <c r="T6" s="106"/>
      <c r="U6" s="106"/>
      <c r="V6" s="106"/>
      <c r="W6" s="106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3"/>
      <c r="AK6" s="8" t="s">
        <v>15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10"/>
    </row>
    <row r="7" spans="2:57" ht="14.25" customHeight="1">
      <c r="B7" s="116" t="s">
        <v>5</v>
      </c>
      <c r="C7" s="116"/>
      <c r="D7" s="116"/>
      <c r="E7" s="116"/>
      <c r="F7" s="116"/>
      <c r="G7" s="10"/>
      <c r="H7" s="121" t="s">
        <v>21</v>
      </c>
      <c r="I7" s="121"/>
      <c r="J7" s="121"/>
      <c r="K7" s="3"/>
      <c r="L7" s="122" t="s">
        <v>22</v>
      </c>
      <c r="M7" s="122"/>
      <c r="N7" s="122"/>
      <c r="O7" s="3"/>
      <c r="P7" s="3"/>
      <c r="Q7" s="3"/>
      <c r="R7" s="3"/>
      <c r="S7" s="107" t="s">
        <v>13</v>
      </c>
      <c r="T7" s="107"/>
      <c r="U7" s="107"/>
      <c r="V7" s="107"/>
      <c r="W7" s="107"/>
      <c r="X7" s="12"/>
      <c r="Y7" s="12" t="s">
        <v>61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3"/>
      <c r="AK7" s="5" t="s">
        <v>23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10"/>
    </row>
    <row r="8" spans="2:57" ht="14.25" customHeight="1">
      <c r="B8" s="116"/>
      <c r="C8" s="116"/>
      <c r="D8" s="116"/>
      <c r="E8" s="116"/>
      <c r="F8" s="116"/>
      <c r="G8" s="10"/>
      <c r="H8" s="121"/>
      <c r="I8" s="121"/>
      <c r="J8" s="121"/>
      <c r="K8" s="36"/>
      <c r="L8" s="122"/>
      <c r="M8" s="122"/>
      <c r="N8" s="122"/>
      <c r="O8" s="3"/>
      <c r="P8" s="3"/>
      <c r="Q8" s="3"/>
      <c r="R8" s="3"/>
      <c r="S8" s="105"/>
      <c r="T8" s="105"/>
      <c r="U8" s="105"/>
      <c r="V8" s="105"/>
      <c r="W8" s="105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11" t="s">
        <v>16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10"/>
    </row>
    <row r="9" spans="2:57" ht="14.25" customHeight="1" thickBot="1">
      <c r="B9" s="116"/>
      <c r="C9" s="116"/>
      <c r="D9" s="116"/>
      <c r="E9" s="116"/>
      <c r="F9" s="116"/>
      <c r="G9" s="10"/>
      <c r="H9" s="121"/>
      <c r="I9" s="121"/>
      <c r="J9" s="121"/>
      <c r="K9" s="3"/>
      <c r="L9" s="122"/>
      <c r="M9" s="122"/>
      <c r="N9" s="122"/>
      <c r="O9" s="3"/>
      <c r="P9" s="3"/>
      <c r="Q9" s="3"/>
      <c r="R9" s="3"/>
      <c r="S9" s="106"/>
      <c r="T9" s="106"/>
      <c r="U9" s="106"/>
      <c r="V9" s="106"/>
      <c r="W9" s="106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7"/>
      <c r="AW9" s="10"/>
    </row>
    <row r="10" spans="2:57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3" t="s">
        <v>17</v>
      </c>
      <c r="AW10" s="3"/>
      <c r="AX10" s="3"/>
    </row>
    <row r="11" spans="2:57" ht="13.5" customHeight="1">
      <c r="B11" s="110" t="s">
        <v>1</v>
      </c>
      <c r="C11" s="107"/>
      <c r="D11" s="107"/>
      <c r="E11" s="107"/>
      <c r="F11" s="107"/>
      <c r="G11" s="124" t="s">
        <v>62</v>
      </c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17" t="s">
        <v>2</v>
      </c>
      <c r="Z11" s="107"/>
      <c r="AA11" s="107"/>
      <c r="AB11" s="107"/>
      <c r="AC11" s="111"/>
      <c r="AD11" s="24" t="s">
        <v>63</v>
      </c>
      <c r="AE11" s="24"/>
      <c r="AF11" s="25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33"/>
      <c r="AV11" s="26"/>
    </row>
    <row r="12" spans="2:57" ht="15" customHeight="1">
      <c r="B12" s="112"/>
      <c r="C12" s="105"/>
      <c r="D12" s="105"/>
      <c r="E12" s="105"/>
      <c r="F12" s="105"/>
      <c r="G12" s="127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9"/>
      <c r="Y12" s="112"/>
      <c r="Z12" s="105"/>
      <c r="AA12" s="105"/>
      <c r="AB12" s="105"/>
      <c r="AC12" s="113"/>
      <c r="AD12" s="27" t="s">
        <v>64</v>
      </c>
      <c r="AE12" s="27"/>
      <c r="AF12" s="28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34"/>
      <c r="AV12" s="29"/>
    </row>
    <row r="13" spans="2:57" ht="15" customHeight="1">
      <c r="B13" s="112"/>
      <c r="C13" s="105"/>
      <c r="D13" s="105"/>
      <c r="E13" s="105"/>
      <c r="F13" s="105"/>
      <c r="G13" s="127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9"/>
      <c r="Y13" s="112"/>
      <c r="Z13" s="105"/>
      <c r="AA13" s="105"/>
      <c r="AB13" s="105"/>
      <c r="AC13" s="113"/>
      <c r="AD13" s="27"/>
      <c r="AE13" s="27"/>
      <c r="AF13" s="28" t="s">
        <v>0</v>
      </c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34"/>
      <c r="AV13" s="29"/>
    </row>
    <row r="14" spans="2:57" ht="15.75" customHeight="1" thickBot="1">
      <c r="B14" s="114"/>
      <c r="C14" s="106"/>
      <c r="D14" s="106"/>
      <c r="E14" s="106"/>
      <c r="F14" s="106"/>
      <c r="G14" s="130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2"/>
      <c r="Y14" s="114"/>
      <c r="Z14" s="106"/>
      <c r="AA14" s="106"/>
      <c r="AB14" s="106"/>
      <c r="AC14" s="115"/>
      <c r="AD14" s="30"/>
      <c r="AE14" s="30"/>
      <c r="AF14" s="31" t="s">
        <v>0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5"/>
      <c r="AV14" s="32"/>
    </row>
    <row r="15" spans="2:57" ht="14.25" customHeight="1">
      <c r="B15" s="110" t="s">
        <v>3</v>
      </c>
      <c r="C15" s="107"/>
      <c r="D15" s="107"/>
      <c r="E15" s="107"/>
      <c r="F15" s="111"/>
      <c r="G15" s="72" t="s">
        <v>65</v>
      </c>
      <c r="H15" s="12" t="s">
        <v>27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3"/>
    </row>
    <row r="16" spans="2:57">
      <c r="B16" s="112"/>
      <c r="C16" s="105"/>
      <c r="D16" s="105"/>
      <c r="E16" s="105"/>
      <c r="F16" s="113"/>
      <c r="G16" s="3"/>
      <c r="H16" s="3" t="s">
        <v>66</v>
      </c>
      <c r="I16" s="3"/>
      <c r="J16" s="3" t="s">
        <v>69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14"/>
    </row>
    <row r="17" spans="2:48" ht="17.25">
      <c r="B17" s="112"/>
      <c r="C17" s="105"/>
      <c r="D17" s="105"/>
      <c r="E17" s="105"/>
      <c r="F17" s="113"/>
      <c r="G17" s="36"/>
      <c r="H17" s="17" t="s">
        <v>73</v>
      </c>
      <c r="I17" s="36"/>
      <c r="J17" s="17" t="s">
        <v>67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14"/>
    </row>
    <row r="18" spans="2:48">
      <c r="B18" s="112"/>
      <c r="C18" s="105"/>
      <c r="D18" s="105"/>
      <c r="E18" s="105"/>
      <c r="F18" s="113"/>
      <c r="G18" s="36"/>
      <c r="H18" s="17" t="s">
        <v>68</v>
      </c>
      <c r="I18" s="36"/>
      <c r="J18" s="17" t="s">
        <v>70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14"/>
    </row>
    <row r="19" spans="2:48">
      <c r="B19" s="112"/>
      <c r="C19" s="105"/>
      <c r="D19" s="105"/>
      <c r="E19" s="105"/>
      <c r="F19" s="113"/>
      <c r="G19" s="3" t="s">
        <v>65</v>
      </c>
      <c r="H19" s="3" t="s">
        <v>71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14"/>
    </row>
    <row r="20" spans="2:48">
      <c r="B20" s="112"/>
      <c r="C20" s="105"/>
      <c r="D20" s="105"/>
      <c r="E20" s="105"/>
      <c r="F20" s="113"/>
      <c r="G20" s="3" t="s">
        <v>65</v>
      </c>
      <c r="H20" s="10" t="s">
        <v>72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14"/>
    </row>
    <row r="21" spans="2:48" ht="15" thickBot="1">
      <c r="B21" s="114"/>
      <c r="C21" s="106"/>
      <c r="D21" s="106"/>
      <c r="E21" s="106"/>
      <c r="F21" s="1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6"/>
    </row>
    <row r="22" spans="2:48" ht="13.5" customHeight="1">
      <c r="B22" s="112" t="s">
        <v>4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13"/>
    </row>
    <row r="23" spans="2:48">
      <c r="B23" s="74" t="s">
        <v>138</v>
      </c>
      <c r="C23" s="3"/>
      <c r="D23" s="3"/>
      <c r="E23" s="3"/>
      <c r="F23" s="3"/>
      <c r="G23" s="3"/>
      <c r="H23" s="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3"/>
      <c r="AP23" s="3"/>
      <c r="AQ23" s="3"/>
      <c r="AR23" s="3"/>
      <c r="AS23" s="3"/>
      <c r="AT23" s="3"/>
      <c r="AU23" s="3"/>
      <c r="AV23" s="14"/>
    </row>
    <row r="24" spans="2:48">
      <c r="B24" s="18" t="s">
        <v>65</v>
      </c>
      <c r="C24" s="3" t="s">
        <v>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14"/>
    </row>
    <row r="25" spans="2:48">
      <c r="B25" s="18"/>
      <c r="C25" s="3" t="s">
        <v>75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14"/>
    </row>
    <row r="26" spans="2:48">
      <c r="B26" s="18"/>
      <c r="C26" s="3" t="s">
        <v>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14"/>
    </row>
    <row r="27" spans="2:48">
      <c r="B27" s="18"/>
      <c r="C27" s="3" t="s">
        <v>77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14"/>
    </row>
    <row r="28" spans="2:48">
      <c r="B28" s="18"/>
      <c r="C28" s="3" t="s">
        <v>78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14"/>
    </row>
    <row r="29" spans="2:48">
      <c r="B29" s="18"/>
      <c r="C29" s="3" t="s">
        <v>79</v>
      </c>
      <c r="D29" s="3"/>
      <c r="E29" s="3"/>
      <c r="F29" s="3"/>
      <c r="G29" s="3"/>
      <c r="H29" s="3"/>
      <c r="I29" s="3" t="s">
        <v>84</v>
      </c>
      <c r="J29" s="3"/>
      <c r="K29" s="3"/>
      <c r="L29" s="3"/>
      <c r="M29" s="73" t="s">
        <v>87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14"/>
    </row>
    <row r="30" spans="2:48">
      <c r="B30" s="18"/>
      <c r="C30" s="3" t="s">
        <v>80</v>
      </c>
      <c r="D30" s="3"/>
      <c r="E30" s="3"/>
      <c r="F30" s="3"/>
      <c r="G30" s="3"/>
      <c r="H30" s="3"/>
      <c r="I30" s="3" t="s">
        <v>85</v>
      </c>
      <c r="J30" s="3"/>
      <c r="K30" s="3"/>
      <c r="L30" s="3"/>
      <c r="M30" s="73" t="s">
        <v>88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14"/>
    </row>
    <row r="31" spans="2:48">
      <c r="B31" s="18"/>
      <c r="C31" s="3" t="s">
        <v>81</v>
      </c>
      <c r="D31" s="3"/>
      <c r="E31" s="3"/>
      <c r="F31" s="3"/>
      <c r="G31" s="3"/>
      <c r="H31" s="3"/>
      <c r="I31" s="73" t="s">
        <v>86</v>
      </c>
      <c r="J31" s="3"/>
      <c r="K31" s="3"/>
      <c r="L31" s="3"/>
      <c r="M31" s="73" t="s">
        <v>90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14"/>
    </row>
    <row r="32" spans="2:48">
      <c r="B32" s="18"/>
      <c r="C32" s="3" t="s">
        <v>82</v>
      </c>
      <c r="D32" s="3"/>
      <c r="E32" s="3"/>
      <c r="F32" s="3"/>
      <c r="G32" s="3"/>
      <c r="H32" s="3"/>
      <c r="I32" s="73" t="s">
        <v>86</v>
      </c>
      <c r="J32" s="3"/>
      <c r="K32" s="3"/>
      <c r="L32" s="3"/>
      <c r="M32" s="3" t="s">
        <v>89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14"/>
    </row>
    <row r="33" spans="2:48">
      <c r="B33" s="18"/>
      <c r="C33" s="3" t="s">
        <v>83</v>
      </c>
      <c r="D33" s="3"/>
      <c r="E33" s="3"/>
      <c r="F33" s="3"/>
      <c r="G33" s="3"/>
      <c r="H33" s="3"/>
      <c r="I33" s="73" t="s">
        <v>86</v>
      </c>
      <c r="J33" s="3"/>
      <c r="K33" s="3"/>
      <c r="L33" s="3"/>
      <c r="M33" s="73" t="s">
        <v>91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8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14"/>
    </row>
    <row r="34" spans="2:48" ht="14.25" customHeight="1">
      <c r="B34" s="18"/>
      <c r="C34" s="3" t="s">
        <v>93</v>
      </c>
      <c r="D34" s="3"/>
      <c r="E34" s="3"/>
      <c r="F34" s="3"/>
      <c r="G34" s="3"/>
      <c r="H34" s="3"/>
      <c r="I34" s="3"/>
      <c r="J34" s="3"/>
      <c r="K34" s="3"/>
      <c r="L34" s="3"/>
      <c r="M34" s="73" t="s">
        <v>92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8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14"/>
    </row>
    <row r="35" spans="2:48">
      <c r="B35" s="18"/>
      <c r="C35" s="3" t="s">
        <v>94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8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14"/>
    </row>
    <row r="36" spans="2:48">
      <c r="B36" s="18"/>
      <c r="C36" s="3" t="s">
        <v>98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14"/>
    </row>
    <row r="37" spans="2:48">
      <c r="B37" s="1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14"/>
    </row>
    <row r="38" spans="2:48">
      <c r="B38" s="74" t="s">
        <v>139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14"/>
    </row>
    <row r="39" spans="2:48">
      <c r="B39" s="18" t="s">
        <v>65</v>
      </c>
      <c r="C39" s="3" t="s">
        <v>95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14"/>
    </row>
    <row r="40" spans="2:48">
      <c r="B40" s="18"/>
      <c r="C40" s="3" t="s">
        <v>96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14"/>
    </row>
    <row r="41" spans="2:48">
      <c r="B41" s="18"/>
      <c r="C41" s="3" t="s">
        <v>97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14"/>
    </row>
    <row r="42" spans="2:48">
      <c r="B42" s="1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14"/>
    </row>
    <row r="43" spans="2:48">
      <c r="B43" s="75" t="s">
        <v>140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14"/>
    </row>
    <row r="44" spans="2:48">
      <c r="B44" s="18" t="s">
        <v>65</v>
      </c>
      <c r="C44" s="3" t="s">
        <v>99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14"/>
    </row>
    <row r="45" spans="2:48">
      <c r="B45" s="1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14"/>
    </row>
    <row r="46" spans="2:48">
      <c r="B46" s="75" t="s">
        <v>137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14"/>
    </row>
    <row r="47" spans="2:48">
      <c r="B47" s="18" t="s">
        <v>65</v>
      </c>
      <c r="C47" s="3" t="s">
        <v>100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14"/>
    </row>
    <row r="48" spans="2:48">
      <c r="B48" s="18"/>
      <c r="C48" s="3" t="s">
        <v>101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14"/>
    </row>
    <row r="49" spans="2:48">
      <c r="B49" s="18"/>
      <c r="C49" s="3" t="s">
        <v>102</v>
      </c>
      <c r="D49" s="3"/>
      <c r="E49" s="3"/>
      <c r="F49" s="3"/>
      <c r="G49" s="102" t="s">
        <v>103</v>
      </c>
      <c r="H49" s="102"/>
      <c r="I49" s="102"/>
      <c r="J49" s="102" t="s">
        <v>42</v>
      </c>
      <c r="K49" s="102"/>
      <c r="L49" s="102"/>
      <c r="M49" s="102" t="s">
        <v>43</v>
      </c>
      <c r="N49" s="102"/>
      <c r="O49" s="102"/>
      <c r="P49" s="102" t="s">
        <v>45</v>
      </c>
      <c r="Q49" s="102"/>
      <c r="R49" s="102"/>
      <c r="S49" s="102" t="s">
        <v>31</v>
      </c>
      <c r="T49" s="102"/>
      <c r="U49" s="102"/>
      <c r="V49" s="3"/>
      <c r="W49" s="102" t="s">
        <v>116</v>
      </c>
      <c r="X49" s="102"/>
      <c r="Y49" s="102"/>
      <c r="Z49" s="102" t="s">
        <v>47</v>
      </c>
      <c r="AA49" s="102"/>
      <c r="AB49" s="102"/>
      <c r="AC49" s="102" t="s">
        <v>48</v>
      </c>
      <c r="AD49" s="102"/>
      <c r="AE49" s="102"/>
      <c r="AF49" s="102" t="s">
        <v>49</v>
      </c>
      <c r="AG49" s="102"/>
      <c r="AH49" s="102"/>
      <c r="AI49" s="102" t="s">
        <v>51</v>
      </c>
      <c r="AJ49" s="102"/>
      <c r="AK49" s="102"/>
      <c r="AL49" s="102" t="s">
        <v>31</v>
      </c>
      <c r="AM49" s="102"/>
      <c r="AN49" s="102"/>
      <c r="AO49" s="102" t="s">
        <v>120</v>
      </c>
      <c r="AP49" s="102"/>
      <c r="AQ49" s="102"/>
      <c r="AR49" s="102"/>
      <c r="AS49" s="119" t="s">
        <v>120</v>
      </c>
      <c r="AT49" s="119"/>
      <c r="AU49" s="119"/>
      <c r="AV49" s="120"/>
    </row>
    <row r="50" spans="2:48">
      <c r="B50" s="18"/>
      <c r="C50" s="3" t="s">
        <v>27</v>
      </c>
      <c r="D50" s="3"/>
      <c r="E50" s="3"/>
      <c r="F50" s="3"/>
      <c r="G50" s="133" t="s">
        <v>104</v>
      </c>
      <c r="H50" s="133"/>
      <c r="I50" s="133"/>
      <c r="J50" s="133" t="s">
        <v>105</v>
      </c>
      <c r="K50" s="133"/>
      <c r="L50" s="133"/>
      <c r="M50" s="133" t="s">
        <v>105</v>
      </c>
      <c r="N50" s="133"/>
      <c r="O50" s="133"/>
      <c r="P50" s="133" t="s">
        <v>104</v>
      </c>
      <c r="Q50" s="133"/>
      <c r="R50" s="133"/>
      <c r="S50" s="133" t="s">
        <v>106</v>
      </c>
      <c r="T50" s="133"/>
      <c r="U50" s="133"/>
      <c r="V50" s="3"/>
      <c r="W50" s="133" t="s">
        <v>104</v>
      </c>
      <c r="X50" s="133"/>
      <c r="Y50" s="133"/>
      <c r="Z50" s="133" t="s">
        <v>110</v>
      </c>
      <c r="AA50" s="133"/>
      <c r="AB50" s="133"/>
      <c r="AC50" s="133" t="s">
        <v>105</v>
      </c>
      <c r="AD50" s="133"/>
      <c r="AE50" s="133"/>
      <c r="AF50" s="133" t="s">
        <v>104</v>
      </c>
      <c r="AG50" s="133"/>
      <c r="AH50" s="133"/>
      <c r="AI50" s="133" t="s">
        <v>104</v>
      </c>
      <c r="AJ50" s="133"/>
      <c r="AK50" s="133"/>
      <c r="AL50" s="133" t="s">
        <v>147</v>
      </c>
      <c r="AM50" s="133"/>
      <c r="AN50" s="133"/>
      <c r="AO50" s="102" t="s">
        <v>151</v>
      </c>
      <c r="AP50" s="102"/>
      <c r="AQ50" s="102"/>
      <c r="AR50" s="102"/>
      <c r="AS50" s="119" t="s">
        <v>154</v>
      </c>
      <c r="AT50" s="119"/>
      <c r="AU50" s="119"/>
      <c r="AV50" s="120"/>
    </row>
    <row r="51" spans="2:48">
      <c r="B51" s="18"/>
      <c r="C51" s="3" t="s">
        <v>28</v>
      </c>
      <c r="D51" s="3"/>
      <c r="E51" s="3"/>
      <c r="F51" s="3"/>
      <c r="G51" s="133" t="s">
        <v>107</v>
      </c>
      <c r="H51" s="133"/>
      <c r="I51" s="133"/>
      <c r="J51" s="133"/>
      <c r="K51" s="133"/>
      <c r="L51" s="133"/>
      <c r="M51" s="133"/>
      <c r="N51" s="133"/>
      <c r="O51" s="133"/>
      <c r="P51" s="133" t="s">
        <v>108</v>
      </c>
      <c r="Q51" s="133"/>
      <c r="R51" s="133"/>
      <c r="S51" s="133" t="s">
        <v>109</v>
      </c>
      <c r="T51" s="133"/>
      <c r="U51" s="133"/>
      <c r="V51" s="3"/>
      <c r="W51" s="133" t="s">
        <v>107</v>
      </c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 t="s">
        <v>107</v>
      </c>
      <c r="AJ51" s="133"/>
      <c r="AK51" s="133"/>
      <c r="AL51" s="133" t="s">
        <v>108</v>
      </c>
      <c r="AM51" s="133"/>
      <c r="AN51" s="133"/>
      <c r="AO51" s="102" t="s">
        <v>108</v>
      </c>
      <c r="AP51" s="102"/>
      <c r="AQ51" s="102"/>
      <c r="AR51" s="102"/>
      <c r="AS51" s="119" t="s">
        <v>109</v>
      </c>
      <c r="AT51" s="119"/>
      <c r="AU51" s="119"/>
      <c r="AV51" s="120"/>
    </row>
    <row r="52" spans="2:48">
      <c r="B52" s="18"/>
      <c r="C52" s="3" t="s">
        <v>29</v>
      </c>
      <c r="D52" s="3"/>
      <c r="E52" s="3"/>
      <c r="F52" s="3"/>
      <c r="G52" s="133" t="s">
        <v>108</v>
      </c>
      <c r="H52" s="133"/>
      <c r="I52" s="133"/>
      <c r="J52" s="133" t="s">
        <v>107</v>
      </c>
      <c r="K52" s="133"/>
      <c r="L52" s="133"/>
      <c r="M52" s="133"/>
      <c r="N52" s="133"/>
      <c r="O52" s="133"/>
      <c r="P52" s="133" t="s">
        <v>108</v>
      </c>
      <c r="Q52" s="133"/>
      <c r="R52" s="133"/>
      <c r="S52" s="133" t="s">
        <v>111</v>
      </c>
      <c r="T52" s="133"/>
      <c r="U52" s="133"/>
      <c r="V52" s="3"/>
      <c r="W52" s="133" t="s">
        <v>108</v>
      </c>
      <c r="X52" s="133"/>
      <c r="Y52" s="133"/>
      <c r="Z52" s="133" t="s">
        <v>108</v>
      </c>
      <c r="AA52" s="133"/>
      <c r="AB52" s="133"/>
      <c r="AC52" s="133" t="s">
        <v>108</v>
      </c>
      <c r="AD52" s="133"/>
      <c r="AE52" s="133"/>
      <c r="AF52" s="133" t="s">
        <v>108</v>
      </c>
      <c r="AG52" s="133"/>
      <c r="AH52" s="133"/>
      <c r="AI52" s="133" t="s">
        <v>148</v>
      </c>
      <c r="AJ52" s="133"/>
      <c r="AK52" s="133"/>
      <c r="AL52" s="133" t="s">
        <v>111</v>
      </c>
      <c r="AM52" s="133"/>
      <c r="AN52" s="133"/>
      <c r="AO52" s="102" t="s">
        <v>118</v>
      </c>
      <c r="AP52" s="102"/>
      <c r="AQ52" s="102"/>
      <c r="AR52" s="102"/>
      <c r="AS52" s="119" t="s">
        <v>117</v>
      </c>
      <c r="AT52" s="119"/>
      <c r="AU52" s="119"/>
      <c r="AV52" s="120"/>
    </row>
    <row r="53" spans="2:48">
      <c r="B53" s="18"/>
      <c r="C53" s="3" t="s">
        <v>30</v>
      </c>
      <c r="D53" s="3"/>
      <c r="E53" s="3"/>
      <c r="F53" s="3"/>
      <c r="G53" s="133" t="s">
        <v>112</v>
      </c>
      <c r="H53" s="133"/>
      <c r="I53" s="133"/>
      <c r="J53" s="133" t="s">
        <v>112</v>
      </c>
      <c r="K53" s="133"/>
      <c r="L53" s="133"/>
      <c r="M53" s="133" t="s">
        <v>112</v>
      </c>
      <c r="N53" s="133"/>
      <c r="O53" s="133"/>
      <c r="P53" s="133" t="s">
        <v>113</v>
      </c>
      <c r="Q53" s="133"/>
      <c r="R53" s="133"/>
      <c r="S53" s="133" t="s">
        <v>114</v>
      </c>
      <c r="T53" s="133"/>
      <c r="U53" s="133"/>
      <c r="V53" s="3"/>
      <c r="W53" s="133" t="s">
        <v>112</v>
      </c>
      <c r="X53" s="133"/>
      <c r="Y53" s="133"/>
      <c r="Z53" s="133" t="s">
        <v>118</v>
      </c>
      <c r="AA53" s="133"/>
      <c r="AB53" s="133"/>
      <c r="AC53" s="133" t="s">
        <v>118</v>
      </c>
      <c r="AD53" s="133"/>
      <c r="AE53" s="133"/>
      <c r="AF53" s="133" t="s">
        <v>109</v>
      </c>
      <c r="AG53" s="133"/>
      <c r="AH53" s="133"/>
      <c r="AI53" s="133" t="s">
        <v>108</v>
      </c>
      <c r="AJ53" s="133"/>
      <c r="AK53" s="133"/>
      <c r="AL53" s="133" t="s">
        <v>149</v>
      </c>
      <c r="AM53" s="133"/>
      <c r="AN53" s="133"/>
      <c r="AO53" s="102" t="s">
        <v>152</v>
      </c>
      <c r="AP53" s="102"/>
      <c r="AQ53" s="102"/>
      <c r="AR53" s="102"/>
      <c r="AS53" s="119" t="s">
        <v>114</v>
      </c>
      <c r="AT53" s="119"/>
      <c r="AU53" s="119"/>
      <c r="AV53" s="120"/>
    </row>
    <row r="54" spans="2:48">
      <c r="B54" s="1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133" t="s">
        <v>115</v>
      </c>
      <c r="T54" s="133"/>
      <c r="U54" s="13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33"/>
      <c r="AJ54" s="133"/>
      <c r="AK54" s="133"/>
      <c r="AL54" s="133" t="s">
        <v>150</v>
      </c>
      <c r="AM54" s="133"/>
      <c r="AN54" s="133"/>
      <c r="AO54" s="102" t="s">
        <v>153</v>
      </c>
      <c r="AP54" s="102"/>
      <c r="AQ54" s="102"/>
      <c r="AR54" s="102"/>
      <c r="AS54" s="134" t="s">
        <v>155</v>
      </c>
      <c r="AT54" s="134"/>
      <c r="AU54" s="134"/>
      <c r="AV54" s="135"/>
    </row>
    <row r="55" spans="2:48">
      <c r="B55" s="1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14"/>
    </row>
    <row r="56" spans="2:48">
      <c r="B56" s="75" t="s">
        <v>121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14"/>
    </row>
    <row r="57" spans="2:48">
      <c r="B57" s="18" t="s">
        <v>65</v>
      </c>
      <c r="C57" s="3" t="s">
        <v>122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14"/>
    </row>
    <row r="58" spans="2:48">
      <c r="B58" s="18"/>
      <c r="C58" s="3" t="s">
        <v>102</v>
      </c>
      <c r="D58" s="3"/>
      <c r="E58" s="3"/>
      <c r="F58" s="3"/>
      <c r="G58" s="3"/>
      <c r="H58" s="3"/>
      <c r="I58" s="3"/>
      <c r="J58" s="7" t="s">
        <v>135</v>
      </c>
      <c r="K58" s="3"/>
      <c r="L58" s="3"/>
      <c r="M58" s="3"/>
      <c r="N58" s="3"/>
      <c r="O58" s="7" t="s">
        <v>136</v>
      </c>
      <c r="P58" s="3"/>
      <c r="Q58" s="3"/>
      <c r="R58" s="3" t="s">
        <v>133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14"/>
    </row>
    <row r="59" spans="2:48">
      <c r="B59" s="18"/>
      <c r="C59" s="3" t="s">
        <v>27</v>
      </c>
      <c r="D59" s="3"/>
      <c r="E59" s="3"/>
      <c r="F59" s="3"/>
      <c r="G59" s="3"/>
      <c r="H59" s="3"/>
      <c r="I59" s="7"/>
      <c r="J59" s="7" t="s">
        <v>123</v>
      </c>
      <c r="K59" s="3"/>
      <c r="L59" s="3"/>
      <c r="M59" s="3"/>
      <c r="N59" s="3"/>
      <c r="O59" s="7" t="s">
        <v>128</v>
      </c>
      <c r="P59" s="3"/>
      <c r="Q59" s="3"/>
      <c r="R59" s="3"/>
      <c r="S59" s="3"/>
      <c r="T59" s="7" t="s">
        <v>117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14"/>
    </row>
    <row r="60" spans="2:48">
      <c r="B60" s="18"/>
      <c r="C60" s="3" t="s">
        <v>28</v>
      </c>
      <c r="D60" s="3"/>
      <c r="E60" s="3"/>
      <c r="F60" s="3"/>
      <c r="G60" s="3"/>
      <c r="H60" s="3"/>
      <c r="I60" s="7"/>
      <c r="J60" s="7" t="s">
        <v>124</v>
      </c>
      <c r="K60" s="3"/>
      <c r="L60" s="3"/>
      <c r="M60" s="3"/>
      <c r="N60" s="3"/>
      <c r="O60" s="7" t="s">
        <v>129</v>
      </c>
      <c r="P60" s="3"/>
      <c r="Q60" s="3"/>
      <c r="R60" s="3"/>
      <c r="S60" s="3"/>
      <c r="T60" s="7" t="s">
        <v>109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14"/>
    </row>
    <row r="61" spans="2:48">
      <c r="B61" s="18"/>
      <c r="C61" s="3" t="s">
        <v>29</v>
      </c>
      <c r="D61" s="3"/>
      <c r="E61" s="3"/>
      <c r="F61" s="3"/>
      <c r="G61" s="3"/>
      <c r="H61" s="3"/>
      <c r="I61" s="7"/>
      <c r="J61" s="7" t="s">
        <v>125</v>
      </c>
      <c r="K61" s="3"/>
      <c r="L61" s="3"/>
      <c r="M61" s="3"/>
      <c r="N61" s="3"/>
      <c r="O61" s="7" t="s">
        <v>130</v>
      </c>
      <c r="P61" s="3"/>
      <c r="Q61" s="3"/>
      <c r="R61" s="3"/>
      <c r="S61" s="3"/>
      <c r="T61" s="7" t="s">
        <v>111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14"/>
    </row>
    <row r="62" spans="2:48">
      <c r="B62" s="18"/>
      <c r="C62" s="3" t="s">
        <v>30</v>
      </c>
      <c r="D62" s="3"/>
      <c r="E62" s="3"/>
      <c r="F62" s="3"/>
      <c r="G62" s="3"/>
      <c r="H62" s="3"/>
      <c r="I62" s="7"/>
      <c r="J62" s="7" t="s">
        <v>126</v>
      </c>
      <c r="K62" s="3"/>
      <c r="L62" s="3"/>
      <c r="M62" s="3"/>
      <c r="N62" s="3"/>
      <c r="O62" s="7" t="s">
        <v>131</v>
      </c>
      <c r="P62" s="3"/>
      <c r="Q62" s="3"/>
      <c r="R62" s="3"/>
      <c r="S62" s="3"/>
      <c r="T62" s="7" t="s">
        <v>114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14"/>
    </row>
    <row r="63" spans="2:48" ht="14.25" customHeight="1">
      <c r="B63" s="18"/>
      <c r="C63" s="3" t="s">
        <v>31</v>
      </c>
      <c r="D63" s="3"/>
      <c r="E63" s="3"/>
      <c r="F63" s="3"/>
      <c r="G63" s="3"/>
      <c r="H63" s="3"/>
      <c r="I63" s="3"/>
      <c r="J63" s="7" t="s">
        <v>127</v>
      </c>
      <c r="K63" s="3"/>
      <c r="L63" s="3"/>
      <c r="M63" s="3"/>
      <c r="N63" s="3"/>
      <c r="O63" s="7" t="s">
        <v>132</v>
      </c>
      <c r="P63" s="3"/>
      <c r="Q63" s="3"/>
      <c r="R63" s="3"/>
      <c r="S63" s="3"/>
      <c r="T63" s="7" t="s">
        <v>119</v>
      </c>
      <c r="U63" s="73" t="s">
        <v>134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14"/>
    </row>
    <row r="64" spans="2:48" ht="14.25" customHeight="1">
      <c r="B64" s="18"/>
      <c r="C64" s="76" t="s">
        <v>141</v>
      </c>
      <c r="D64" s="3" t="s">
        <v>142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14"/>
    </row>
    <row r="65" spans="2:48">
      <c r="B65" s="18"/>
      <c r="C65" s="3"/>
      <c r="D65" s="3" t="s">
        <v>143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14"/>
    </row>
    <row r="66" spans="2:48" ht="15" thickBot="1"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20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6"/>
    </row>
    <row r="67" spans="2:48">
      <c r="B67" s="118" t="s">
        <v>20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20"/>
    </row>
    <row r="68" spans="2:48">
      <c r="B68" s="18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14"/>
    </row>
    <row r="69" spans="2:48">
      <c r="B69" s="18" t="s">
        <v>145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14"/>
    </row>
    <row r="70" spans="2:48">
      <c r="B70" s="77" t="s">
        <v>146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14"/>
    </row>
    <row r="71" spans="2:48" ht="15" thickBot="1">
      <c r="B71" s="78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9"/>
      <c r="U71" s="19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0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6"/>
    </row>
  </sheetData>
  <mergeCells count="85">
    <mergeCell ref="AS54:AV54"/>
    <mergeCell ref="AS49:AV49"/>
    <mergeCell ref="AS50:AV50"/>
    <mergeCell ref="AS51:AV51"/>
    <mergeCell ref="AS52:AV52"/>
    <mergeCell ref="AS53:AV53"/>
    <mergeCell ref="AI53:AK53"/>
    <mergeCell ref="AI54:AK54"/>
    <mergeCell ref="AL49:AN49"/>
    <mergeCell ref="AL50:AN50"/>
    <mergeCell ref="AL51:AN51"/>
    <mergeCell ref="AL52:AN52"/>
    <mergeCell ref="AL53:AN53"/>
    <mergeCell ref="AL54:AN54"/>
    <mergeCell ref="AI51:AK51"/>
    <mergeCell ref="AI49:AK49"/>
    <mergeCell ref="AF50:AH50"/>
    <mergeCell ref="AI50:AK50"/>
    <mergeCell ref="W52:Y52"/>
    <mergeCell ref="Z52:AB52"/>
    <mergeCell ref="AC52:AE52"/>
    <mergeCell ref="AF52:AH52"/>
    <mergeCell ref="AI52:AK52"/>
    <mergeCell ref="S54:U54"/>
    <mergeCell ref="W49:Y49"/>
    <mergeCell ref="Z49:AB49"/>
    <mergeCell ref="AC49:AE49"/>
    <mergeCell ref="AF49:AH49"/>
    <mergeCell ref="W51:Y51"/>
    <mergeCell ref="Z51:AB51"/>
    <mergeCell ref="AC51:AE51"/>
    <mergeCell ref="AF51:AH51"/>
    <mergeCell ref="W53:Y53"/>
    <mergeCell ref="Z53:AB53"/>
    <mergeCell ref="AC53:AE53"/>
    <mergeCell ref="AF53:AH53"/>
    <mergeCell ref="W50:Y50"/>
    <mergeCell ref="Z50:AB50"/>
    <mergeCell ref="AC50:AE50"/>
    <mergeCell ref="J52:L52"/>
    <mergeCell ref="M52:O52"/>
    <mergeCell ref="P52:R52"/>
    <mergeCell ref="S52:U52"/>
    <mergeCell ref="G53:I53"/>
    <mergeCell ref="J53:L53"/>
    <mergeCell ref="M53:O53"/>
    <mergeCell ref="P53:R53"/>
    <mergeCell ref="S53:U53"/>
    <mergeCell ref="B67:AV67"/>
    <mergeCell ref="H7:J9"/>
    <mergeCell ref="L7:N9"/>
    <mergeCell ref="G4:Q6"/>
    <mergeCell ref="G11:X14"/>
    <mergeCell ref="B22:AV22"/>
    <mergeCell ref="G49:I49"/>
    <mergeCell ref="J49:L49"/>
    <mergeCell ref="M49:O49"/>
    <mergeCell ref="P49:R49"/>
    <mergeCell ref="S49:U49"/>
    <mergeCell ref="G50:I50"/>
    <mergeCell ref="J50:L50"/>
    <mergeCell ref="M50:O50"/>
    <mergeCell ref="P50:R50"/>
    <mergeCell ref="S50:U50"/>
    <mergeCell ref="AO54:AR54"/>
    <mergeCell ref="S1:AI3"/>
    <mergeCell ref="B4:F6"/>
    <mergeCell ref="S4:W6"/>
    <mergeCell ref="S7:W9"/>
    <mergeCell ref="X4:AI6"/>
    <mergeCell ref="B15:F21"/>
    <mergeCell ref="B7:F9"/>
    <mergeCell ref="B11:F14"/>
    <mergeCell ref="Y11:AC14"/>
    <mergeCell ref="G51:I51"/>
    <mergeCell ref="J51:L51"/>
    <mergeCell ref="M51:O51"/>
    <mergeCell ref="P51:R51"/>
    <mergeCell ref="S51:U51"/>
    <mergeCell ref="G52:I52"/>
    <mergeCell ref="AO49:AR49"/>
    <mergeCell ref="AO50:AR50"/>
    <mergeCell ref="AO51:AR51"/>
    <mergeCell ref="AO52:AR52"/>
    <mergeCell ref="AO53:AR53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78" fitToHeight="2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tabSelected="1" workbookViewId="0">
      <selection activeCell="B4" sqref="B4:B9"/>
    </sheetView>
  </sheetViews>
  <sheetFormatPr defaultRowHeight="13.5"/>
  <cols>
    <col min="1" max="1" width="9.140625" style="37"/>
    <col min="2" max="8" width="11.7109375" style="38" customWidth="1"/>
    <col min="9" max="9" width="3" style="37" customWidth="1"/>
    <col min="10" max="15" width="11.7109375" style="37" customWidth="1"/>
    <col min="16" max="32" width="11.7109375" style="38" customWidth="1"/>
    <col min="33" max="16384" width="9.140625" style="38"/>
  </cols>
  <sheetData>
    <row r="1" spans="2:14" ht="14.25" thickBot="1"/>
    <row r="2" spans="2:14" ht="14.25">
      <c r="B2" s="136" t="s">
        <v>25</v>
      </c>
      <c r="C2" s="148" t="s">
        <v>26</v>
      </c>
      <c r="D2" s="148" t="s">
        <v>27</v>
      </c>
      <c r="E2" s="148" t="s">
        <v>28</v>
      </c>
      <c r="F2" s="148" t="s">
        <v>29</v>
      </c>
      <c r="G2" s="148" t="s">
        <v>30</v>
      </c>
      <c r="H2" s="136" t="s">
        <v>31</v>
      </c>
      <c r="J2" s="69" t="s">
        <v>27</v>
      </c>
      <c r="K2" s="39" t="s">
        <v>28</v>
      </c>
      <c r="L2" s="39" t="s">
        <v>29</v>
      </c>
      <c r="M2" s="39" t="s">
        <v>30</v>
      </c>
      <c r="N2" s="136" t="s">
        <v>31</v>
      </c>
    </row>
    <row r="3" spans="2:14" ht="15" thickBot="1">
      <c r="B3" s="137"/>
      <c r="C3" s="67" t="s">
        <v>32</v>
      </c>
      <c r="D3" s="67" t="s">
        <v>33</v>
      </c>
      <c r="E3" s="67" t="s">
        <v>34</v>
      </c>
      <c r="F3" s="67" t="s">
        <v>35</v>
      </c>
      <c r="G3" s="67" t="s">
        <v>36</v>
      </c>
      <c r="H3" s="137"/>
      <c r="J3" s="71" t="s">
        <v>33</v>
      </c>
      <c r="K3" s="40" t="s">
        <v>34</v>
      </c>
      <c r="L3" s="40" t="s">
        <v>35</v>
      </c>
      <c r="M3" s="40" t="s">
        <v>36</v>
      </c>
      <c r="N3" s="137"/>
    </row>
    <row r="4" spans="2:14" ht="15" thickBot="1">
      <c r="B4" s="136" t="s">
        <v>39</v>
      </c>
      <c r="C4" s="41" t="s">
        <v>40</v>
      </c>
      <c r="D4" s="42">
        <v>200000</v>
      </c>
      <c r="E4" s="42">
        <v>100000</v>
      </c>
      <c r="F4" s="42">
        <v>200000</v>
      </c>
      <c r="G4" s="42">
        <v>350000</v>
      </c>
      <c r="H4" s="43" t="s">
        <v>37</v>
      </c>
    </row>
    <row r="5" spans="2:14" ht="14.25">
      <c r="B5" s="141"/>
      <c r="C5" s="47" t="s">
        <v>41</v>
      </c>
      <c r="D5" s="48">
        <v>100800</v>
      </c>
      <c r="E5" s="48">
        <v>100000</v>
      </c>
      <c r="F5" s="48">
        <v>200000</v>
      </c>
      <c r="G5" s="48">
        <v>350000</v>
      </c>
      <c r="H5" s="49" t="s">
        <v>37</v>
      </c>
      <c r="I5" s="50"/>
      <c r="J5" s="50"/>
      <c r="K5" s="50"/>
      <c r="L5" s="50"/>
      <c r="M5" s="50"/>
      <c r="N5" s="50"/>
    </row>
    <row r="6" spans="2:14" ht="14.25">
      <c r="B6" s="141"/>
      <c r="C6" s="58" t="s">
        <v>42</v>
      </c>
      <c r="D6" s="64">
        <v>150400</v>
      </c>
      <c r="E6" s="65">
        <v>0</v>
      </c>
      <c r="F6" s="64">
        <v>100000</v>
      </c>
      <c r="G6" s="64">
        <v>350000</v>
      </c>
      <c r="H6" s="65"/>
      <c r="I6" s="51"/>
      <c r="J6" s="51"/>
      <c r="K6" s="51"/>
      <c r="L6" s="51"/>
      <c r="M6" s="51"/>
      <c r="N6" s="51"/>
    </row>
    <row r="7" spans="2:14" ht="15" thickBot="1">
      <c r="B7" s="141"/>
      <c r="C7" s="52" t="s">
        <v>43</v>
      </c>
      <c r="D7" s="46">
        <v>150400</v>
      </c>
      <c r="E7" s="44">
        <v>0</v>
      </c>
      <c r="F7" s="53">
        <v>0</v>
      </c>
      <c r="G7" s="53">
        <v>350000</v>
      </c>
      <c r="H7" s="44"/>
      <c r="I7" s="51"/>
      <c r="J7" s="51"/>
      <c r="K7" s="51"/>
      <c r="L7" s="51"/>
      <c r="M7" s="51"/>
      <c r="N7" s="51"/>
    </row>
    <row r="8" spans="2:14" ht="14.25">
      <c r="B8" s="141"/>
      <c r="C8" s="145" t="s">
        <v>31</v>
      </c>
      <c r="D8" s="146">
        <f>SUM(D4:D7)</f>
        <v>601600</v>
      </c>
      <c r="E8" s="146">
        <f>SUM(E4:E7)</f>
        <v>200000</v>
      </c>
      <c r="F8" s="146">
        <f t="shared" ref="F8" si="0">SUM(F4:F7)</f>
        <v>500000</v>
      </c>
      <c r="G8" s="146">
        <f>SUM(G4:G7)</f>
        <v>1400000</v>
      </c>
      <c r="H8" s="146">
        <f>SUM(D8:G8)</f>
        <v>2701600</v>
      </c>
      <c r="I8" s="51"/>
      <c r="J8" s="51"/>
      <c r="K8" s="51"/>
      <c r="L8" s="51"/>
      <c r="M8" s="51"/>
      <c r="N8" s="51"/>
    </row>
    <row r="9" spans="2:14" ht="15" thickBot="1">
      <c r="B9" s="137"/>
      <c r="C9" s="54" t="s">
        <v>38</v>
      </c>
      <c r="D9" s="45">
        <v>601600</v>
      </c>
      <c r="E9" s="45">
        <v>200000</v>
      </c>
      <c r="F9" s="45">
        <v>500000</v>
      </c>
      <c r="G9" s="45">
        <v>1600000</v>
      </c>
      <c r="H9" s="45">
        <f>SUM(D9:G9)</f>
        <v>2901600</v>
      </c>
      <c r="I9" s="51"/>
      <c r="J9" s="51"/>
      <c r="K9" s="51"/>
      <c r="L9" s="51"/>
      <c r="M9" s="51"/>
      <c r="N9" s="51"/>
    </row>
    <row r="10" spans="2:14" ht="15" thickBot="1">
      <c r="B10" s="136" t="s">
        <v>44</v>
      </c>
      <c r="C10" s="94" t="s">
        <v>45</v>
      </c>
      <c r="D10" s="95">
        <v>100800</v>
      </c>
      <c r="E10" s="95">
        <v>200000</v>
      </c>
      <c r="F10" s="95">
        <v>200000</v>
      </c>
      <c r="G10" s="95">
        <v>550000</v>
      </c>
      <c r="H10" s="96"/>
      <c r="I10" s="56"/>
      <c r="J10" s="57">
        <f>D5+D6+D7+D10</f>
        <v>502400</v>
      </c>
      <c r="K10" s="57">
        <f t="shared" ref="K10:M10" si="1">E5+E6+E7+E10</f>
        <v>300000</v>
      </c>
      <c r="L10" s="57">
        <f t="shared" si="1"/>
        <v>500000</v>
      </c>
      <c r="M10" s="57">
        <f t="shared" si="1"/>
        <v>1600000</v>
      </c>
      <c r="N10" s="57">
        <f>SUM(J10:M10)</f>
        <v>2902400</v>
      </c>
    </row>
    <row r="11" spans="2:14" ht="14.25">
      <c r="B11" s="139"/>
      <c r="C11" s="70" t="s">
        <v>46</v>
      </c>
      <c r="D11" s="42">
        <v>100800</v>
      </c>
      <c r="E11" s="42">
        <v>100000</v>
      </c>
      <c r="F11" s="42">
        <v>200000</v>
      </c>
      <c r="G11" s="42">
        <v>350000</v>
      </c>
      <c r="H11" s="43"/>
    </row>
    <row r="12" spans="2:14" ht="14.25">
      <c r="B12" s="139"/>
      <c r="C12" s="58" t="s">
        <v>47</v>
      </c>
      <c r="D12" s="64">
        <v>150400</v>
      </c>
      <c r="E12" s="64">
        <v>0</v>
      </c>
      <c r="F12" s="64">
        <v>200000</v>
      </c>
      <c r="G12" s="64">
        <v>400000</v>
      </c>
      <c r="H12" s="65"/>
    </row>
    <row r="13" spans="2:14" ht="14.25">
      <c r="B13" s="139"/>
      <c r="C13" s="58" t="s">
        <v>48</v>
      </c>
      <c r="D13" s="64">
        <v>150400</v>
      </c>
      <c r="E13" s="64">
        <v>0</v>
      </c>
      <c r="F13" s="64">
        <v>200000</v>
      </c>
      <c r="G13" s="64">
        <v>400000</v>
      </c>
      <c r="H13" s="142"/>
    </row>
    <row r="14" spans="2:14" ht="15" thickBot="1">
      <c r="B14" s="139"/>
      <c r="C14" s="66" t="s">
        <v>49</v>
      </c>
      <c r="D14" s="100">
        <v>100800</v>
      </c>
      <c r="E14" s="143">
        <v>0</v>
      </c>
      <c r="F14" s="100"/>
      <c r="G14" s="100">
        <v>300000</v>
      </c>
      <c r="H14" s="144"/>
    </row>
    <row r="15" spans="2:14" ht="14.25">
      <c r="B15" s="139"/>
      <c r="C15" s="145" t="s">
        <v>31</v>
      </c>
      <c r="D15" s="146">
        <f>SUM(D10:D14)</f>
        <v>603200</v>
      </c>
      <c r="E15" s="146">
        <f t="shared" ref="E15:G15" si="2">SUM(E10:E14)</f>
        <v>300000</v>
      </c>
      <c r="F15" s="146">
        <f t="shared" si="2"/>
        <v>800000</v>
      </c>
      <c r="G15" s="146">
        <f t="shared" si="2"/>
        <v>2000000</v>
      </c>
      <c r="H15" s="146">
        <f>SUM(D15:G15)</f>
        <v>3703200</v>
      </c>
    </row>
    <row r="16" spans="2:14" ht="15" thickBot="1">
      <c r="B16" s="140"/>
      <c r="C16" s="54" t="s">
        <v>38</v>
      </c>
      <c r="D16" s="45">
        <v>600000</v>
      </c>
      <c r="E16" s="45">
        <v>300000</v>
      </c>
      <c r="F16" s="45">
        <v>800000</v>
      </c>
      <c r="G16" s="45">
        <v>2000000</v>
      </c>
      <c r="H16" s="45">
        <f>SUM(D16:G16)</f>
        <v>3700000</v>
      </c>
      <c r="I16" s="51"/>
      <c r="J16" s="80"/>
      <c r="K16" s="80"/>
      <c r="L16" s="80"/>
      <c r="M16" s="80"/>
      <c r="N16" s="80"/>
    </row>
    <row r="17" spans="2:14" ht="15" thickBot="1">
      <c r="B17" s="138" t="s">
        <v>50</v>
      </c>
      <c r="C17" s="97" t="s">
        <v>51</v>
      </c>
      <c r="D17" s="55">
        <v>100800</v>
      </c>
      <c r="E17" s="55">
        <v>100000</v>
      </c>
      <c r="F17" s="55">
        <v>200000</v>
      </c>
      <c r="G17" s="55">
        <v>200000</v>
      </c>
      <c r="H17" s="98"/>
      <c r="I17" s="56"/>
      <c r="J17" s="57">
        <f>D11+D12+D13+D14+D17</f>
        <v>603200</v>
      </c>
      <c r="K17" s="57">
        <f t="shared" ref="K17:M17" si="3">E11+E12+E13+E14+E17</f>
        <v>200000</v>
      </c>
      <c r="L17" s="57">
        <f t="shared" si="3"/>
        <v>800000</v>
      </c>
      <c r="M17" s="57">
        <f t="shared" si="3"/>
        <v>1650000</v>
      </c>
      <c r="N17" s="57">
        <f>SUM(J17:M17)</f>
        <v>3253200</v>
      </c>
    </row>
    <row r="18" spans="2:14" ht="14.25">
      <c r="B18" s="139"/>
      <c r="C18" s="81" t="s">
        <v>52</v>
      </c>
      <c r="D18" s="42">
        <v>150400</v>
      </c>
      <c r="E18" s="42">
        <v>100000</v>
      </c>
      <c r="F18" s="42">
        <v>100000</v>
      </c>
      <c r="G18" s="42">
        <v>450000</v>
      </c>
      <c r="H18" s="82"/>
      <c r="I18" s="51"/>
      <c r="J18" s="51"/>
      <c r="K18" s="51"/>
      <c r="L18" s="51"/>
      <c r="M18" s="51"/>
      <c r="N18" s="51"/>
    </row>
    <row r="19" spans="2:14" ht="14.25">
      <c r="B19" s="139"/>
      <c r="C19" s="92" t="s">
        <v>53</v>
      </c>
      <c r="D19" s="64">
        <v>150400</v>
      </c>
      <c r="E19" s="65">
        <v>0</v>
      </c>
      <c r="F19" s="64">
        <v>200000</v>
      </c>
      <c r="G19" s="64">
        <v>450000</v>
      </c>
      <c r="H19" s="93"/>
      <c r="I19" s="51"/>
      <c r="J19" s="51"/>
      <c r="K19" s="51"/>
      <c r="L19" s="51"/>
      <c r="M19" s="51"/>
      <c r="N19" s="51"/>
    </row>
    <row r="20" spans="2:14" ht="15" thickBot="1">
      <c r="B20" s="139"/>
      <c r="C20" s="83" t="s">
        <v>54</v>
      </c>
      <c r="D20" s="46">
        <v>108000</v>
      </c>
      <c r="E20" s="44">
        <v>0</v>
      </c>
      <c r="F20" s="44"/>
      <c r="G20" s="46">
        <v>500000</v>
      </c>
      <c r="H20" s="84"/>
      <c r="I20" s="51"/>
      <c r="J20" s="51"/>
      <c r="K20" s="51"/>
      <c r="L20" s="51"/>
      <c r="M20" s="51"/>
      <c r="N20" s="51"/>
    </row>
    <row r="21" spans="2:14" ht="14.25">
      <c r="B21" s="139"/>
      <c r="C21" s="147" t="s">
        <v>31</v>
      </c>
      <c r="D21" s="146">
        <f>SUM(D17:D20)</f>
        <v>509600</v>
      </c>
      <c r="E21" s="146">
        <f t="shared" ref="E21:F21" si="4">SUM(E17:E20)</f>
        <v>200000</v>
      </c>
      <c r="F21" s="146">
        <f t="shared" si="4"/>
        <v>500000</v>
      </c>
      <c r="G21" s="146">
        <f>SUM(G17:G20)</f>
        <v>1600000</v>
      </c>
      <c r="H21" s="146">
        <f>SUM(D21:G21)</f>
        <v>2809600</v>
      </c>
      <c r="I21" s="51"/>
      <c r="J21" s="51"/>
      <c r="K21" s="51"/>
      <c r="L21" s="51"/>
      <c r="M21" s="51"/>
      <c r="N21" s="51"/>
    </row>
    <row r="22" spans="2:14" ht="15" thickBot="1">
      <c r="B22" s="140"/>
      <c r="C22" s="85" t="s">
        <v>38</v>
      </c>
      <c r="D22" s="86">
        <v>500000</v>
      </c>
      <c r="E22" s="86">
        <v>200000</v>
      </c>
      <c r="F22" s="86">
        <v>500000</v>
      </c>
      <c r="G22" s="86">
        <v>1600000</v>
      </c>
      <c r="H22" s="45">
        <f>SUM(D22:G22)</f>
        <v>2800000</v>
      </c>
      <c r="I22" s="51"/>
      <c r="J22" s="51"/>
      <c r="K22" s="51"/>
      <c r="L22" s="51"/>
      <c r="M22" s="51"/>
      <c r="N22" s="51"/>
    </row>
    <row r="23" spans="2:14" ht="15" thickBot="1">
      <c r="B23" s="79" t="s">
        <v>55</v>
      </c>
      <c r="C23" s="87" t="s">
        <v>56</v>
      </c>
      <c r="D23" s="88">
        <v>100800</v>
      </c>
      <c r="E23" s="88">
        <v>100000</v>
      </c>
      <c r="F23" s="88">
        <v>100000</v>
      </c>
      <c r="G23" s="88">
        <v>400000</v>
      </c>
      <c r="H23" s="89"/>
      <c r="I23" s="56"/>
      <c r="J23" s="57">
        <f>D18+D19+D20+D23</f>
        <v>509600</v>
      </c>
      <c r="K23" s="57">
        <f t="shared" ref="K23:M23" si="5">E18+E19+E20+E23</f>
        <v>200000</v>
      </c>
      <c r="L23" s="57">
        <f t="shared" si="5"/>
        <v>400000</v>
      </c>
      <c r="M23" s="57">
        <f t="shared" si="5"/>
        <v>1800000</v>
      </c>
      <c r="N23" s="57">
        <f>SUM(J23:M23)</f>
        <v>2909600</v>
      </c>
    </row>
    <row r="24" spans="2:14" ht="14.25">
      <c r="B24" s="79"/>
      <c r="C24" s="90" t="s">
        <v>57</v>
      </c>
      <c r="D24" s="62">
        <v>100800</v>
      </c>
      <c r="E24" s="63">
        <v>100000</v>
      </c>
      <c r="F24" s="62">
        <v>150000</v>
      </c>
      <c r="G24" s="62">
        <v>400000</v>
      </c>
      <c r="H24" s="91"/>
      <c r="I24" s="50"/>
      <c r="J24" s="50"/>
      <c r="K24" s="50"/>
      <c r="L24" s="50"/>
      <c r="M24" s="50"/>
      <c r="N24" s="50"/>
    </row>
    <row r="25" spans="2:14" ht="14.25">
      <c r="B25" s="79"/>
      <c r="C25" s="92" t="s">
        <v>58</v>
      </c>
      <c r="D25" s="64">
        <v>150400</v>
      </c>
      <c r="E25" s="65"/>
      <c r="F25" s="64">
        <v>150000</v>
      </c>
      <c r="G25" s="64">
        <v>400000</v>
      </c>
      <c r="H25" s="93"/>
      <c r="I25" s="51"/>
      <c r="J25" s="51"/>
      <c r="K25" s="51"/>
      <c r="L25" s="51"/>
      <c r="M25" s="51"/>
      <c r="N25" s="51"/>
    </row>
    <row r="26" spans="2:14" ht="15" thickBot="1">
      <c r="B26" s="79"/>
      <c r="C26" s="99" t="s">
        <v>59</v>
      </c>
      <c r="D26" s="100">
        <v>150400</v>
      </c>
      <c r="E26" s="68"/>
      <c r="F26" s="68">
        <v>100000</v>
      </c>
      <c r="G26" s="100">
        <v>400000</v>
      </c>
      <c r="H26" s="101"/>
      <c r="I26" s="51"/>
      <c r="J26" s="51"/>
      <c r="K26" s="51"/>
      <c r="L26" s="51"/>
      <c r="M26" s="51"/>
      <c r="N26" s="51"/>
    </row>
    <row r="27" spans="2:14" ht="14.25">
      <c r="B27" s="79"/>
      <c r="C27" s="147" t="s">
        <v>31</v>
      </c>
      <c r="D27" s="146">
        <f>SUM(D23:D26)</f>
        <v>502400</v>
      </c>
      <c r="E27" s="146">
        <f>SUM(E23:E26)</f>
        <v>200000</v>
      </c>
      <c r="F27" s="146">
        <f>SUM(F23:F26)</f>
        <v>500000</v>
      </c>
      <c r="G27" s="146">
        <f>SUM(G23:G26)</f>
        <v>1600000</v>
      </c>
      <c r="H27" s="146">
        <f>SUM(D27:G27)</f>
        <v>2802400</v>
      </c>
      <c r="I27" s="51"/>
      <c r="J27" s="51"/>
      <c r="K27" s="51"/>
      <c r="L27" s="51"/>
      <c r="M27" s="51"/>
      <c r="N27" s="51"/>
    </row>
    <row r="28" spans="2:14" ht="15" thickBot="1">
      <c r="B28" s="58"/>
      <c r="C28" s="54" t="s">
        <v>38</v>
      </c>
      <c r="D28" s="45">
        <v>500000</v>
      </c>
      <c r="E28" s="45">
        <v>200000</v>
      </c>
      <c r="F28" s="45">
        <v>500000</v>
      </c>
      <c r="G28" s="45">
        <v>1600000</v>
      </c>
      <c r="H28" s="45">
        <f>SUM(D28:G28)</f>
        <v>2800000</v>
      </c>
      <c r="I28" s="51"/>
      <c r="J28" s="51"/>
      <c r="K28" s="51"/>
      <c r="L28" s="51"/>
      <c r="M28" s="51"/>
      <c r="N28" s="51"/>
    </row>
    <row r="29" spans="2:14" s="37" customFormat="1" ht="15" thickBot="1">
      <c r="B29" s="58"/>
      <c r="C29" s="59" t="s">
        <v>60</v>
      </c>
      <c r="D29" s="60">
        <v>200000</v>
      </c>
      <c r="E29" s="60">
        <v>200000</v>
      </c>
      <c r="F29" s="60">
        <v>200000</v>
      </c>
      <c r="G29" s="60">
        <v>400000</v>
      </c>
      <c r="H29" s="61"/>
      <c r="I29" s="56"/>
      <c r="J29" s="57">
        <f>D24+D25+D26+D29</f>
        <v>601600</v>
      </c>
      <c r="K29" s="57">
        <f t="shared" ref="K29:M29" si="6">E24+E25+E26+E29</f>
        <v>300000</v>
      </c>
      <c r="L29" s="57">
        <f t="shared" si="6"/>
        <v>600000</v>
      </c>
      <c r="M29" s="57">
        <f t="shared" si="6"/>
        <v>1600000</v>
      </c>
      <c r="N29" s="57">
        <f>SUM(J29:M29)</f>
        <v>3101600</v>
      </c>
    </row>
    <row r="30" spans="2:14" s="37" customFormat="1" ht="15" thickBot="1">
      <c r="B30" s="66"/>
      <c r="C30" s="67"/>
      <c r="D30" s="68"/>
      <c r="E30" s="68"/>
      <c r="F30" s="68"/>
      <c r="G30" s="68"/>
      <c r="H30" s="68"/>
    </row>
    <row r="31" spans="2:14" s="37" customFormat="1"/>
    <row r="32" spans="2:14" s="37" customFormat="1"/>
    <row r="33" spans="2:2" s="37" customFormat="1"/>
    <row r="34" spans="2:2" s="37" customFormat="1"/>
    <row r="35" spans="2:2" s="37" customFormat="1"/>
    <row r="36" spans="2:2" s="37" customFormat="1"/>
    <row r="37" spans="2:2" s="37" customFormat="1"/>
    <row r="38" spans="2:2" s="37" customFormat="1"/>
    <row r="39" spans="2:2" s="37" customFormat="1"/>
    <row r="40" spans="2:2" s="37" customFormat="1"/>
    <row r="41" spans="2:2" s="37" customFormat="1"/>
    <row r="42" spans="2:2">
      <c r="B42" s="37"/>
    </row>
  </sheetData>
  <mergeCells count="7">
    <mergeCell ref="N2:N3"/>
    <mergeCell ref="B17:B22"/>
    <mergeCell ref="B2:B3"/>
    <mergeCell ref="H2:H3"/>
    <mergeCell ref="B4:B9"/>
    <mergeCell ref="B10:B16"/>
    <mergeCell ref="H13:H14"/>
  </mergeCells>
  <pageMargins left="0" right="0" top="0" bottom="0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BTF</vt:lpstr>
      <vt:lpstr>Delivery Schedule</vt:lpstr>
      <vt:lpstr>Sheet1</vt:lpstr>
      <vt:lpstr>BTF!Print_Area</vt:lpstr>
      <vt:lpstr>'Delivery Schedule'!Print_Area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2016-12-14T00:40:49Z</cp:lastPrinted>
  <dcterms:created xsi:type="dcterms:W3CDTF">2016-09-01T00:00:56Z</dcterms:created>
  <dcterms:modified xsi:type="dcterms:W3CDTF">2016-12-14T01:10:18Z</dcterms:modified>
</cp:coreProperties>
</file>