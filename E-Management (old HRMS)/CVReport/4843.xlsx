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0" windowWidth="19395" windowHeight="8055" activeTab="5"/>
  </bookViews>
  <sheets>
    <sheet name="MO-456" sheetId="9" r:id="rId1"/>
    <sheet name="BD-028" sheetId="8" r:id="rId2"/>
    <sheet name="MO-800" sheetId="7" r:id="rId3"/>
    <sheet name="MO-500" sheetId="5" r:id="rId4"/>
    <sheet name="MO-600" sheetId="4" r:id="rId5"/>
    <sheet name="工藤　業務" sheetId="6" r:id="rId6"/>
  </sheets>
  <calcPr calcId="125725"/>
</workbook>
</file>

<file path=xl/calcChain.xml><?xml version="1.0" encoding="utf-8"?>
<calcChain xmlns="http://schemas.openxmlformats.org/spreadsheetml/2006/main">
  <c r="D30" i="9"/>
  <c r="B30"/>
  <c r="D29"/>
  <c r="B29"/>
  <c r="D28"/>
  <c r="D27" s="1"/>
  <c r="B28"/>
  <c r="B27"/>
  <c r="D26"/>
  <c r="B26"/>
  <c r="L54" i="8"/>
  <c r="K54"/>
  <c r="J54" s="1"/>
  <c r="I54"/>
  <c r="L53"/>
  <c r="K53"/>
  <c r="J53" s="1"/>
  <c r="I53"/>
  <c r="L52"/>
  <c r="K52"/>
  <c r="J52" s="1"/>
  <c r="I52"/>
  <c r="L51"/>
  <c r="K51"/>
  <c r="J51" s="1"/>
  <c r="I51"/>
  <c r="L50"/>
  <c r="K50"/>
  <c r="J50" s="1"/>
  <c r="I50"/>
  <c r="L49"/>
  <c r="K49"/>
  <c r="J49" s="1"/>
  <c r="I49"/>
  <c r="L48"/>
  <c r="K48"/>
  <c r="J48" s="1"/>
  <c r="I48"/>
  <c r="L47"/>
  <c r="K47"/>
  <c r="J47" s="1"/>
  <c r="I47"/>
  <c r="L46"/>
  <c r="K46"/>
  <c r="J46" s="1"/>
  <c r="I46"/>
  <c r="L45"/>
  <c r="K45"/>
  <c r="J45" s="1"/>
  <c r="I45"/>
  <c r="L44"/>
  <c r="K44"/>
  <c r="J44" s="1"/>
  <c r="I44"/>
  <c r="L43"/>
  <c r="K43"/>
  <c r="J43" s="1"/>
  <c r="I43"/>
  <c r="L42"/>
  <c r="K42"/>
  <c r="J42" s="1"/>
  <c r="I42"/>
  <c r="L41"/>
  <c r="K41"/>
  <c r="J41" s="1"/>
  <c r="I41"/>
  <c r="L40"/>
  <c r="K40"/>
  <c r="J40" s="1"/>
  <c r="I40"/>
  <c r="L39"/>
  <c r="K39"/>
  <c r="J39" s="1"/>
  <c r="I39"/>
  <c r="L38"/>
  <c r="K38"/>
  <c r="J38" s="1"/>
  <c r="I38"/>
  <c r="L37"/>
  <c r="K37"/>
  <c r="J37" s="1"/>
  <c r="I37"/>
  <c r="L36"/>
  <c r="K36"/>
  <c r="J36" s="1"/>
  <c r="I36"/>
  <c r="L35"/>
  <c r="K35"/>
  <c r="J35" s="1"/>
  <c r="I35"/>
  <c r="L34"/>
  <c r="K34"/>
  <c r="J34" s="1"/>
  <c r="I34"/>
  <c r="L33"/>
  <c r="K33"/>
  <c r="J33" s="1"/>
  <c r="I33"/>
  <c r="L32"/>
  <c r="K32"/>
  <c r="J32" s="1"/>
  <c r="I32"/>
  <c r="L31"/>
  <c r="K31"/>
  <c r="J31" s="1"/>
  <c r="I31"/>
  <c r="L30"/>
  <c r="K30"/>
  <c r="J30" s="1"/>
  <c r="I30"/>
  <c r="L29"/>
  <c r="K29"/>
  <c r="J29" s="1"/>
  <c r="I29"/>
  <c r="L28"/>
  <c r="K28"/>
  <c r="J28" s="1"/>
  <c r="I28"/>
  <c r="L27"/>
  <c r="K27"/>
  <c r="J27" s="1"/>
  <c r="I27"/>
  <c r="L26"/>
  <c r="K26"/>
  <c r="J26" s="1"/>
  <c r="I26"/>
  <c r="L25"/>
  <c r="J25" s="1"/>
  <c r="K25"/>
  <c r="I25"/>
  <c r="L24"/>
  <c r="K24"/>
  <c r="J24"/>
  <c r="I24"/>
  <c r="L23"/>
  <c r="K23"/>
  <c r="J23"/>
  <c r="I23"/>
  <c r="R20" s="1"/>
  <c r="L22"/>
  <c r="K22"/>
  <c r="J22"/>
  <c r="I22"/>
  <c r="P21"/>
  <c r="O21"/>
  <c r="L21"/>
  <c r="K21"/>
  <c r="J21" s="1"/>
  <c r="I21"/>
  <c r="Q20"/>
  <c r="L20"/>
  <c r="K20"/>
  <c r="J20" s="1"/>
  <c r="I20"/>
  <c r="R19"/>
  <c r="Q19"/>
  <c r="P19"/>
  <c r="O19"/>
  <c r="N19"/>
  <c r="L19"/>
  <c r="J19" s="1"/>
  <c r="K19"/>
  <c r="I19"/>
  <c r="P20" s="1"/>
  <c r="R18"/>
  <c r="Q18"/>
  <c r="P18"/>
  <c r="O18"/>
  <c r="N18"/>
  <c r="L18"/>
  <c r="K18"/>
  <c r="J18"/>
  <c r="I18"/>
  <c r="R17"/>
  <c r="Q17"/>
  <c r="P17"/>
  <c r="O17"/>
  <c r="N17"/>
  <c r="L17"/>
  <c r="K17"/>
  <c r="J17" s="1"/>
  <c r="I17"/>
  <c r="O20" s="1"/>
  <c r="L16"/>
  <c r="K16"/>
  <c r="J16" s="1"/>
  <c r="I16"/>
  <c r="L15"/>
  <c r="K15"/>
  <c r="J15" s="1"/>
  <c r="I15"/>
  <c r="N20" s="1"/>
  <c r="L14"/>
  <c r="K14"/>
  <c r="J14" s="1"/>
  <c r="I14"/>
  <c r="L13"/>
  <c r="K13"/>
  <c r="J13" s="1"/>
  <c r="I13"/>
  <c r="R21" s="1"/>
  <c r="L12"/>
  <c r="K12"/>
  <c r="J12" s="1"/>
  <c r="I12"/>
  <c r="L11"/>
  <c r="K11"/>
  <c r="J11" s="1"/>
  <c r="I11"/>
  <c r="Q21" s="1"/>
  <c r="L10"/>
  <c r="K10"/>
  <c r="J10" s="1"/>
  <c r="I10"/>
  <c r="L9"/>
  <c r="K9"/>
  <c r="J9" s="1"/>
  <c r="I9"/>
  <c r="L8"/>
  <c r="K8"/>
  <c r="J8" s="1"/>
  <c r="I8"/>
  <c r="L7"/>
  <c r="K7"/>
  <c r="J7" s="1"/>
  <c r="I7"/>
  <c r="L6"/>
  <c r="K6"/>
  <c r="J6" s="1"/>
  <c r="I6"/>
  <c r="L5"/>
  <c r="K5"/>
  <c r="J5" s="1"/>
  <c r="I5"/>
  <c r="N21" s="1"/>
  <c r="D30" i="7"/>
  <c r="B30"/>
  <c r="D29"/>
  <c r="B29"/>
  <c r="D28"/>
  <c r="D27" s="1"/>
  <c r="B28"/>
  <c r="B27"/>
  <c r="D26"/>
  <c r="B26"/>
  <c r="R25" i="8" l="1"/>
  <c r="R24"/>
  <c r="D30" i="5" l="1"/>
  <c r="B30"/>
  <c r="D29"/>
  <c r="B29"/>
  <c r="D28"/>
  <c r="D27" s="1"/>
  <c r="B28"/>
  <c r="D26"/>
  <c r="B26"/>
  <c r="D30" i="4"/>
  <c r="D29"/>
  <c r="D28"/>
  <c r="D26"/>
  <c r="B30"/>
  <c r="B29"/>
  <c r="B28"/>
  <c r="B26"/>
  <c r="B27" i="5" l="1"/>
  <c r="D27" i="4"/>
  <c r="B27"/>
</calcChain>
</file>

<file path=xl/sharedStrings.xml><?xml version="1.0" encoding="utf-8"?>
<sst xmlns="http://schemas.openxmlformats.org/spreadsheetml/2006/main" count="230" uniqueCount="54">
  <si>
    <t>外径</t>
    <rPh sb="0" eb="2">
      <t>ガイケイ</t>
    </rPh>
    <phoneticPr fontId="1"/>
  </si>
  <si>
    <t>AVG</t>
    <phoneticPr fontId="1"/>
  </si>
  <si>
    <t>R</t>
    <phoneticPr fontId="1"/>
  </si>
  <si>
    <t>MAX</t>
    <phoneticPr fontId="1"/>
  </si>
  <si>
    <t>MIN</t>
    <phoneticPr fontId="1"/>
  </si>
  <si>
    <t>先行</t>
    <rPh sb="0" eb="2">
      <t>センコウ</t>
    </rPh>
    <phoneticPr fontId="1"/>
  </si>
  <si>
    <t>内径</t>
    <rPh sb="0" eb="2">
      <t>ナイケイ</t>
    </rPh>
    <phoneticPr fontId="1"/>
  </si>
  <si>
    <t>厚さ</t>
    <rPh sb="0" eb="1">
      <t>アツ</t>
    </rPh>
    <phoneticPr fontId="1"/>
  </si>
  <si>
    <t>規格</t>
    <rPh sb="0" eb="2">
      <t>キカク</t>
    </rPh>
    <phoneticPr fontId="1"/>
  </si>
  <si>
    <t>ゲージ</t>
    <phoneticPr fontId="1"/>
  </si>
  <si>
    <t>σn-1</t>
    <phoneticPr fontId="1"/>
  </si>
  <si>
    <t>OK</t>
    <phoneticPr fontId="1"/>
  </si>
  <si>
    <t>THS-10A1</t>
    <phoneticPr fontId="1"/>
  </si>
  <si>
    <t>φ8.16±0.07</t>
    <phoneticPr fontId="1"/>
  </si>
  <si>
    <t>3.23±0.13</t>
    <phoneticPr fontId="1"/>
  </si>
  <si>
    <t>MO-600</t>
    <phoneticPr fontId="1"/>
  </si>
  <si>
    <t>1,235℃</t>
    <phoneticPr fontId="1"/>
  </si>
  <si>
    <t>2019.11.21</t>
    <phoneticPr fontId="1"/>
  </si>
  <si>
    <t>2019.11.22</t>
    <phoneticPr fontId="1"/>
  </si>
  <si>
    <t>1,242℃</t>
    <phoneticPr fontId="1"/>
  </si>
  <si>
    <t>φ8.25±0.07</t>
    <phoneticPr fontId="1"/>
  </si>
  <si>
    <t>3.20±0.13</t>
    <phoneticPr fontId="1"/>
  </si>
  <si>
    <t>MO-500</t>
    <phoneticPr fontId="1"/>
  </si>
  <si>
    <t>BD-028臼合わせ</t>
    <rPh sb="6" eb="7">
      <t>ウス</t>
    </rPh>
    <rPh sb="7" eb="8">
      <t>ア</t>
    </rPh>
    <phoneticPr fontId="1"/>
  </si>
  <si>
    <t>華宏製フロートゼロ改善パンチ</t>
    <rPh sb="0" eb="1">
      <t>ハナ</t>
    </rPh>
    <rPh sb="1" eb="2">
      <t>ヒロ</t>
    </rPh>
    <rPh sb="2" eb="3">
      <t>セイ</t>
    </rPh>
    <rPh sb="9" eb="11">
      <t>カイゼン</t>
    </rPh>
    <phoneticPr fontId="1"/>
  </si>
  <si>
    <t>MO-500型付き　下型磨きのみ、型付き有り</t>
    <rPh sb="6" eb="8">
      <t>カタツ</t>
    </rPh>
    <rPh sb="10" eb="11">
      <t>シタ</t>
    </rPh>
    <rPh sb="11" eb="12">
      <t>ガタ</t>
    </rPh>
    <rPh sb="12" eb="13">
      <t>ミガ</t>
    </rPh>
    <rPh sb="17" eb="19">
      <t>カタツ</t>
    </rPh>
    <rPh sb="20" eb="21">
      <t>ア</t>
    </rPh>
    <phoneticPr fontId="1"/>
  </si>
  <si>
    <t>BD-028金型取付　PNo72</t>
    <rPh sb="6" eb="8">
      <t>カナガタ</t>
    </rPh>
    <rPh sb="8" eb="10">
      <t>トリツケ</t>
    </rPh>
    <phoneticPr fontId="1"/>
  </si>
  <si>
    <t>R3-2　MO-422→MO-407へ変更</t>
    <rPh sb="19" eb="21">
      <t>ヘンコウ</t>
    </rPh>
    <phoneticPr fontId="1"/>
  </si>
  <si>
    <t>THS-10A2</t>
    <phoneticPr fontId="1"/>
  </si>
  <si>
    <t>MO-422下型交換</t>
    <rPh sb="6" eb="7">
      <t>シタ</t>
    </rPh>
    <rPh sb="7" eb="8">
      <t>ガタ</t>
    </rPh>
    <rPh sb="8" eb="10">
      <t>コウカン</t>
    </rPh>
    <phoneticPr fontId="1"/>
  </si>
  <si>
    <t>MO-435→MO-600交換　上下新品</t>
    <rPh sb="13" eb="15">
      <t>コウカン</t>
    </rPh>
    <rPh sb="16" eb="18">
      <t>ジョウゲ</t>
    </rPh>
    <rPh sb="18" eb="20">
      <t>シンピン</t>
    </rPh>
    <phoneticPr fontId="1"/>
  </si>
  <si>
    <t>MO-422</t>
    <phoneticPr fontId="1"/>
  </si>
  <si>
    <t>上型交換</t>
    <rPh sb="0" eb="1">
      <t>ウワ</t>
    </rPh>
    <rPh sb="1" eb="2">
      <t>ガタ</t>
    </rPh>
    <rPh sb="2" eb="4">
      <t>コウカン</t>
    </rPh>
    <phoneticPr fontId="1"/>
  </si>
  <si>
    <t>下型交換</t>
    <rPh sb="0" eb="1">
      <t>シタ</t>
    </rPh>
    <rPh sb="1" eb="2">
      <t>ガタ</t>
    </rPh>
    <rPh sb="2" eb="4">
      <t>コウカン</t>
    </rPh>
    <phoneticPr fontId="1"/>
  </si>
  <si>
    <t>R3-1　MO-420→MO-407へ変更(割掛変更前の金型使用)</t>
    <rPh sb="19" eb="21">
      <t>ヘンコウ</t>
    </rPh>
    <rPh sb="22" eb="24">
      <t>ワリカケ</t>
    </rPh>
    <rPh sb="24" eb="27">
      <t>ヘンコウマエ</t>
    </rPh>
    <rPh sb="28" eb="30">
      <t>カナガタ</t>
    </rPh>
    <rPh sb="30" eb="32">
      <t>シヨウ</t>
    </rPh>
    <phoneticPr fontId="1"/>
  </si>
  <si>
    <t>MO-600バリ大で上下型2セット交換</t>
    <rPh sb="8" eb="9">
      <t>ダイ</t>
    </rPh>
    <rPh sb="10" eb="12">
      <t>ジョウゲ</t>
    </rPh>
    <rPh sb="12" eb="13">
      <t>ガタ</t>
    </rPh>
    <rPh sb="17" eb="19">
      <t>コウカン</t>
    </rPh>
    <phoneticPr fontId="1"/>
  </si>
  <si>
    <t>PB-3 MO-331バリ大　上下型交換</t>
    <rPh sb="13" eb="14">
      <t>ダイ</t>
    </rPh>
    <rPh sb="15" eb="17">
      <t>ジョウゲ</t>
    </rPh>
    <rPh sb="17" eb="18">
      <t>ガタ</t>
    </rPh>
    <rPh sb="18" eb="20">
      <t>コウカン</t>
    </rPh>
    <phoneticPr fontId="1"/>
  </si>
  <si>
    <t>R8　MO-295　上下型交換</t>
    <rPh sb="10" eb="12">
      <t>ジョウゲ</t>
    </rPh>
    <rPh sb="12" eb="13">
      <t>ガタ</t>
    </rPh>
    <rPh sb="13" eb="15">
      <t>コウカン</t>
    </rPh>
    <phoneticPr fontId="1"/>
  </si>
  <si>
    <t>MO-800</t>
    <phoneticPr fontId="1"/>
  </si>
  <si>
    <t>1,234℃</t>
    <phoneticPr fontId="1"/>
  </si>
  <si>
    <t>2019.11.20</t>
    <phoneticPr fontId="1"/>
  </si>
  <si>
    <t>BD-028</t>
    <phoneticPr fontId="1"/>
  </si>
  <si>
    <t>PNo72</t>
    <phoneticPr fontId="1"/>
  </si>
  <si>
    <t>2019.11.14</t>
    <phoneticPr fontId="1"/>
  </si>
  <si>
    <t>H 4.5Ton</t>
    <phoneticPr fontId="1"/>
  </si>
  <si>
    <t>狙い</t>
    <rPh sb="0" eb="1">
      <t>ネラ</t>
    </rPh>
    <phoneticPr fontId="1"/>
  </si>
  <si>
    <t>φ5.23</t>
    <phoneticPr fontId="1"/>
  </si>
  <si>
    <t>CAV</t>
    <phoneticPr fontId="1"/>
  </si>
  <si>
    <t>厚み</t>
    <rPh sb="0" eb="1">
      <t>アツ</t>
    </rPh>
    <phoneticPr fontId="1"/>
  </si>
  <si>
    <t>MO-456</t>
    <phoneticPr fontId="1"/>
  </si>
  <si>
    <t>1,237℃</t>
    <phoneticPr fontId="1"/>
  </si>
  <si>
    <t>2019.11.15</t>
    <phoneticPr fontId="1"/>
  </si>
  <si>
    <t>φ7.3+0.15/-0.1</t>
    <phoneticPr fontId="1"/>
  </si>
  <si>
    <t>2.0±0.1</t>
    <phoneticPr fontId="1"/>
  </si>
</sst>
</file>

<file path=xl/styles.xml><?xml version="1.0" encoding="utf-8"?>
<styleSheet xmlns="http://schemas.openxmlformats.org/spreadsheetml/2006/main">
  <numFmts count="3">
    <numFmt numFmtId="176" formatCode="0.000_ "/>
    <numFmt numFmtId="177" formatCode="0.0000_ "/>
    <numFmt numFmtId="178" formatCode="0.00_ "/>
  </numFmts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56" fontId="2" fillId="0" borderId="8" xfId="0" applyNumberFormat="1" applyFont="1" applyBorder="1">
      <alignment vertical="center"/>
    </xf>
    <xf numFmtId="0" fontId="2" fillId="0" borderId="9" xfId="0" applyFont="1" applyBorder="1">
      <alignment vertical="center"/>
    </xf>
    <xf numFmtId="56" fontId="2" fillId="0" borderId="1" xfId="0" applyNumberFormat="1" applyFont="1" applyBorder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1" xfId="0" applyFont="1" applyBorder="1">
      <alignment vertical="center"/>
    </xf>
    <xf numFmtId="176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176" fontId="0" fillId="3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361950</xdr:colOff>
      <xdr:row>21</xdr:row>
      <xdr:rowOff>0</xdr:rowOff>
    </xdr:from>
    <xdr:to>
      <xdr:col>15</xdr:col>
      <xdr:colOff>123825</xdr:colOff>
      <xdr:row>24</xdr:row>
      <xdr:rowOff>123825</xdr:rowOff>
    </xdr:to>
    <xdr:sp macro="" textlink="">
      <xdr:nvSpPr>
        <xdr:cNvPr id="2" name="下矢印 1"/>
        <xdr:cNvSpPr/>
      </xdr:nvSpPr>
      <xdr:spPr>
        <a:xfrm rot="10800000">
          <a:off x="9963150" y="3600450"/>
          <a:ext cx="447675" cy="638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0"/>
  <sheetViews>
    <sheetView workbookViewId="0">
      <selection activeCell="D3" sqref="D3"/>
    </sheetView>
  </sheetViews>
  <sheetFormatPr defaultRowHeight="13.5"/>
  <cols>
    <col min="2" max="2" width="15" bestFit="1" customWidth="1"/>
    <col min="4" max="4" width="10" customWidth="1"/>
  </cols>
  <sheetData>
    <row r="2" spans="1:6">
      <c r="B2" t="s">
        <v>49</v>
      </c>
      <c r="C2" t="s">
        <v>5</v>
      </c>
      <c r="D2" t="s">
        <v>50</v>
      </c>
      <c r="F2" t="s">
        <v>51</v>
      </c>
    </row>
    <row r="4" spans="1:6">
      <c r="B4" s="1" t="s">
        <v>0</v>
      </c>
      <c r="C4" s="1" t="s">
        <v>6</v>
      </c>
      <c r="D4" s="1" t="s">
        <v>7</v>
      </c>
    </row>
    <row r="5" spans="1:6">
      <c r="A5" t="s">
        <v>8</v>
      </c>
      <c r="B5" t="s">
        <v>52</v>
      </c>
      <c r="C5" s="1" t="s">
        <v>9</v>
      </c>
      <c r="D5" s="1" t="s">
        <v>53</v>
      </c>
    </row>
    <row r="6" spans="1:6">
      <c r="A6">
        <v>1</v>
      </c>
      <c r="B6">
        <v>7.306</v>
      </c>
      <c r="C6" s="1" t="s">
        <v>11</v>
      </c>
      <c r="D6">
        <v>2.016</v>
      </c>
    </row>
    <row r="7" spans="1:6">
      <c r="A7">
        <v>2</v>
      </c>
      <c r="B7">
        <v>7.3120000000000003</v>
      </c>
      <c r="C7" s="1" t="s">
        <v>11</v>
      </c>
      <c r="D7">
        <v>1.9970000000000001</v>
      </c>
    </row>
    <row r="8" spans="1:6">
      <c r="A8">
        <v>3</v>
      </c>
      <c r="B8">
        <v>7.3129999999999997</v>
      </c>
      <c r="C8" s="1" t="s">
        <v>11</v>
      </c>
      <c r="D8">
        <v>2.008</v>
      </c>
    </row>
    <row r="9" spans="1:6">
      <c r="A9">
        <v>4</v>
      </c>
      <c r="B9">
        <v>7.2969999999999997</v>
      </c>
      <c r="C9" s="1" t="s">
        <v>11</v>
      </c>
      <c r="D9">
        <v>1.996</v>
      </c>
    </row>
    <row r="10" spans="1:6">
      <c r="A10">
        <v>5</v>
      </c>
      <c r="B10">
        <v>7.3049999999999997</v>
      </c>
      <c r="C10" s="1" t="s">
        <v>11</v>
      </c>
      <c r="D10">
        <v>1.9990000000000001</v>
      </c>
    </row>
    <row r="11" spans="1:6">
      <c r="A11">
        <v>6</v>
      </c>
      <c r="B11">
        <v>7.3040000000000003</v>
      </c>
      <c r="C11" s="1" t="s">
        <v>11</v>
      </c>
      <c r="D11">
        <v>2.0030000000000001</v>
      </c>
    </row>
    <row r="12" spans="1:6">
      <c r="A12">
        <v>7</v>
      </c>
      <c r="B12">
        <v>7.3040000000000003</v>
      </c>
      <c r="C12" s="1" t="s">
        <v>11</v>
      </c>
      <c r="D12">
        <v>2.0030000000000001</v>
      </c>
    </row>
    <row r="13" spans="1:6">
      <c r="A13">
        <v>8</v>
      </c>
      <c r="B13">
        <v>7.3019999999999996</v>
      </c>
      <c r="C13" s="1" t="s">
        <v>11</v>
      </c>
      <c r="D13">
        <v>2.012</v>
      </c>
    </row>
    <row r="14" spans="1:6">
      <c r="A14">
        <v>9</v>
      </c>
      <c r="B14">
        <v>7.2990000000000004</v>
      </c>
      <c r="C14" s="1" t="s">
        <v>11</v>
      </c>
      <c r="D14">
        <v>1.998</v>
      </c>
    </row>
    <row r="15" spans="1:6">
      <c r="A15">
        <v>10</v>
      </c>
      <c r="B15">
        <v>7.3040000000000003</v>
      </c>
      <c r="C15" s="1" t="s">
        <v>11</v>
      </c>
      <c r="D15">
        <v>2</v>
      </c>
    </row>
    <row r="16" spans="1:6">
      <c r="A16">
        <v>11</v>
      </c>
      <c r="B16">
        <v>7.298</v>
      </c>
      <c r="C16" s="1" t="s">
        <v>11</v>
      </c>
      <c r="D16">
        <v>2.0049999999999999</v>
      </c>
    </row>
    <row r="17" spans="1:4">
      <c r="A17">
        <v>12</v>
      </c>
      <c r="B17">
        <v>7.3029999999999999</v>
      </c>
      <c r="C17" s="1" t="s">
        <v>11</v>
      </c>
      <c r="D17">
        <v>2.012</v>
      </c>
    </row>
    <row r="18" spans="1:4">
      <c r="A18">
        <v>13</v>
      </c>
      <c r="B18">
        <v>7.2919999999999998</v>
      </c>
      <c r="C18" s="1" t="s">
        <v>11</v>
      </c>
      <c r="D18">
        <v>2.008</v>
      </c>
    </row>
    <row r="19" spans="1:4">
      <c r="A19">
        <v>14</v>
      </c>
      <c r="B19">
        <v>7.3029999999999999</v>
      </c>
      <c r="C19" s="1" t="s">
        <v>11</v>
      </c>
      <c r="D19">
        <v>2.0049999999999999</v>
      </c>
    </row>
    <row r="20" spans="1:4">
      <c r="A20">
        <v>15</v>
      </c>
      <c r="B20">
        <v>7.3079999999999998</v>
      </c>
      <c r="C20" s="1" t="s">
        <v>11</v>
      </c>
      <c r="D20">
        <v>2.0209999999999999</v>
      </c>
    </row>
    <row r="21" spans="1:4">
      <c r="A21">
        <v>16</v>
      </c>
      <c r="B21">
        <v>7.306</v>
      </c>
      <c r="C21" s="1" t="s">
        <v>11</v>
      </c>
      <c r="D21">
        <v>2.0129999999999999</v>
      </c>
    </row>
    <row r="22" spans="1:4">
      <c r="A22">
        <v>17</v>
      </c>
      <c r="B22">
        <v>7.3029999999999999</v>
      </c>
      <c r="C22" s="1" t="s">
        <v>11</v>
      </c>
      <c r="D22">
        <v>2.016</v>
      </c>
    </row>
    <row r="23" spans="1:4">
      <c r="A23">
        <v>18</v>
      </c>
      <c r="B23">
        <v>7.2960000000000003</v>
      </c>
      <c r="C23" s="1" t="s">
        <v>11</v>
      </c>
      <c r="D23">
        <v>2.004</v>
      </c>
    </row>
    <row r="24" spans="1:4">
      <c r="A24">
        <v>19</v>
      </c>
      <c r="B24">
        <v>7.298</v>
      </c>
      <c r="C24" s="1" t="s">
        <v>11</v>
      </c>
      <c r="D24">
        <v>2.0059999999999998</v>
      </c>
    </row>
    <row r="25" spans="1:4">
      <c r="A25">
        <v>20</v>
      </c>
      <c r="B25">
        <v>7.3079999999999998</v>
      </c>
      <c r="C25" s="1" t="s">
        <v>11</v>
      </c>
      <c r="D25">
        <v>2.0150000000000001</v>
      </c>
    </row>
    <row r="26" spans="1:4">
      <c r="A26" s="1" t="s">
        <v>1</v>
      </c>
      <c r="B26" s="2">
        <f>AVERAGE(B6:B25)</f>
        <v>7.3030500000000007</v>
      </c>
      <c r="D26" s="2">
        <f>AVERAGE(D6:D25)</f>
        <v>2.0068499999999996</v>
      </c>
    </row>
    <row r="27" spans="1:4">
      <c r="A27" s="1" t="s">
        <v>2</v>
      </c>
      <c r="B27">
        <f>B28-B29</f>
        <v>2.0999999999999908E-2</v>
      </c>
      <c r="D27">
        <f>D28-D29</f>
        <v>2.4999999999999911E-2</v>
      </c>
    </row>
    <row r="28" spans="1:4">
      <c r="A28" s="1" t="s">
        <v>3</v>
      </c>
      <c r="B28">
        <f>MAX(B6:B25)</f>
        <v>7.3129999999999997</v>
      </c>
      <c r="D28">
        <f>MAX(D6:D25)</f>
        <v>2.0209999999999999</v>
      </c>
    </row>
    <row r="29" spans="1:4">
      <c r="A29" s="1" t="s">
        <v>4</v>
      </c>
      <c r="B29">
        <f>MIN(B6:B25)</f>
        <v>7.2919999999999998</v>
      </c>
      <c r="D29">
        <f>MIN(D6:D25)</f>
        <v>1.996</v>
      </c>
    </row>
    <row r="30" spans="1:4">
      <c r="A30" s="1" t="s">
        <v>10</v>
      </c>
      <c r="B30" s="3">
        <f>STDEV(B6:B25)</f>
        <v>5.2763125082021462E-3</v>
      </c>
      <c r="D30" s="3">
        <f>STDEV(D6:D25)</f>
        <v>7.1618506870192158E-3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R56"/>
  <sheetViews>
    <sheetView topLeftCell="B1" workbookViewId="0">
      <selection activeCell="G3" sqref="G3"/>
    </sheetView>
  </sheetViews>
  <sheetFormatPr defaultRowHeight="13.5"/>
  <cols>
    <col min="2" max="2" width="9" style="1"/>
  </cols>
  <sheetData>
    <row r="2" spans="1:12">
      <c r="B2" s="1" t="s">
        <v>41</v>
      </c>
      <c r="C2" t="s">
        <v>42</v>
      </c>
      <c r="E2" t="s">
        <v>43</v>
      </c>
      <c r="G2" t="s">
        <v>44</v>
      </c>
      <c r="I2" t="s">
        <v>45</v>
      </c>
      <c r="J2" t="s">
        <v>46</v>
      </c>
      <c r="K2">
        <v>2.63</v>
      </c>
    </row>
    <row r="4" spans="1:12">
      <c r="D4" s="1">
        <v>1</v>
      </c>
      <c r="E4" s="1">
        <v>2</v>
      </c>
      <c r="F4" s="1">
        <v>3</v>
      </c>
      <c r="G4" s="1">
        <v>4</v>
      </c>
      <c r="H4" s="1">
        <v>5</v>
      </c>
      <c r="I4" s="1" t="s">
        <v>1</v>
      </c>
      <c r="J4" s="1" t="s">
        <v>2</v>
      </c>
      <c r="K4" s="1" t="s">
        <v>3</v>
      </c>
      <c r="L4" s="1" t="s">
        <v>4</v>
      </c>
    </row>
    <row r="5" spans="1:12">
      <c r="A5" s="1" t="s">
        <v>47</v>
      </c>
      <c r="B5" s="1">
        <v>1</v>
      </c>
      <c r="C5" s="1" t="s">
        <v>0</v>
      </c>
      <c r="D5">
        <v>5.4240000000000004</v>
      </c>
      <c r="E5">
        <v>5.4050000000000002</v>
      </c>
      <c r="F5" s="1">
        <v>5.3460000000000001</v>
      </c>
      <c r="G5" s="1">
        <v>5.391</v>
      </c>
      <c r="H5" s="1">
        <v>5.3659999999999997</v>
      </c>
      <c r="I5" s="17">
        <f>AVERAGE(D5:H5)</f>
        <v>5.3864000000000001</v>
      </c>
      <c r="J5" s="18">
        <f>K5-L5</f>
        <v>7.8000000000000291E-2</v>
      </c>
      <c r="K5">
        <f>MAX(D5:H5)</f>
        <v>5.4240000000000004</v>
      </c>
      <c r="L5">
        <f>MIN(D5:H5)</f>
        <v>5.3460000000000001</v>
      </c>
    </row>
    <row r="6" spans="1:12">
      <c r="C6" s="1" t="s">
        <v>48</v>
      </c>
      <c r="D6">
        <v>2.4079999999999999</v>
      </c>
      <c r="E6">
        <v>2.4249999999999998</v>
      </c>
      <c r="F6">
        <v>2.3460000000000001</v>
      </c>
      <c r="G6">
        <v>2.4350000000000001</v>
      </c>
      <c r="H6">
        <v>2.383</v>
      </c>
      <c r="I6" s="2">
        <f t="shared" ref="I6:I54" si="0">AVERAGE(D6:H6)</f>
        <v>2.3994</v>
      </c>
      <c r="J6" s="18">
        <f t="shared" ref="J6:J54" si="1">K6-L6</f>
        <v>8.8999999999999968E-2</v>
      </c>
      <c r="K6">
        <f t="shared" ref="K6:K54" si="2">MAX(D6:H6)</f>
        <v>2.4350000000000001</v>
      </c>
      <c r="L6">
        <f t="shared" ref="L6:L54" si="3">MIN(D6:H6)</f>
        <v>2.3460000000000001</v>
      </c>
    </row>
    <row r="7" spans="1:12">
      <c r="B7" s="1">
        <v>2</v>
      </c>
      <c r="C7" s="1" t="s">
        <v>0</v>
      </c>
      <c r="D7">
        <v>5.3360000000000003</v>
      </c>
      <c r="E7">
        <v>5.3760000000000003</v>
      </c>
      <c r="F7">
        <v>5.3929999999999998</v>
      </c>
      <c r="G7">
        <v>5.351</v>
      </c>
      <c r="H7">
        <v>5.3289999999999997</v>
      </c>
      <c r="I7" s="17">
        <f t="shared" si="0"/>
        <v>5.3570000000000002</v>
      </c>
      <c r="J7" s="18">
        <f t="shared" si="1"/>
        <v>6.4000000000000057E-2</v>
      </c>
      <c r="K7">
        <f t="shared" si="2"/>
        <v>5.3929999999999998</v>
      </c>
      <c r="L7">
        <f t="shared" si="3"/>
        <v>5.3289999999999997</v>
      </c>
    </row>
    <row r="8" spans="1:12">
      <c r="C8" s="1" t="s">
        <v>48</v>
      </c>
      <c r="D8">
        <v>2.34</v>
      </c>
      <c r="E8">
        <v>2.3919999999999999</v>
      </c>
      <c r="F8">
        <v>2.4089999999999998</v>
      </c>
      <c r="G8">
        <v>2.3519999999999999</v>
      </c>
      <c r="H8">
        <v>2.3290000000000002</v>
      </c>
      <c r="I8" s="2">
        <f t="shared" si="0"/>
        <v>2.3643999999999998</v>
      </c>
      <c r="J8" s="18">
        <f t="shared" si="1"/>
        <v>7.9999999999999627E-2</v>
      </c>
      <c r="K8">
        <f t="shared" si="2"/>
        <v>2.4089999999999998</v>
      </c>
      <c r="L8">
        <f t="shared" si="3"/>
        <v>2.3290000000000002</v>
      </c>
    </row>
    <row r="9" spans="1:12">
      <c r="B9" s="1">
        <v>3</v>
      </c>
      <c r="C9" s="1" t="s">
        <v>0</v>
      </c>
      <c r="D9">
        <v>5.33</v>
      </c>
      <c r="E9">
        <v>5.3250000000000002</v>
      </c>
      <c r="F9">
        <v>5.3019999999999996</v>
      </c>
      <c r="G9">
        <v>5.3280000000000003</v>
      </c>
      <c r="H9">
        <v>5.3129999999999997</v>
      </c>
      <c r="I9" s="17">
        <f t="shared" si="0"/>
        <v>5.3195999999999994</v>
      </c>
      <c r="J9" s="18">
        <f t="shared" si="1"/>
        <v>2.8000000000000469E-2</v>
      </c>
      <c r="K9">
        <f t="shared" si="2"/>
        <v>5.33</v>
      </c>
      <c r="L9">
        <f t="shared" si="3"/>
        <v>5.3019999999999996</v>
      </c>
    </row>
    <row r="10" spans="1:12">
      <c r="C10" s="1" t="s">
        <v>48</v>
      </c>
      <c r="D10">
        <v>2.403</v>
      </c>
      <c r="E10">
        <v>2.35</v>
      </c>
      <c r="F10">
        <v>2.3439999999999999</v>
      </c>
      <c r="G10">
        <v>2.3239999999999998</v>
      </c>
      <c r="H10">
        <v>2.33</v>
      </c>
      <c r="I10" s="2">
        <f t="shared" si="0"/>
        <v>2.3502000000000001</v>
      </c>
      <c r="J10" s="18">
        <f t="shared" si="1"/>
        <v>7.9000000000000181E-2</v>
      </c>
      <c r="K10">
        <f t="shared" si="2"/>
        <v>2.403</v>
      </c>
      <c r="L10">
        <f t="shared" si="3"/>
        <v>2.3239999999999998</v>
      </c>
    </row>
    <row r="11" spans="1:12">
      <c r="B11" s="1">
        <v>4</v>
      </c>
      <c r="C11" s="1" t="s">
        <v>0</v>
      </c>
      <c r="D11">
        <v>5.2880000000000003</v>
      </c>
      <c r="E11">
        <v>5.3869999999999996</v>
      </c>
      <c r="F11">
        <v>5.3529999999999998</v>
      </c>
      <c r="G11">
        <v>5.3280000000000003</v>
      </c>
      <c r="H11">
        <v>5.3079999999999998</v>
      </c>
      <c r="I11" s="17">
        <f t="shared" si="0"/>
        <v>5.3327999999999998</v>
      </c>
      <c r="J11" s="18">
        <f t="shared" si="1"/>
        <v>9.8999999999999311E-2</v>
      </c>
      <c r="K11">
        <f t="shared" si="2"/>
        <v>5.3869999999999996</v>
      </c>
      <c r="L11">
        <f t="shared" si="3"/>
        <v>5.2880000000000003</v>
      </c>
    </row>
    <row r="12" spans="1:12">
      <c r="C12" s="1" t="s">
        <v>48</v>
      </c>
      <c r="D12">
        <v>2.2759999999999998</v>
      </c>
      <c r="E12">
        <v>2.331</v>
      </c>
      <c r="F12">
        <v>2.355</v>
      </c>
      <c r="G12">
        <v>2.3010000000000002</v>
      </c>
      <c r="H12">
        <v>2.3050000000000002</v>
      </c>
      <c r="I12" s="2">
        <f t="shared" si="0"/>
        <v>2.3136000000000001</v>
      </c>
      <c r="J12" s="18">
        <f t="shared" si="1"/>
        <v>7.9000000000000181E-2</v>
      </c>
      <c r="K12">
        <f t="shared" si="2"/>
        <v>2.355</v>
      </c>
      <c r="L12">
        <f t="shared" si="3"/>
        <v>2.2759999999999998</v>
      </c>
    </row>
    <row r="13" spans="1:12">
      <c r="B13" s="1">
        <v>5</v>
      </c>
      <c r="C13" s="1" t="s">
        <v>0</v>
      </c>
      <c r="D13">
        <v>5.3170000000000002</v>
      </c>
      <c r="E13">
        <v>5.306</v>
      </c>
      <c r="F13">
        <v>5.3140000000000001</v>
      </c>
      <c r="G13">
        <v>5.3609999999999998</v>
      </c>
      <c r="H13">
        <v>5.2949999999999999</v>
      </c>
      <c r="I13" s="17">
        <f t="shared" si="0"/>
        <v>5.3186000000000009</v>
      </c>
      <c r="J13" s="18">
        <f t="shared" si="1"/>
        <v>6.5999999999999837E-2</v>
      </c>
      <c r="K13">
        <f t="shared" si="2"/>
        <v>5.3609999999999998</v>
      </c>
      <c r="L13">
        <f t="shared" si="3"/>
        <v>5.2949999999999999</v>
      </c>
    </row>
    <row r="14" spans="1:12">
      <c r="C14" s="1" t="s">
        <v>48</v>
      </c>
      <c r="D14">
        <v>2.3029999999999999</v>
      </c>
      <c r="E14">
        <v>2.2879999999999998</v>
      </c>
      <c r="F14">
        <v>2.2970000000000002</v>
      </c>
      <c r="G14">
        <v>2.4</v>
      </c>
      <c r="H14">
        <v>2.242</v>
      </c>
      <c r="I14" s="2">
        <f t="shared" si="0"/>
        <v>2.306</v>
      </c>
      <c r="J14" s="18">
        <f t="shared" si="1"/>
        <v>0.15799999999999992</v>
      </c>
      <c r="K14">
        <f t="shared" si="2"/>
        <v>2.4</v>
      </c>
      <c r="L14">
        <f t="shared" si="3"/>
        <v>2.242</v>
      </c>
    </row>
    <row r="15" spans="1:12">
      <c r="B15" s="1">
        <v>6</v>
      </c>
      <c r="C15" s="1" t="s">
        <v>0</v>
      </c>
      <c r="D15">
        <v>5.3650000000000002</v>
      </c>
      <c r="E15">
        <v>5.3760000000000003</v>
      </c>
      <c r="F15">
        <v>5.3879999999999999</v>
      </c>
      <c r="G15">
        <v>5.4009999999999998</v>
      </c>
      <c r="H15">
        <v>5.3079999999999998</v>
      </c>
      <c r="I15" s="17">
        <f t="shared" si="0"/>
        <v>5.3675999999999995</v>
      </c>
      <c r="J15" s="18">
        <f t="shared" si="1"/>
        <v>9.2999999999999972E-2</v>
      </c>
      <c r="K15">
        <f t="shared" si="2"/>
        <v>5.4009999999999998</v>
      </c>
      <c r="L15">
        <f t="shared" si="3"/>
        <v>5.3079999999999998</v>
      </c>
    </row>
    <row r="16" spans="1:12">
      <c r="C16" s="1" t="s">
        <v>48</v>
      </c>
      <c r="D16">
        <v>2.3490000000000002</v>
      </c>
      <c r="E16">
        <v>2.4049999999999998</v>
      </c>
      <c r="F16">
        <v>2.3759999999999999</v>
      </c>
      <c r="G16">
        <v>2.319</v>
      </c>
      <c r="H16">
        <v>2.38</v>
      </c>
      <c r="I16" s="2">
        <f t="shared" si="0"/>
        <v>2.3657999999999992</v>
      </c>
      <c r="J16" s="18">
        <f t="shared" si="1"/>
        <v>8.5999999999999854E-2</v>
      </c>
      <c r="K16">
        <f t="shared" si="2"/>
        <v>2.4049999999999998</v>
      </c>
      <c r="L16">
        <f t="shared" si="3"/>
        <v>2.319</v>
      </c>
    </row>
    <row r="17" spans="2:18">
      <c r="B17" s="1">
        <v>7</v>
      </c>
      <c r="C17" s="1" t="s">
        <v>0</v>
      </c>
      <c r="D17">
        <v>5.3049999999999997</v>
      </c>
      <c r="E17">
        <v>5.2949999999999999</v>
      </c>
      <c r="F17">
        <v>5.2990000000000004</v>
      </c>
      <c r="G17">
        <v>5.2830000000000004</v>
      </c>
      <c r="H17">
        <v>5.3940000000000001</v>
      </c>
      <c r="I17" s="17">
        <f t="shared" si="0"/>
        <v>5.3151999999999999</v>
      </c>
      <c r="J17" s="18">
        <f t="shared" si="1"/>
        <v>0.11099999999999977</v>
      </c>
      <c r="K17">
        <f t="shared" si="2"/>
        <v>5.3940000000000001</v>
      </c>
      <c r="L17">
        <f t="shared" si="3"/>
        <v>5.2830000000000004</v>
      </c>
      <c r="N17" s="2">
        <f>I45</f>
        <v>5.3413999999999993</v>
      </c>
      <c r="O17" s="17">
        <f>I47</f>
        <v>5.3840000000000003</v>
      </c>
      <c r="P17" s="2">
        <f>I49</f>
        <v>5.3582000000000001</v>
      </c>
      <c r="Q17" s="2">
        <f>I51</f>
        <v>5.3742000000000001</v>
      </c>
      <c r="R17" s="2">
        <f>I53</f>
        <v>5.3564000000000007</v>
      </c>
    </row>
    <row r="18" spans="2:18">
      <c r="C18" s="1" t="s">
        <v>48</v>
      </c>
      <c r="D18">
        <v>2.2839999999999998</v>
      </c>
      <c r="E18">
        <v>2.3330000000000002</v>
      </c>
      <c r="F18">
        <v>2.3069999999999999</v>
      </c>
      <c r="G18">
        <v>2.2919999999999998</v>
      </c>
      <c r="H18">
        <v>2.391</v>
      </c>
      <c r="I18" s="2">
        <f t="shared" si="0"/>
        <v>2.3213999999999997</v>
      </c>
      <c r="J18" s="18">
        <f t="shared" si="1"/>
        <v>0.10700000000000021</v>
      </c>
      <c r="K18">
        <f t="shared" si="2"/>
        <v>2.391</v>
      </c>
      <c r="L18">
        <f t="shared" si="3"/>
        <v>2.2839999999999998</v>
      </c>
      <c r="N18" s="2">
        <f>I35</f>
        <v>5.3388000000000009</v>
      </c>
      <c r="O18" s="2">
        <f>I37</f>
        <v>5.3495999999999997</v>
      </c>
      <c r="P18" s="2">
        <f>I39</f>
        <v>5.3552</v>
      </c>
      <c r="Q18" s="2">
        <f>I41</f>
        <v>5.3586000000000009</v>
      </c>
      <c r="R18" s="17">
        <f>I43</f>
        <v>5.3844000000000003</v>
      </c>
    </row>
    <row r="19" spans="2:18">
      <c r="B19" s="1">
        <v>8</v>
      </c>
      <c r="C19" s="1" t="s">
        <v>0</v>
      </c>
      <c r="D19">
        <v>5.3460000000000001</v>
      </c>
      <c r="E19">
        <v>5.3769999999999998</v>
      </c>
      <c r="F19">
        <v>5.3150000000000004</v>
      </c>
      <c r="G19">
        <v>5.34</v>
      </c>
      <c r="H19">
        <v>5.34</v>
      </c>
      <c r="I19" s="17">
        <f t="shared" si="0"/>
        <v>5.3436000000000003</v>
      </c>
      <c r="J19" s="18">
        <f t="shared" si="1"/>
        <v>6.1999999999999389E-2</v>
      </c>
      <c r="K19">
        <f t="shared" si="2"/>
        <v>5.3769999999999998</v>
      </c>
      <c r="L19">
        <f t="shared" si="3"/>
        <v>5.3150000000000004</v>
      </c>
      <c r="N19" s="19">
        <f>I25</f>
        <v>5.3201999999999998</v>
      </c>
      <c r="O19" s="19">
        <f>I27</f>
        <v>5.3004000000000007</v>
      </c>
      <c r="P19" s="19">
        <f>I29</f>
        <v>5.3105999999999991</v>
      </c>
      <c r="Q19" s="19">
        <f>I31</f>
        <v>5.3188000000000004</v>
      </c>
      <c r="R19" s="2">
        <f>I33</f>
        <v>5.3494000000000002</v>
      </c>
    </row>
    <row r="20" spans="2:18">
      <c r="C20" s="1" t="s">
        <v>48</v>
      </c>
      <c r="D20">
        <v>2.3290000000000002</v>
      </c>
      <c r="E20">
        <v>2.3239999999999998</v>
      </c>
      <c r="F20">
        <v>2.2930000000000001</v>
      </c>
      <c r="G20">
        <v>2.33</v>
      </c>
      <c r="H20">
        <v>2.3380000000000001</v>
      </c>
      <c r="I20" s="2">
        <f t="shared" si="0"/>
        <v>2.3228</v>
      </c>
      <c r="J20" s="18">
        <f t="shared" si="1"/>
        <v>4.4999999999999929E-2</v>
      </c>
      <c r="K20">
        <f t="shared" si="2"/>
        <v>2.3380000000000001</v>
      </c>
      <c r="L20">
        <f t="shared" si="3"/>
        <v>2.2930000000000001</v>
      </c>
      <c r="N20" s="2">
        <f>I15</f>
        <v>5.3675999999999995</v>
      </c>
      <c r="O20" s="2">
        <f>I17</f>
        <v>5.3151999999999999</v>
      </c>
      <c r="P20" s="2">
        <f>I19</f>
        <v>5.3436000000000003</v>
      </c>
      <c r="Q20" s="2">
        <f>I21</f>
        <v>5.3512000000000004</v>
      </c>
      <c r="R20" s="2">
        <f>I23</f>
        <v>5.3323999999999998</v>
      </c>
    </row>
    <row r="21" spans="2:18">
      <c r="B21" s="1">
        <v>9</v>
      </c>
      <c r="C21" s="1" t="s">
        <v>0</v>
      </c>
      <c r="D21">
        <v>5.2949999999999999</v>
      </c>
      <c r="E21">
        <v>5.4029999999999996</v>
      </c>
      <c r="F21">
        <v>5.3490000000000002</v>
      </c>
      <c r="G21">
        <v>5.367</v>
      </c>
      <c r="H21">
        <v>5.3419999999999996</v>
      </c>
      <c r="I21" s="17">
        <f t="shared" si="0"/>
        <v>5.3512000000000004</v>
      </c>
      <c r="J21" s="18">
        <f t="shared" si="1"/>
        <v>0.10799999999999965</v>
      </c>
      <c r="K21">
        <f t="shared" si="2"/>
        <v>5.4029999999999996</v>
      </c>
      <c r="L21">
        <f t="shared" si="3"/>
        <v>5.2949999999999999</v>
      </c>
      <c r="N21" s="17">
        <f>I5</f>
        <v>5.3864000000000001</v>
      </c>
      <c r="O21" s="2">
        <f>I7</f>
        <v>5.3570000000000002</v>
      </c>
      <c r="P21" s="19">
        <f>I9</f>
        <v>5.3195999999999994</v>
      </c>
      <c r="Q21" s="2">
        <f>I11</f>
        <v>5.3327999999999998</v>
      </c>
      <c r="R21" s="19">
        <f>I13</f>
        <v>5.3186000000000009</v>
      </c>
    </row>
    <row r="22" spans="2:18">
      <c r="C22" s="1" t="s">
        <v>48</v>
      </c>
      <c r="D22">
        <v>2.3029999999999999</v>
      </c>
      <c r="E22">
        <v>2.33</v>
      </c>
      <c r="F22">
        <v>2.327</v>
      </c>
      <c r="G22">
        <v>2.379</v>
      </c>
      <c r="H22">
        <v>2.3159999999999998</v>
      </c>
      <c r="I22" s="2">
        <f t="shared" si="0"/>
        <v>2.3310000000000004</v>
      </c>
      <c r="J22" s="18">
        <f t="shared" si="1"/>
        <v>7.6000000000000068E-2</v>
      </c>
      <c r="K22">
        <f t="shared" si="2"/>
        <v>2.379</v>
      </c>
      <c r="L22">
        <f t="shared" si="3"/>
        <v>2.3029999999999999</v>
      </c>
    </row>
    <row r="23" spans="2:18">
      <c r="B23" s="1">
        <v>10</v>
      </c>
      <c r="C23" s="1" t="s">
        <v>0</v>
      </c>
      <c r="D23">
        <v>5.3339999999999996</v>
      </c>
      <c r="E23">
        <v>5.3250000000000002</v>
      </c>
      <c r="F23">
        <v>5.3250000000000002</v>
      </c>
      <c r="G23">
        <v>5.3659999999999997</v>
      </c>
      <c r="H23">
        <v>5.3120000000000003</v>
      </c>
      <c r="I23" s="17">
        <f t="shared" si="0"/>
        <v>5.3323999999999998</v>
      </c>
      <c r="J23" s="18">
        <f t="shared" si="1"/>
        <v>5.3999999999999382E-2</v>
      </c>
      <c r="K23">
        <f t="shared" si="2"/>
        <v>5.3659999999999997</v>
      </c>
      <c r="L23">
        <f t="shared" si="3"/>
        <v>5.3120000000000003</v>
      </c>
    </row>
    <row r="24" spans="2:18">
      <c r="C24" s="1" t="s">
        <v>48</v>
      </c>
      <c r="D24">
        <v>2.2970000000000002</v>
      </c>
      <c r="E24">
        <v>2.3149999999999999</v>
      </c>
      <c r="F24">
        <v>2.2879999999999998</v>
      </c>
      <c r="G24">
        <v>2.3260000000000001</v>
      </c>
      <c r="H24">
        <v>2.2949999999999999</v>
      </c>
      <c r="I24" s="2">
        <f t="shared" si="0"/>
        <v>2.3042000000000002</v>
      </c>
      <c r="J24" s="18">
        <f t="shared" si="1"/>
        <v>3.8000000000000256E-2</v>
      </c>
      <c r="K24">
        <f t="shared" si="2"/>
        <v>2.3260000000000001</v>
      </c>
      <c r="L24">
        <f t="shared" si="3"/>
        <v>2.2879999999999998</v>
      </c>
      <c r="Q24" t="s">
        <v>4</v>
      </c>
      <c r="R24" s="2">
        <f>MIN(N17:R21)</f>
        <v>5.3004000000000007</v>
      </c>
    </row>
    <row r="25" spans="2:18">
      <c r="B25" s="1">
        <v>11</v>
      </c>
      <c r="C25" s="1" t="s">
        <v>0</v>
      </c>
      <c r="D25">
        <v>5.3220000000000001</v>
      </c>
      <c r="E25">
        <v>5.3330000000000002</v>
      </c>
      <c r="F25">
        <v>5.2969999999999997</v>
      </c>
      <c r="G25">
        <v>5.319</v>
      </c>
      <c r="H25">
        <v>5.33</v>
      </c>
      <c r="I25" s="17">
        <f t="shared" si="0"/>
        <v>5.3201999999999998</v>
      </c>
      <c r="J25" s="18">
        <f t="shared" si="1"/>
        <v>3.6000000000000476E-2</v>
      </c>
      <c r="K25">
        <f t="shared" si="2"/>
        <v>5.3330000000000002</v>
      </c>
      <c r="L25">
        <f t="shared" si="3"/>
        <v>5.2969999999999997</v>
      </c>
      <c r="Q25" t="s">
        <v>3</v>
      </c>
      <c r="R25" s="2">
        <f>MAX(N17:R21)</f>
        <v>5.3864000000000001</v>
      </c>
    </row>
    <row r="26" spans="2:18">
      <c r="C26" s="1" t="s">
        <v>48</v>
      </c>
      <c r="D26">
        <v>2.403</v>
      </c>
      <c r="E26">
        <v>2.3290000000000002</v>
      </c>
      <c r="F26">
        <v>2.3279999999999998</v>
      </c>
      <c r="G26">
        <v>2.335</v>
      </c>
      <c r="H26">
        <v>2.3290000000000002</v>
      </c>
      <c r="I26" s="2">
        <f t="shared" si="0"/>
        <v>2.3448000000000002</v>
      </c>
      <c r="J26" s="18">
        <f t="shared" si="1"/>
        <v>7.5000000000000178E-2</v>
      </c>
      <c r="K26">
        <f t="shared" si="2"/>
        <v>2.403</v>
      </c>
      <c r="L26">
        <f t="shared" si="3"/>
        <v>2.3279999999999998</v>
      </c>
    </row>
    <row r="27" spans="2:18">
      <c r="B27" s="1">
        <v>12</v>
      </c>
      <c r="C27" s="1" t="s">
        <v>0</v>
      </c>
      <c r="D27">
        <v>5.3170000000000002</v>
      </c>
      <c r="E27">
        <v>5.2880000000000003</v>
      </c>
      <c r="F27">
        <v>5.2850000000000001</v>
      </c>
      <c r="G27">
        <v>5.3170000000000002</v>
      </c>
      <c r="H27">
        <v>5.2949999999999999</v>
      </c>
      <c r="I27" s="17">
        <f t="shared" si="0"/>
        <v>5.3004000000000007</v>
      </c>
      <c r="J27" s="18">
        <f t="shared" si="1"/>
        <v>3.2000000000000028E-2</v>
      </c>
      <c r="K27">
        <f t="shared" si="2"/>
        <v>5.3170000000000002</v>
      </c>
      <c r="L27">
        <f t="shared" si="3"/>
        <v>5.2850000000000001</v>
      </c>
    </row>
    <row r="28" spans="2:18">
      <c r="C28" s="1" t="s">
        <v>48</v>
      </c>
      <c r="D28">
        <v>2.319</v>
      </c>
      <c r="E28">
        <v>2.2970000000000002</v>
      </c>
      <c r="F28">
        <v>2.298</v>
      </c>
      <c r="G28">
        <v>2.2970000000000002</v>
      </c>
      <c r="H28">
        <v>2.2709999999999999</v>
      </c>
      <c r="I28" s="2">
        <f t="shared" si="0"/>
        <v>2.2963999999999998</v>
      </c>
      <c r="J28" s="18">
        <f t="shared" si="1"/>
        <v>4.8000000000000043E-2</v>
      </c>
      <c r="K28">
        <f t="shared" si="2"/>
        <v>2.319</v>
      </c>
      <c r="L28">
        <f t="shared" si="3"/>
        <v>2.2709999999999999</v>
      </c>
    </row>
    <row r="29" spans="2:18">
      <c r="B29" s="1">
        <v>13</v>
      </c>
      <c r="C29" s="1" t="s">
        <v>0</v>
      </c>
      <c r="D29">
        <v>5.327</v>
      </c>
      <c r="E29">
        <v>5.2430000000000003</v>
      </c>
      <c r="F29">
        <v>5.343</v>
      </c>
      <c r="G29">
        <v>5.2869999999999999</v>
      </c>
      <c r="H29">
        <v>5.3529999999999998</v>
      </c>
      <c r="I29" s="17">
        <f t="shared" si="0"/>
        <v>5.3105999999999991</v>
      </c>
      <c r="J29" s="18">
        <f t="shared" si="1"/>
        <v>0.10999999999999943</v>
      </c>
      <c r="K29">
        <f t="shared" si="2"/>
        <v>5.3529999999999998</v>
      </c>
      <c r="L29">
        <f t="shared" si="3"/>
        <v>5.2430000000000003</v>
      </c>
    </row>
    <row r="30" spans="2:18">
      <c r="C30" s="1" t="s">
        <v>48</v>
      </c>
      <c r="D30">
        <v>2.31</v>
      </c>
      <c r="E30">
        <v>2.2360000000000002</v>
      </c>
      <c r="F30">
        <v>2.319</v>
      </c>
      <c r="G30">
        <v>2.2719999999999998</v>
      </c>
      <c r="H30">
        <v>2.3420000000000001</v>
      </c>
      <c r="I30" s="2">
        <f t="shared" si="0"/>
        <v>2.2958000000000003</v>
      </c>
      <c r="J30" s="18">
        <f t="shared" si="1"/>
        <v>0.10599999999999987</v>
      </c>
      <c r="K30">
        <f t="shared" si="2"/>
        <v>2.3420000000000001</v>
      </c>
      <c r="L30">
        <f t="shared" si="3"/>
        <v>2.2360000000000002</v>
      </c>
    </row>
    <row r="31" spans="2:18">
      <c r="B31" s="1">
        <v>14</v>
      </c>
      <c r="C31" s="1" t="s">
        <v>0</v>
      </c>
      <c r="D31">
        <v>5.3090000000000002</v>
      </c>
      <c r="E31">
        <v>5.3360000000000003</v>
      </c>
      <c r="F31">
        <v>5.2969999999999997</v>
      </c>
      <c r="G31">
        <v>5.3310000000000004</v>
      </c>
      <c r="H31">
        <v>5.3209999999999997</v>
      </c>
      <c r="I31" s="17">
        <f t="shared" si="0"/>
        <v>5.3188000000000004</v>
      </c>
      <c r="J31" s="18">
        <f t="shared" si="1"/>
        <v>3.900000000000059E-2</v>
      </c>
      <c r="K31">
        <f t="shared" si="2"/>
        <v>5.3360000000000003</v>
      </c>
      <c r="L31">
        <f t="shared" si="3"/>
        <v>5.2969999999999997</v>
      </c>
    </row>
    <row r="32" spans="2:18">
      <c r="C32" s="1" t="s">
        <v>48</v>
      </c>
      <c r="D32">
        <v>2.282</v>
      </c>
      <c r="E32">
        <v>2.2869999999999999</v>
      </c>
      <c r="F32">
        <v>2.2629999999999999</v>
      </c>
      <c r="G32">
        <v>2.323</v>
      </c>
      <c r="H32">
        <v>2.335</v>
      </c>
      <c r="I32" s="2">
        <f t="shared" si="0"/>
        <v>2.2979999999999996</v>
      </c>
      <c r="J32" s="18">
        <f t="shared" si="1"/>
        <v>7.2000000000000064E-2</v>
      </c>
      <c r="K32">
        <f t="shared" si="2"/>
        <v>2.335</v>
      </c>
      <c r="L32">
        <f t="shared" si="3"/>
        <v>2.2629999999999999</v>
      </c>
    </row>
    <row r="33" spans="2:12">
      <c r="B33" s="1">
        <v>15</v>
      </c>
      <c r="C33" s="1" t="s">
        <v>0</v>
      </c>
      <c r="D33">
        <v>5.3739999999999997</v>
      </c>
      <c r="E33">
        <v>5.3339999999999996</v>
      </c>
      <c r="F33">
        <v>5.3380000000000001</v>
      </c>
      <c r="G33">
        <v>5.3659999999999997</v>
      </c>
      <c r="H33">
        <v>5.335</v>
      </c>
      <c r="I33" s="17">
        <f t="shared" si="0"/>
        <v>5.3494000000000002</v>
      </c>
      <c r="J33" s="18">
        <f t="shared" si="1"/>
        <v>4.0000000000000036E-2</v>
      </c>
      <c r="K33">
        <f t="shared" si="2"/>
        <v>5.3739999999999997</v>
      </c>
      <c r="L33">
        <f t="shared" si="3"/>
        <v>5.3339999999999996</v>
      </c>
    </row>
    <row r="34" spans="2:12">
      <c r="C34" s="1" t="s">
        <v>48</v>
      </c>
      <c r="D34">
        <v>2.335</v>
      </c>
      <c r="E34">
        <v>2.306</v>
      </c>
      <c r="F34">
        <v>2.34</v>
      </c>
      <c r="G34">
        <v>2.3130000000000002</v>
      </c>
      <c r="H34">
        <v>2.306</v>
      </c>
      <c r="I34" s="2">
        <f t="shared" si="0"/>
        <v>2.3200000000000003</v>
      </c>
      <c r="J34" s="18">
        <f t="shared" si="1"/>
        <v>3.3999999999999808E-2</v>
      </c>
      <c r="K34">
        <f t="shared" si="2"/>
        <v>2.34</v>
      </c>
      <c r="L34">
        <f t="shared" si="3"/>
        <v>2.306</v>
      </c>
    </row>
    <row r="35" spans="2:12">
      <c r="B35" s="1">
        <v>16</v>
      </c>
      <c r="C35" s="1" t="s">
        <v>0</v>
      </c>
      <c r="D35">
        <v>5.3780000000000001</v>
      </c>
      <c r="E35">
        <v>5.3120000000000003</v>
      </c>
      <c r="F35">
        <v>5.3250000000000002</v>
      </c>
      <c r="G35">
        <v>5.3440000000000003</v>
      </c>
      <c r="H35">
        <v>5.335</v>
      </c>
      <c r="I35" s="17">
        <f t="shared" si="0"/>
        <v>5.3388000000000009</v>
      </c>
      <c r="J35" s="18">
        <f t="shared" si="1"/>
        <v>6.5999999999999837E-2</v>
      </c>
      <c r="K35">
        <f t="shared" si="2"/>
        <v>5.3780000000000001</v>
      </c>
      <c r="L35">
        <f t="shared" si="3"/>
        <v>5.3120000000000003</v>
      </c>
    </row>
    <row r="36" spans="2:12">
      <c r="C36" s="1" t="s">
        <v>48</v>
      </c>
      <c r="D36">
        <v>2.3719999999999999</v>
      </c>
      <c r="E36">
        <v>2.2799999999999998</v>
      </c>
      <c r="F36">
        <v>2.3849999999999998</v>
      </c>
      <c r="G36">
        <v>2.3780000000000001</v>
      </c>
      <c r="H36">
        <v>2.335</v>
      </c>
      <c r="I36" s="2">
        <f t="shared" si="0"/>
        <v>2.35</v>
      </c>
      <c r="J36" s="18">
        <f t="shared" si="1"/>
        <v>0.10499999999999998</v>
      </c>
      <c r="K36">
        <f t="shared" si="2"/>
        <v>2.3849999999999998</v>
      </c>
      <c r="L36">
        <f t="shared" si="3"/>
        <v>2.2799999999999998</v>
      </c>
    </row>
    <row r="37" spans="2:12">
      <c r="B37" s="1">
        <v>17</v>
      </c>
      <c r="C37" s="1" t="s">
        <v>0</v>
      </c>
      <c r="D37">
        <v>5.3730000000000002</v>
      </c>
      <c r="E37">
        <v>5.3680000000000003</v>
      </c>
      <c r="F37">
        <v>5.3449999999999998</v>
      </c>
      <c r="G37">
        <v>5.3230000000000004</v>
      </c>
      <c r="H37">
        <v>5.3390000000000004</v>
      </c>
      <c r="I37" s="17">
        <f t="shared" si="0"/>
        <v>5.3495999999999997</v>
      </c>
      <c r="J37" s="18">
        <f t="shared" si="1"/>
        <v>4.9999999999999822E-2</v>
      </c>
      <c r="K37">
        <f t="shared" si="2"/>
        <v>5.3730000000000002</v>
      </c>
      <c r="L37">
        <f t="shared" si="3"/>
        <v>5.3230000000000004</v>
      </c>
    </row>
    <row r="38" spans="2:12">
      <c r="C38" s="1" t="s">
        <v>48</v>
      </c>
      <c r="D38">
        <v>2.4239999999999999</v>
      </c>
      <c r="E38">
        <v>2.423</v>
      </c>
      <c r="F38">
        <v>2.3380000000000001</v>
      </c>
      <c r="G38">
        <v>2.34</v>
      </c>
      <c r="H38">
        <v>2.383</v>
      </c>
      <c r="I38" s="2">
        <f t="shared" si="0"/>
        <v>2.3815999999999997</v>
      </c>
      <c r="J38" s="18">
        <f t="shared" si="1"/>
        <v>8.5999999999999854E-2</v>
      </c>
      <c r="K38">
        <f t="shared" si="2"/>
        <v>2.4239999999999999</v>
      </c>
      <c r="L38">
        <f t="shared" si="3"/>
        <v>2.3380000000000001</v>
      </c>
    </row>
    <row r="39" spans="2:12">
      <c r="B39" s="1">
        <v>18</v>
      </c>
      <c r="C39" s="1" t="s">
        <v>0</v>
      </c>
      <c r="D39">
        <v>5.3760000000000003</v>
      </c>
      <c r="E39">
        <v>5.3310000000000004</v>
      </c>
      <c r="F39">
        <v>5.3120000000000003</v>
      </c>
      <c r="G39">
        <v>5.3769999999999998</v>
      </c>
      <c r="H39">
        <v>5.38</v>
      </c>
      <c r="I39" s="17">
        <f t="shared" si="0"/>
        <v>5.3552</v>
      </c>
      <c r="J39" s="18">
        <f t="shared" si="1"/>
        <v>6.7999999999999616E-2</v>
      </c>
      <c r="K39">
        <f t="shared" si="2"/>
        <v>5.38</v>
      </c>
      <c r="L39">
        <f t="shared" si="3"/>
        <v>5.3120000000000003</v>
      </c>
    </row>
    <row r="40" spans="2:12">
      <c r="C40" s="1" t="s">
        <v>48</v>
      </c>
      <c r="D40">
        <v>2.3879999999999999</v>
      </c>
      <c r="E40">
        <v>2.3839999999999999</v>
      </c>
      <c r="F40">
        <v>2.3359999999999999</v>
      </c>
      <c r="G40">
        <v>2.3980000000000001</v>
      </c>
      <c r="H40">
        <v>2.4329999999999998</v>
      </c>
      <c r="I40" s="2">
        <f t="shared" si="0"/>
        <v>2.3877999999999999</v>
      </c>
      <c r="J40" s="18">
        <f t="shared" si="1"/>
        <v>9.6999999999999975E-2</v>
      </c>
      <c r="K40">
        <f t="shared" si="2"/>
        <v>2.4329999999999998</v>
      </c>
      <c r="L40">
        <f t="shared" si="3"/>
        <v>2.3359999999999999</v>
      </c>
    </row>
    <row r="41" spans="2:12">
      <c r="B41" s="1">
        <v>19</v>
      </c>
      <c r="C41" s="1" t="s">
        <v>0</v>
      </c>
      <c r="D41">
        <v>5.3559999999999999</v>
      </c>
      <c r="E41">
        <v>5.3250000000000002</v>
      </c>
      <c r="F41">
        <v>5.3550000000000004</v>
      </c>
      <c r="G41">
        <v>5.359</v>
      </c>
      <c r="H41">
        <v>5.3979999999999997</v>
      </c>
      <c r="I41" s="17">
        <f t="shared" si="0"/>
        <v>5.3586000000000009</v>
      </c>
      <c r="J41" s="18">
        <f t="shared" si="1"/>
        <v>7.299999999999951E-2</v>
      </c>
      <c r="K41">
        <f t="shared" si="2"/>
        <v>5.3979999999999997</v>
      </c>
      <c r="L41">
        <f t="shared" si="3"/>
        <v>5.3250000000000002</v>
      </c>
    </row>
    <row r="42" spans="2:12">
      <c r="C42" s="1" t="s">
        <v>48</v>
      </c>
      <c r="D42">
        <v>2.4129999999999998</v>
      </c>
      <c r="E42">
        <v>2.319</v>
      </c>
      <c r="F42">
        <v>2.488</v>
      </c>
      <c r="G42">
        <v>2.359</v>
      </c>
      <c r="H42">
        <v>2.4319999999999999</v>
      </c>
      <c r="I42" s="2">
        <f t="shared" si="0"/>
        <v>2.4021999999999997</v>
      </c>
      <c r="J42" s="18">
        <f t="shared" si="1"/>
        <v>0.16900000000000004</v>
      </c>
      <c r="K42">
        <f t="shared" si="2"/>
        <v>2.488</v>
      </c>
      <c r="L42">
        <f t="shared" si="3"/>
        <v>2.319</v>
      </c>
    </row>
    <row r="43" spans="2:12">
      <c r="B43" s="1">
        <v>20</v>
      </c>
      <c r="C43" s="1" t="s">
        <v>0</v>
      </c>
      <c r="D43">
        <v>5.46</v>
      </c>
      <c r="E43">
        <v>5.3760000000000003</v>
      </c>
      <c r="F43">
        <v>5.3460000000000001</v>
      </c>
      <c r="G43">
        <v>5.3739999999999997</v>
      </c>
      <c r="H43">
        <v>5.3659999999999997</v>
      </c>
      <c r="I43" s="17">
        <f t="shared" si="0"/>
        <v>5.3844000000000003</v>
      </c>
      <c r="J43" s="18">
        <f t="shared" si="1"/>
        <v>0.11399999999999988</v>
      </c>
      <c r="K43">
        <f t="shared" si="2"/>
        <v>5.46</v>
      </c>
      <c r="L43">
        <f t="shared" si="3"/>
        <v>5.3460000000000001</v>
      </c>
    </row>
    <row r="44" spans="2:12">
      <c r="C44" s="1" t="s">
        <v>48</v>
      </c>
      <c r="D44">
        <v>2.4990000000000001</v>
      </c>
      <c r="E44">
        <v>2.42</v>
      </c>
      <c r="F44">
        <v>2.39</v>
      </c>
      <c r="G44">
        <v>2.4020000000000001</v>
      </c>
      <c r="H44">
        <v>2.472</v>
      </c>
      <c r="I44" s="2">
        <f t="shared" si="0"/>
        <v>2.4366000000000003</v>
      </c>
      <c r="J44" s="18">
        <f t="shared" si="1"/>
        <v>0.10899999999999999</v>
      </c>
      <c r="K44">
        <f t="shared" si="2"/>
        <v>2.4990000000000001</v>
      </c>
      <c r="L44">
        <f t="shared" si="3"/>
        <v>2.39</v>
      </c>
    </row>
    <row r="45" spans="2:12">
      <c r="B45" s="1">
        <v>21</v>
      </c>
      <c r="C45" s="1" t="s">
        <v>0</v>
      </c>
      <c r="D45">
        <v>5.3369999999999997</v>
      </c>
      <c r="E45">
        <v>5.3230000000000004</v>
      </c>
      <c r="F45">
        <v>5.3529999999999998</v>
      </c>
      <c r="G45">
        <v>5.34</v>
      </c>
      <c r="H45">
        <v>5.3540000000000001</v>
      </c>
      <c r="I45" s="17">
        <f t="shared" si="0"/>
        <v>5.3413999999999993</v>
      </c>
      <c r="J45" s="18">
        <f t="shared" si="1"/>
        <v>3.0999999999999694E-2</v>
      </c>
      <c r="K45">
        <f t="shared" si="2"/>
        <v>5.3540000000000001</v>
      </c>
      <c r="L45">
        <f t="shared" si="3"/>
        <v>5.3230000000000004</v>
      </c>
    </row>
    <row r="46" spans="2:12">
      <c r="C46" s="1" t="s">
        <v>48</v>
      </c>
      <c r="D46">
        <v>2.367</v>
      </c>
      <c r="E46">
        <v>2.3530000000000002</v>
      </c>
      <c r="F46">
        <v>2.3879999999999999</v>
      </c>
      <c r="G46">
        <v>2.355</v>
      </c>
      <c r="H46">
        <v>2.4039999999999999</v>
      </c>
      <c r="I46" s="2">
        <f t="shared" si="0"/>
        <v>2.3734000000000002</v>
      </c>
      <c r="J46" s="18">
        <f t="shared" si="1"/>
        <v>5.0999999999999712E-2</v>
      </c>
      <c r="K46">
        <f t="shared" si="2"/>
        <v>2.4039999999999999</v>
      </c>
      <c r="L46">
        <f t="shared" si="3"/>
        <v>2.3530000000000002</v>
      </c>
    </row>
    <row r="47" spans="2:12">
      <c r="B47" s="1">
        <v>22</v>
      </c>
      <c r="C47" s="1" t="s">
        <v>0</v>
      </c>
      <c r="D47">
        <v>5.38</v>
      </c>
      <c r="E47">
        <v>5.3860000000000001</v>
      </c>
      <c r="F47">
        <v>5.3929999999999998</v>
      </c>
      <c r="G47">
        <v>5.3959999999999999</v>
      </c>
      <c r="H47">
        <v>5.3650000000000002</v>
      </c>
      <c r="I47" s="17">
        <f t="shared" si="0"/>
        <v>5.3840000000000003</v>
      </c>
      <c r="J47" s="18">
        <f t="shared" si="1"/>
        <v>3.0999999999999694E-2</v>
      </c>
      <c r="K47">
        <f t="shared" si="2"/>
        <v>5.3959999999999999</v>
      </c>
      <c r="L47">
        <f t="shared" si="3"/>
        <v>5.3650000000000002</v>
      </c>
    </row>
    <row r="48" spans="2:12">
      <c r="C48" s="1" t="s">
        <v>48</v>
      </c>
      <c r="D48">
        <v>2.415</v>
      </c>
      <c r="E48">
        <v>2.4140000000000001</v>
      </c>
      <c r="F48">
        <v>2.4300000000000002</v>
      </c>
      <c r="G48">
        <v>2.4380000000000002</v>
      </c>
      <c r="H48">
        <v>2.3580000000000001</v>
      </c>
      <c r="I48" s="2">
        <f t="shared" si="0"/>
        <v>2.4110000000000005</v>
      </c>
      <c r="J48" s="18">
        <f t="shared" si="1"/>
        <v>8.0000000000000071E-2</v>
      </c>
      <c r="K48">
        <f t="shared" si="2"/>
        <v>2.4380000000000002</v>
      </c>
      <c r="L48">
        <f t="shared" si="3"/>
        <v>2.3580000000000001</v>
      </c>
    </row>
    <row r="49" spans="2:12">
      <c r="B49" s="1">
        <v>23</v>
      </c>
      <c r="C49" s="1" t="s">
        <v>0</v>
      </c>
      <c r="D49">
        <v>5.351</v>
      </c>
      <c r="E49">
        <v>5.327</v>
      </c>
      <c r="F49">
        <v>5.4020000000000001</v>
      </c>
      <c r="G49">
        <v>5.359</v>
      </c>
      <c r="H49">
        <v>5.3520000000000003</v>
      </c>
      <c r="I49" s="17">
        <f t="shared" si="0"/>
        <v>5.3582000000000001</v>
      </c>
      <c r="J49" s="18">
        <f t="shared" si="1"/>
        <v>7.5000000000000178E-2</v>
      </c>
      <c r="K49">
        <f t="shared" si="2"/>
        <v>5.4020000000000001</v>
      </c>
      <c r="L49">
        <f t="shared" si="3"/>
        <v>5.327</v>
      </c>
    </row>
    <row r="50" spans="2:12">
      <c r="C50" s="1" t="s">
        <v>48</v>
      </c>
      <c r="D50">
        <v>2.41</v>
      </c>
      <c r="E50">
        <v>2.3519999999999999</v>
      </c>
      <c r="F50">
        <v>2.476</v>
      </c>
      <c r="G50">
        <v>2.37</v>
      </c>
      <c r="H50">
        <v>2.4249999999999998</v>
      </c>
      <c r="I50" s="2">
        <f t="shared" si="0"/>
        <v>2.4066000000000001</v>
      </c>
      <c r="J50" s="18">
        <f t="shared" si="1"/>
        <v>0.12400000000000011</v>
      </c>
      <c r="K50">
        <f t="shared" si="2"/>
        <v>2.476</v>
      </c>
      <c r="L50">
        <f t="shared" si="3"/>
        <v>2.3519999999999999</v>
      </c>
    </row>
    <row r="51" spans="2:12">
      <c r="B51" s="1">
        <v>24</v>
      </c>
      <c r="C51" s="1" t="s">
        <v>0</v>
      </c>
      <c r="D51">
        <v>5.4020000000000001</v>
      </c>
      <c r="E51">
        <v>5.39</v>
      </c>
      <c r="F51">
        <v>5.3540000000000001</v>
      </c>
      <c r="G51">
        <v>5.3540000000000001</v>
      </c>
      <c r="H51">
        <v>5.3710000000000004</v>
      </c>
      <c r="I51" s="17">
        <f t="shared" si="0"/>
        <v>5.3742000000000001</v>
      </c>
      <c r="J51" s="18">
        <f t="shared" si="1"/>
        <v>4.8000000000000043E-2</v>
      </c>
      <c r="K51">
        <f t="shared" si="2"/>
        <v>5.4020000000000001</v>
      </c>
      <c r="L51">
        <f t="shared" si="3"/>
        <v>5.3540000000000001</v>
      </c>
    </row>
    <row r="52" spans="2:12">
      <c r="C52" s="1" t="s">
        <v>48</v>
      </c>
      <c r="D52">
        <v>2.4950000000000001</v>
      </c>
      <c r="E52">
        <v>2.4649999999999999</v>
      </c>
      <c r="F52">
        <v>2.3620000000000001</v>
      </c>
      <c r="G52">
        <v>2.3740000000000001</v>
      </c>
      <c r="H52">
        <v>2.452</v>
      </c>
      <c r="I52" s="2">
        <f t="shared" si="0"/>
        <v>2.4295999999999998</v>
      </c>
      <c r="J52" s="18">
        <f t="shared" si="1"/>
        <v>0.13300000000000001</v>
      </c>
      <c r="K52">
        <f t="shared" si="2"/>
        <v>2.4950000000000001</v>
      </c>
      <c r="L52">
        <f t="shared" si="3"/>
        <v>2.3620000000000001</v>
      </c>
    </row>
    <row r="53" spans="2:12">
      <c r="B53" s="1">
        <v>25</v>
      </c>
      <c r="C53" s="1" t="s">
        <v>0</v>
      </c>
      <c r="D53">
        <v>5.3680000000000003</v>
      </c>
      <c r="E53">
        <v>5.3550000000000004</v>
      </c>
      <c r="F53">
        <v>5.36</v>
      </c>
      <c r="G53">
        <v>5.3239999999999998</v>
      </c>
      <c r="H53">
        <v>5.375</v>
      </c>
      <c r="I53" s="17">
        <f t="shared" si="0"/>
        <v>5.3564000000000007</v>
      </c>
      <c r="J53" s="18">
        <f t="shared" si="1"/>
        <v>5.1000000000000156E-2</v>
      </c>
      <c r="K53">
        <f t="shared" si="2"/>
        <v>5.375</v>
      </c>
      <c r="L53">
        <f t="shared" si="3"/>
        <v>5.3239999999999998</v>
      </c>
    </row>
    <row r="54" spans="2:12">
      <c r="C54" s="1" t="s">
        <v>48</v>
      </c>
      <c r="D54">
        <v>2.4169999999999998</v>
      </c>
      <c r="E54">
        <v>2.3730000000000002</v>
      </c>
      <c r="F54">
        <v>2.46</v>
      </c>
      <c r="G54">
        <v>2.379</v>
      </c>
      <c r="H54">
        <v>2.379</v>
      </c>
      <c r="I54" s="2">
        <f t="shared" si="0"/>
        <v>2.4015999999999997</v>
      </c>
      <c r="J54" s="18">
        <f t="shared" si="1"/>
        <v>8.6999999999999744E-2</v>
      </c>
      <c r="K54">
        <f t="shared" si="2"/>
        <v>2.46</v>
      </c>
      <c r="L54">
        <f t="shared" si="3"/>
        <v>2.3730000000000002</v>
      </c>
    </row>
    <row r="55" spans="2:12">
      <c r="C55" s="1"/>
    </row>
    <row r="56" spans="2:12">
      <c r="C56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F30"/>
  <sheetViews>
    <sheetView workbookViewId="0">
      <selection activeCell="F3" sqref="F3"/>
    </sheetView>
  </sheetViews>
  <sheetFormatPr defaultRowHeight="13.5"/>
  <cols>
    <col min="2" max="2" width="15" bestFit="1" customWidth="1"/>
    <col min="4" max="4" width="10" customWidth="1"/>
  </cols>
  <sheetData>
    <row r="2" spans="1:6">
      <c r="B2" t="s">
        <v>38</v>
      </c>
      <c r="C2" t="s">
        <v>5</v>
      </c>
      <c r="D2" t="s">
        <v>39</v>
      </c>
      <c r="F2" t="s">
        <v>40</v>
      </c>
    </row>
    <row r="3" spans="1:6">
      <c r="B3" t="s">
        <v>12</v>
      </c>
    </row>
    <row r="4" spans="1:6">
      <c r="B4" s="1" t="s">
        <v>0</v>
      </c>
      <c r="C4" s="1" t="s">
        <v>6</v>
      </c>
      <c r="D4" s="1" t="s">
        <v>7</v>
      </c>
    </row>
    <row r="5" spans="1:6">
      <c r="A5" t="s">
        <v>8</v>
      </c>
      <c r="B5" t="s">
        <v>13</v>
      </c>
      <c r="C5" s="1" t="s">
        <v>9</v>
      </c>
      <c r="D5" s="1" t="s">
        <v>14</v>
      </c>
    </row>
    <row r="6" spans="1:6">
      <c r="A6">
        <v>1</v>
      </c>
      <c r="B6">
        <v>8.1449999999999996</v>
      </c>
      <c r="C6" s="1" t="s">
        <v>11</v>
      </c>
      <c r="D6">
        <v>3.21</v>
      </c>
    </row>
    <row r="7" spans="1:6">
      <c r="A7">
        <v>2</v>
      </c>
      <c r="B7">
        <v>8.1839999999999993</v>
      </c>
      <c r="C7" s="1" t="s">
        <v>11</v>
      </c>
      <c r="D7">
        <v>3.2130000000000001</v>
      </c>
    </row>
    <row r="8" spans="1:6">
      <c r="A8">
        <v>3</v>
      </c>
      <c r="B8">
        <v>8.1739999999999995</v>
      </c>
      <c r="C8" s="1" t="s">
        <v>11</v>
      </c>
      <c r="D8">
        <v>3.202</v>
      </c>
    </row>
    <row r="9" spans="1:6">
      <c r="A9">
        <v>4</v>
      </c>
      <c r="B9">
        <v>8.1940000000000008</v>
      </c>
      <c r="C9" s="1" t="s">
        <v>11</v>
      </c>
      <c r="D9">
        <v>3.2050000000000001</v>
      </c>
    </row>
    <row r="10" spans="1:6">
      <c r="A10">
        <v>5</v>
      </c>
      <c r="B10">
        <v>8.1539999999999999</v>
      </c>
      <c r="C10" s="1" t="s">
        <v>11</v>
      </c>
      <c r="D10">
        <v>3.2090000000000001</v>
      </c>
    </row>
    <row r="11" spans="1:6">
      <c r="A11">
        <v>6</v>
      </c>
      <c r="B11">
        <v>8.1379999999999999</v>
      </c>
      <c r="C11" s="1" t="s">
        <v>11</v>
      </c>
      <c r="D11">
        <v>3.2149999999999999</v>
      </c>
    </row>
    <row r="12" spans="1:6">
      <c r="A12">
        <v>7</v>
      </c>
      <c r="B12">
        <v>8.1910000000000007</v>
      </c>
      <c r="C12" s="1" t="s">
        <v>11</v>
      </c>
      <c r="D12">
        <v>3.222</v>
      </c>
    </row>
    <row r="13" spans="1:6">
      <c r="A13">
        <v>8</v>
      </c>
      <c r="B13">
        <v>8.17</v>
      </c>
      <c r="C13" s="1" t="s">
        <v>11</v>
      </c>
      <c r="D13">
        <v>3.1970000000000001</v>
      </c>
    </row>
    <row r="14" spans="1:6">
      <c r="A14">
        <v>9</v>
      </c>
      <c r="B14">
        <v>8.1549999999999994</v>
      </c>
      <c r="C14" s="1" t="s">
        <v>11</v>
      </c>
      <c r="D14">
        <v>3.2309999999999999</v>
      </c>
    </row>
    <row r="15" spans="1:6">
      <c r="A15">
        <v>10</v>
      </c>
      <c r="B15">
        <v>8.1869999999999994</v>
      </c>
      <c r="C15" s="1" t="s">
        <v>11</v>
      </c>
      <c r="D15">
        <v>3.2029999999999998</v>
      </c>
    </row>
    <row r="16" spans="1:6">
      <c r="A16">
        <v>11</v>
      </c>
      <c r="B16">
        <v>8.1519999999999992</v>
      </c>
      <c r="C16" s="1" t="s">
        <v>11</v>
      </c>
      <c r="D16">
        <v>3.2210000000000001</v>
      </c>
    </row>
    <row r="17" spans="1:4">
      <c r="A17">
        <v>12</v>
      </c>
      <c r="B17">
        <v>8.1539999999999999</v>
      </c>
      <c r="C17" s="1" t="s">
        <v>11</v>
      </c>
      <c r="D17">
        <v>3.2029999999999998</v>
      </c>
    </row>
    <row r="18" spans="1:4">
      <c r="A18">
        <v>13</v>
      </c>
      <c r="B18">
        <v>8.1739999999999995</v>
      </c>
      <c r="C18" s="1" t="s">
        <v>11</v>
      </c>
      <c r="D18">
        <v>3.1960000000000002</v>
      </c>
    </row>
    <row r="19" spans="1:4">
      <c r="A19">
        <v>14</v>
      </c>
      <c r="B19">
        <v>8.173</v>
      </c>
      <c r="C19" s="1" t="s">
        <v>11</v>
      </c>
      <c r="D19">
        <v>3.22</v>
      </c>
    </row>
    <row r="20" spans="1:4">
      <c r="A20">
        <v>15</v>
      </c>
      <c r="B20">
        <v>8.1720000000000006</v>
      </c>
      <c r="C20" s="1" t="s">
        <v>11</v>
      </c>
      <c r="D20">
        <v>3.2120000000000002</v>
      </c>
    </row>
    <row r="21" spans="1:4">
      <c r="A21">
        <v>16</v>
      </c>
      <c r="B21">
        <v>8.157</v>
      </c>
      <c r="C21" s="1" t="s">
        <v>11</v>
      </c>
      <c r="D21">
        <v>3.1890000000000001</v>
      </c>
    </row>
    <row r="22" spans="1:4">
      <c r="A22">
        <v>17</v>
      </c>
      <c r="B22">
        <v>8.1630000000000003</v>
      </c>
      <c r="C22" s="1" t="s">
        <v>11</v>
      </c>
      <c r="D22">
        <v>3.218</v>
      </c>
    </row>
    <row r="23" spans="1:4">
      <c r="A23">
        <v>18</v>
      </c>
      <c r="B23">
        <v>8.1449999999999996</v>
      </c>
      <c r="C23" s="1" t="s">
        <v>11</v>
      </c>
      <c r="D23">
        <v>3.2029999999999998</v>
      </c>
    </row>
    <row r="24" spans="1:4">
      <c r="A24">
        <v>19</v>
      </c>
      <c r="B24">
        <v>8.1539999999999999</v>
      </c>
      <c r="C24" s="1" t="s">
        <v>11</v>
      </c>
      <c r="D24">
        <v>3.2130000000000001</v>
      </c>
    </row>
    <row r="25" spans="1:4">
      <c r="A25">
        <v>20</v>
      </c>
      <c r="B25">
        <v>8.1470000000000002</v>
      </c>
      <c r="C25" s="1" t="s">
        <v>11</v>
      </c>
      <c r="D25">
        <v>3.2090000000000001</v>
      </c>
    </row>
    <row r="26" spans="1:4">
      <c r="A26" s="1" t="s">
        <v>1</v>
      </c>
      <c r="B26" s="2">
        <f>AVERAGE(B6:B25)</f>
        <v>8.1641500000000011</v>
      </c>
      <c r="D26" s="2">
        <f>AVERAGE(D6:D25)</f>
        <v>3.2095500000000001</v>
      </c>
    </row>
    <row r="27" spans="1:4">
      <c r="A27" s="1" t="s">
        <v>2</v>
      </c>
      <c r="B27">
        <f>B28-B29</f>
        <v>5.6000000000000938E-2</v>
      </c>
      <c r="D27">
        <f>D28-D29</f>
        <v>4.1999999999999815E-2</v>
      </c>
    </row>
    <row r="28" spans="1:4">
      <c r="A28" s="1" t="s">
        <v>3</v>
      </c>
      <c r="B28">
        <f>MAX(B6:B25)</f>
        <v>8.1940000000000008</v>
      </c>
      <c r="D28">
        <f>MAX(D6:D25)</f>
        <v>3.2309999999999999</v>
      </c>
    </row>
    <row r="29" spans="1:4">
      <c r="A29" s="1" t="s">
        <v>4</v>
      </c>
      <c r="B29">
        <f>MIN(B6:B25)</f>
        <v>8.1379999999999999</v>
      </c>
      <c r="D29">
        <f>MIN(D6:D25)</f>
        <v>3.1890000000000001</v>
      </c>
    </row>
    <row r="30" spans="1:4">
      <c r="A30" s="1" t="s">
        <v>10</v>
      </c>
      <c r="B30" s="3">
        <f>STDEV(B6:B25)</f>
        <v>1.6544278705786522E-2</v>
      </c>
      <c r="D30" s="3">
        <f>STDEV(D6:D25)</f>
        <v>1.0148761915674862E-2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F30"/>
  <sheetViews>
    <sheetView workbookViewId="0">
      <selection activeCell="D26" sqref="D26"/>
    </sheetView>
  </sheetViews>
  <sheetFormatPr defaultRowHeight="13.5"/>
  <cols>
    <col min="2" max="2" width="15" bestFit="1" customWidth="1"/>
    <col min="4" max="4" width="10" customWidth="1"/>
  </cols>
  <sheetData>
    <row r="2" spans="1:6">
      <c r="B2" t="s">
        <v>22</v>
      </c>
      <c r="C2" t="s">
        <v>5</v>
      </c>
      <c r="D2" t="s">
        <v>19</v>
      </c>
      <c r="F2" t="s">
        <v>18</v>
      </c>
    </row>
    <row r="3" spans="1:6">
      <c r="B3" t="s">
        <v>12</v>
      </c>
    </row>
    <row r="4" spans="1:6">
      <c r="B4" s="1" t="s">
        <v>0</v>
      </c>
      <c r="C4" s="1" t="s">
        <v>6</v>
      </c>
      <c r="D4" s="1" t="s">
        <v>7</v>
      </c>
    </row>
    <row r="5" spans="1:6">
      <c r="A5" t="s">
        <v>8</v>
      </c>
      <c r="B5" t="s">
        <v>20</v>
      </c>
      <c r="C5" s="1" t="s">
        <v>9</v>
      </c>
      <c r="D5" s="1" t="s">
        <v>21</v>
      </c>
    </row>
    <row r="6" spans="1:6">
      <c r="A6">
        <v>1</v>
      </c>
      <c r="B6">
        <v>8.2469999999999999</v>
      </c>
      <c r="C6" s="1" t="s">
        <v>11</v>
      </c>
      <c r="D6">
        <v>3.2080000000000002</v>
      </c>
    </row>
    <row r="7" spans="1:6">
      <c r="A7">
        <v>2</v>
      </c>
      <c r="B7">
        <v>8.2560000000000002</v>
      </c>
      <c r="C7" s="1" t="s">
        <v>11</v>
      </c>
      <c r="D7">
        <v>3.22</v>
      </c>
    </row>
    <row r="8" spans="1:6">
      <c r="A8">
        <v>3</v>
      </c>
      <c r="B8">
        <v>8.2569999999999997</v>
      </c>
      <c r="C8" s="1" t="s">
        <v>11</v>
      </c>
      <c r="D8">
        <v>3.1960000000000002</v>
      </c>
    </row>
    <row r="9" spans="1:6">
      <c r="A9">
        <v>4</v>
      </c>
      <c r="B9">
        <v>8.2449999999999992</v>
      </c>
      <c r="C9" s="1" t="s">
        <v>11</v>
      </c>
      <c r="D9">
        <v>3.2069999999999999</v>
      </c>
    </row>
    <row r="10" spans="1:6">
      <c r="A10">
        <v>5</v>
      </c>
      <c r="B10">
        <v>8.2639999999999993</v>
      </c>
      <c r="C10" s="1" t="s">
        <v>11</v>
      </c>
      <c r="D10">
        <v>3.2240000000000002</v>
      </c>
    </row>
    <row r="11" spans="1:6">
      <c r="A11">
        <v>6</v>
      </c>
      <c r="B11">
        <v>8.2639999999999993</v>
      </c>
      <c r="C11" s="1" t="s">
        <v>11</v>
      </c>
      <c r="D11">
        <v>3.2</v>
      </c>
    </row>
    <row r="12" spans="1:6">
      <c r="A12">
        <v>7</v>
      </c>
      <c r="B12">
        <v>8.2590000000000003</v>
      </c>
      <c r="C12" s="1" t="s">
        <v>11</v>
      </c>
      <c r="D12">
        <v>3.214</v>
      </c>
    </row>
    <row r="13" spans="1:6">
      <c r="A13">
        <v>8</v>
      </c>
      <c r="B13">
        <v>8.2409999999999997</v>
      </c>
      <c r="C13" s="1" t="s">
        <v>11</v>
      </c>
      <c r="D13">
        <v>3.2109999999999999</v>
      </c>
    </row>
    <row r="14" spans="1:6">
      <c r="A14">
        <v>9</v>
      </c>
      <c r="B14">
        <v>8.2720000000000002</v>
      </c>
      <c r="C14" s="1" t="s">
        <v>11</v>
      </c>
      <c r="D14">
        <v>3.2080000000000002</v>
      </c>
    </row>
    <row r="15" spans="1:6">
      <c r="A15">
        <v>10</v>
      </c>
      <c r="B15">
        <v>8.2590000000000003</v>
      </c>
      <c r="C15" s="1" t="s">
        <v>11</v>
      </c>
      <c r="D15">
        <v>3.2080000000000002</v>
      </c>
    </row>
    <row r="16" spans="1:6">
      <c r="A16">
        <v>11</v>
      </c>
      <c r="B16">
        <v>8.2530000000000001</v>
      </c>
      <c r="C16" s="1" t="s">
        <v>11</v>
      </c>
      <c r="D16">
        <v>3.2189999999999999</v>
      </c>
    </row>
    <row r="17" spans="1:4">
      <c r="A17">
        <v>12</v>
      </c>
      <c r="B17">
        <v>8.2409999999999997</v>
      </c>
      <c r="C17" s="1" t="s">
        <v>11</v>
      </c>
      <c r="D17">
        <v>3.2130000000000001</v>
      </c>
    </row>
    <row r="18" spans="1:4">
      <c r="A18">
        <v>13</v>
      </c>
      <c r="B18">
        <v>8.2590000000000003</v>
      </c>
      <c r="C18" s="1" t="s">
        <v>11</v>
      </c>
      <c r="D18">
        <v>3.21</v>
      </c>
    </row>
    <row r="19" spans="1:4">
      <c r="A19">
        <v>14</v>
      </c>
      <c r="B19">
        <v>8.2390000000000008</v>
      </c>
      <c r="C19" s="1" t="s">
        <v>11</v>
      </c>
      <c r="D19">
        <v>3.218</v>
      </c>
    </row>
    <row r="20" spans="1:4">
      <c r="A20">
        <v>15</v>
      </c>
      <c r="B20">
        <v>8.2539999999999996</v>
      </c>
      <c r="C20" s="1" t="s">
        <v>11</v>
      </c>
      <c r="D20">
        <v>3.194</v>
      </c>
    </row>
    <row r="21" spans="1:4">
      <c r="A21">
        <v>16</v>
      </c>
      <c r="B21">
        <v>8.2379999999999995</v>
      </c>
      <c r="C21" s="1" t="s">
        <v>11</v>
      </c>
      <c r="D21">
        <v>3.206</v>
      </c>
    </row>
    <row r="22" spans="1:4">
      <c r="A22">
        <v>17</v>
      </c>
      <c r="B22">
        <v>8.2460000000000004</v>
      </c>
      <c r="C22" s="1" t="s">
        <v>11</v>
      </c>
      <c r="D22">
        <v>3.1989999999999998</v>
      </c>
    </row>
    <row r="23" spans="1:4">
      <c r="A23">
        <v>18</v>
      </c>
      <c r="B23">
        <v>8.2539999999999996</v>
      </c>
      <c r="C23" s="1" t="s">
        <v>11</v>
      </c>
      <c r="D23">
        <v>3.226</v>
      </c>
    </row>
    <row r="24" spans="1:4">
      <c r="A24">
        <v>19</v>
      </c>
      <c r="B24">
        <v>8.2639999999999993</v>
      </c>
      <c r="C24" s="1" t="s">
        <v>11</v>
      </c>
      <c r="D24">
        <v>3.2120000000000002</v>
      </c>
    </row>
    <row r="25" spans="1:4">
      <c r="A25">
        <v>20</v>
      </c>
      <c r="B25">
        <v>8.2590000000000003</v>
      </c>
      <c r="C25" s="1" t="s">
        <v>11</v>
      </c>
      <c r="D25">
        <v>3.2170000000000001</v>
      </c>
    </row>
    <row r="26" spans="1:4">
      <c r="A26" s="1" t="s">
        <v>1</v>
      </c>
      <c r="B26" s="2">
        <f>AVERAGE(B6:B25)</f>
        <v>8.2535500000000006</v>
      </c>
      <c r="D26" s="2">
        <f>AVERAGE(D6:D25)</f>
        <v>3.2105000000000006</v>
      </c>
    </row>
    <row r="27" spans="1:4">
      <c r="A27" s="1" t="s">
        <v>2</v>
      </c>
      <c r="B27">
        <f>B28-B29</f>
        <v>3.4000000000000696E-2</v>
      </c>
      <c r="D27">
        <f>D28-D29</f>
        <v>3.2000000000000028E-2</v>
      </c>
    </row>
    <row r="28" spans="1:4">
      <c r="A28" s="1" t="s">
        <v>3</v>
      </c>
      <c r="B28">
        <f>MAX(B6:B25)</f>
        <v>8.2720000000000002</v>
      </c>
      <c r="D28">
        <f>MAX(D6:D25)</f>
        <v>3.226</v>
      </c>
    </row>
    <row r="29" spans="1:4">
      <c r="A29" s="1" t="s">
        <v>4</v>
      </c>
      <c r="B29">
        <f>MIN(B6:B25)</f>
        <v>8.2379999999999995</v>
      </c>
      <c r="D29">
        <f>MIN(D6:D25)</f>
        <v>3.194</v>
      </c>
    </row>
    <row r="30" spans="1:4">
      <c r="A30" s="1" t="s">
        <v>10</v>
      </c>
      <c r="B30" s="3">
        <f>STDEV(B6:B25)</f>
        <v>9.5887818226355077E-3</v>
      </c>
      <c r="D30" s="3">
        <f>STDEV(D6:D25)</f>
        <v>8.8287806871080871E-3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F30"/>
  <sheetViews>
    <sheetView workbookViewId="0">
      <selection activeCell="F16" sqref="F16"/>
    </sheetView>
  </sheetViews>
  <sheetFormatPr defaultRowHeight="13.5"/>
  <cols>
    <col min="2" max="2" width="15" bestFit="1" customWidth="1"/>
    <col min="4" max="4" width="10" customWidth="1"/>
  </cols>
  <sheetData>
    <row r="2" spans="1:6">
      <c r="B2" t="s">
        <v>15</v>
      </c>
      <c r="C2" t="s">
        <v>5</v>
      </c>
      <c r="D2" t="s">
        <v>16</v>
      </c>
      <c r="F2" t="s">
        <v>17</v>
      </c>
    </row>
    <row r="3" spans="1:6">
      <c r="B3" t="s">
        <v>12</v>
      </c>
    </row>
    <row r="4" spans="1:6">
      <c r="B4" s="1" t="s">
        <v>0</v>
      </c>
      <c r="C4" s="1" t="s">
        <v>6</v>
      </c>
      <c r="D4" s="1" t="s">
        <v>7</v>
      </c>
    </row>
    <row r="5" spans="1:6">
      <c r="A5" t="s">
        <v>8</v>
      </c>
      <c r="B5" t="s">
        <v>13</v>
      </c>
      <c r="C5" s="1" t="s">
        <v>9</v>
      </c>
      <c r="D5" s="1" t="s">
        <v>14</v>
      </c>
    </row>
    <row r="6" spans="1:6">
      <c r="A6">
        <v>1</v>
      </c>
      <c r="B6">
        <v>8.093</v>
      </c>
      <c r="C6" s="1" t="s">
        <v>11</v>
      </c>
      <c r="D6">
        <v>3.1880000000000002</v>
      </c>
    </row>
    <row r="7" spans="1:6">
      <c r="A7">
        <v>2</v>
      </c>
      <c r="B7">
        <v>8.0879999999999992</v>
      </c>
      <c r="C7" s="1" t="s">
        <v>11</v>
      </c>
      <c r="D7">
        <v>3.1909999999999998</v>
      </c>
    </row>
    <row r="8" spans="1:6">
      <c r="A8">
        <v>3</v>
      </c>
      <c r="B8">
        <v>8.0670000000000002</v>
      </c>
      <c r="C8" s="1" t="s">
        <v>11</v>
      </c>
      <c r="D8">
        <v>3.1720000000000002</v>
      </c>
    </row>
    <row r="9" spans="1:6">
      <c r="A9">
        <v>4</v>
      </c>
      <c r="B9">
        <v>8.07</v>
      </c>
      <c r="C9" s="1" t="s">
        <v>11</v>
      </c>
      <c r="D9">
        <v>3.2360000000000002</v>
      </c>
    </row>
    <row r="10" spans="1:6">
      <c r="A10">
        <v>5</v>
      </c>
      <c r="B10">
        <v>8.0429999999999993</v>
      </c>
      <c r="C10" s="1" t="s">
        <v>11</v>
      </c>
      <c r="D10">
        <v>3.2250000000000001</v>
      </c>
    </row>
    <row r="11" spans="1:6">
      <c r="A11">
        <v>6</v>
      </c>
      <c r="B11">
        <v>8.0679999999999996</v>
      </c>
      <c r="C11" s="1" t="s">
        <v>11</v>
      </c>
      <c r="D11">
        <v>3.2</v>
      </c>
    </row>
    <row r="12" spans="1:6">
      <c r="A12">
        <v>7</v>
      </c>
      <c r="B12">
        <v>8.0549999999999997</v>
      </c>
      <c r="C12" s="1" t="s">
        <v>11</v>
      </c>
      <c r="D12">
        <v>3.2250000000000001</v>
      </c>
    </row>
    <row r="13" spans="1:6">
      <c r="A13">
        <v>8</v>
      </c>
      <c r="B13">
        <v>8.0540000000000003</v>
      </c>
      <c r="C13" s="1" t="s">
        <v>11</v>
      </c>
      <c r="D13">
        <v>3.2429999999999999</v>
      </c>
    </row>
    <row r="14" spans="1:6">
      <c r="A14">
        <v>9</v>
      </c>
      <c r="B14">
        <v>8.0570000000000004</v>
      </c>
      <c r="C14" s="1" t="s">
        <v>11</v>
      </c>
      <c r="D14">
        <v>3.2290000000000001</v>
      </c>
    </row>
    <row r="15" spans="1:6">
      <c r="A15">
        <v>10</v>
      </c>
      <c r="B15">
        <v>8.0500000000000007</v>
      </c>
      <c r="C15" s="1" t="s">
        <v>11</v>
      </c>
      <c r="D15">
        <v>3.2189999999999999</v>
      </c>
    </row>
    <row r="16" spans="1:6">
      <c r="A16">
        <v>11</v>
      </c>
      <c r="B16">
        <v>8.0399999999999991</v>
      </c>
      <c r="C16" s="1" t="s">
        <v>11</v>
      </c>
      <c r="D16">
        <v>3.2290000000000001</v>
      </c>
    </row>
    <row r="17" spans="1:4">
      <c r="A17">
        <v>12</v>
      </c>
      <c r="B17">
        <v>8.0679999999999996</v>
      </c>
      <c r="C17" s="1" t="s">
        <v>11</v>
      </c>
      <c r="D17">
        <v>3.2309999999999999</v>
      </c>
    </row>
    <row r="18" spans="1:4">
      <c r="A18">
        <v>13</v>
      </c>
      <c r="B18">
        <v>8.0519999999999996</v>
      </c>
      <c r="C18" s="1" t="s">
        <v>11</v>
      </c>
      <c r="D18">
        <v>3.2069999999999999</v>
      </c>
    </row>
    <row r="19" spans="1:4">
      <c r="A19">
        <v>14</v>
      </c>
      <c r="B19">
        <v>8.0340000000000007</v>
      </c>
      <c r="C19" s="1" t="s">
        <v>11</v>
      </c>
      <c r="D19">
        <v>3.2240000000000002</v>
      </c>
    </row>
    <row r="20" spans="1:4">
      <c r="A20">
        <v>15</v>
      </c>
      <c r="B20">
        <v>8.048</v>
      </c>
      <c r="C20" s="1" t="s">
        <v>11</v>
      </c>
      <c r="D20">
        <v>3.1680000000000001</v>
      </c>
    </row>
    <row r="21" spans="1:4">
      <c r="A21">
        <v>16</v>
      </c>
      <c r="B21">
        <v>8.0719999999999992</v>
      </c>
      <c r="C21" s="1" t="s">
        <v>11</v>
      </c>
      <c r="D21">
        <v>3.2309999999999999</v>
      </c>
    </row>
    <row r="22" spans="1:4">
      <c r="A22">
        <v>17</v>
      </c>
      <c r="B22">
        <v>8.0649999999999995</v>
      </c>
      <c r="C22" s="1" t="s">
        <v>11</v>
      </c>
      <c r="D22">
        <v>3.2160000000000002</v>
      </c>
    </row>
    <row r="23" spans="1:4">
      <c r="A23">
        <v>18</v>
      </c>
      <c r="B23">
        <v>8.048</v>
      </c>
      <c r="C23" s="1" t="s">
        <v>11</v>
      </c>
      <c r="D23">
        <v>3.22</v>
      </c>
    </row>
    <row r="24" spans="1:4">
      <c r="A24">
        <v>19</v>
      </c>
      <c r="B24">
        <v>8.0660000000000007</v>
      </c>
      <c r="C24" s="1" t="s">
        <v>11</v>
      </c>
      <c r="D24">
        <v>3.24</v>
      </c>
    </row>
    <row r="25" spans="1:4">
      <c r="A25">
        <v>20</v>
      </c>
      <c r="B25">
        <v>8.0429999999999993</v>
      </c>
      <c r="C25" s="1" t="s">
        <v>11</v>
      </c>
      <c r="D25">
        <v>3.22</v>
      </c>
    </row>
    <row r="26" spans="1:4">
      <c r="A26" s="1" t="s">
        <v>1</v>
      </c>
      <c r="B26" s="2">
        <f>AVERAGE(B6:B25)</f>
        <v>8.0590500000000009</v>
      </c>
      <c r="D26" s="2">
        <f>AVERAGE(D6:D25)</f>
        <v>3.2157000000000004</v>
      </c>
    </row>
    <row r="27" spans="1:4">
      <c r="A27" s="1" t="s">
        <v>2</v>
      </c>
      <c r="B27">
        <f>B28-B29</f>
        <v>5.8999999999999275E-2</v>
      </c>
      <c r="D27">
        <f>D28-D29</f>
        <v>7.4999999999999734E-2</v>
      </c>
    </row>
    <row r="28" spans="1:4">
      <c r="A28" s="1" t="s">
        <v>3</v>
      </c>
      <c r="B28">
        <f>MAX(B6:B25)</f>
        <v>8.093</v>
      </c>
      <c r="D28">
        <f>MAX(D6:D25)</f>
        <v>3.2429999999999999</v>
      </c>
    </row>
    <row r="29" spans="1:4">
      <c r="A29" s="1" t="s">
        <v>4</v>
      </c>
      <c r="B29">
        <f>MIN(B6:B25)</f>
        <v>8.0340000000000007</v>
      </c>
      <c r="D29">
        <f>MIN(D6:D25)</f>
        <v>3.1680000000000001</v>
      </c>
    </row>
    <row r="30" spans="1:4">
      <c r="A30" s="1" t="s">
        <v>10</v>
      </c>
      <c r="B30" s="3">
        <f>STDEV(B6:B25)</f>
        <v>1.5411803405524106E-2</v>
      </c>
      <c r="D30" s="3">
        <f>STDEV(D6:D25)</f>
        <v>2.1452763286615974E-2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I14"/>
  <sheetViews>
    <sheetView tabSelected="1" workbookViewId="0">
      <selection activeCell="C18" sqref="C18"/>
    </sheetView>
  </sheetViews>
  <sheetFormatPr defaultRowHeight="13.5"/>
  <cols>
    <col min="1" max="1" width="2.375" customWidth="1"/>
    <col min="2" max="2" width="11.625" bestFit="1" customWidth="1"/>
    <col min="3" max="3" width="13.25" customWidth="1"/>
    <col min="4" max="4" width="11.25" customWidth="1"/>
  </cols>
  <sheetData>
    <row r="2" spans="2:9" ht="17.25">
      <c r="B2" s="11">
        <v>43781</v>
      </c>
      <c r="C2" s="5" t="s">
        <v>23</v>
      </c>
      <c r="D2" s="5"/>
      <c r="E2" s="5" t="s">
        <v>24</v>
      </c>
      <c r="F2" s="5"/>
      <c r="G2" s="5"/>
      <c r="H2" s="5"/>
      <c r="I2" s="6"/>
    </row>
    <row r="3" spans="2:9" ht="17.25">
      <c r="B3" s="12"/>
      <c r="C3" s="7" t="s">
        <v>25</v>
      </c>
      <c r="D3" s="7"/>
      <c r="E3" s="7"/>
      <c r="F3" s="7"/>
      <c r="G3" s="7"/>
      <c r="H3" s="7"/>
      <c r="I3" s="8"/>
    </row>
    <row r="4" spans="2:9" ht="17.25">
      <c r="B4" s="13">
        <v>43782</v>
      </c>
      <c r="C4" s="9" t="s">
        <v>26</v>
      </c>
      <c r="D4" s="9"/>
      <c r="E4" s="9"/>
      <c r="F4" s="9"/>
      <c r="G4" s="9"/>
      <c r="H4" s="9"/>
      <c r="I4" s="10"/>
    </row>
    <row r="5" spans="2:9" ht="17.25">
      <c r="B5" s="13">
        <v>43783</v>
      </c>
      <c r="C5" s="9" t="s">
        <v>27</v>
      </c>
      <c r="D5" s="9"/>
      <c r="E5" s="9"/>
      <c r="F5" s="9"/>
      <c r="G5" s="9"/>
      <c r="H5" s="9"/>
      <c r="I5" s="10"/>
    </row>
    <row r="6" spans="2:9" ht="17.25">
      <c r="B6" s="13">
        <v>43787</v>
      </c>
      <c r="C6" s="9" t="s">
        <v>28</v>
      </c>
      <c r="D6" s="9" t="s">
        <v>29</v>
      </c>
      <c r="E6" s="9"/>
      <c r="F6" s="9"/>
      <c r="G6" s="9"/>
      <c r="H6" s="9"/>
      <c r="I6" s="10"/>
    </row>
    <row r="7" spans="2:9" ht="17.25">
      <c r="B7" s="13">
        <v>43790</v>
      </c>
      <c r="C7" s="9" t="s">
        <v>12</v>
      </c>
      <c r="D7" s="9" t="s">
        <v>30</v>
      </c>
      <c r="E7" s="9"/>
      <c r="F7" s="9"/>
      <c r="G7" s="9"/>
      <c r="H7" s="9"/>
      <c r="I7" s="10"/>
    </row>
    <row r="8" spans="2:9" ht="17.25">
      <c r="B8" s="13">
        <v>43791</v>
      </c>
      <c r="C8" s="9" t="s">
        <v>28</v>
      </c>
      <c r="D8" s="9" t="s">
        <v>31</v>
      </c>
      <c r="E8" s="9" t="s">
        <v>32</v>
      </c>
      <c r="F8" s="9"/>
      <c r="G8" s="9"/>
      <c r="H8" s="9"/>
      <c r="I8" s="10"/>
    </row>
    <row r="9" spans="2:9" ht="17.25">
      <c r="B9" s="11">
        <v>43795</v>
      </c>
      <c r="C9" s="5" t="s">
        <v>28</v>
      </c>
      <c r="D9" s="5" t="s">
        <v>31</v>
      </c>
      <c r="E9" s="5" t="s">
        <v>33</v>
      </c>
      <c r="F9" s="5"/>
      <c r="G9" s="5"/>
      <c r="H9" s="5"/>
      <c r="I9" s="6"/>
    </row>
    <row r="10" spans="2:9" ht="17.25">
      <c r="B10" s="14"/>
      <c r="C10" s="15" t="s">
        <v>34</v>
      </c>
      <c r="D10" s="15"/>
      <c r="E10" s="15"/>
      <c r="F10" s="15"/>
      <c r="G10" s="15"/>
      <c r="H10" s="15"/>
      <c r="I10" s="16"/>
    </row>
    <row r="11" spans="2:9" ht="17.25">
      <c r="B11" s="12"/>
      <c r="C11" s="7" t="s">
        <v>37</v>
      </c>
      <c r="D11" s="7"/>
      <c r="E11" s="7"/>
      <c r="F11" s="7"/>
      <c r="G11" s="7"/>
      <c r="H11" s="7"/>
      <c r="I11" s="8"/>
    </row>
    <row r="12" spans="2:9" ht="17.25">
      <c r="B12" s="11">
        <v>43796</v>
      </c>
      <c r="C12" s="5" t="s">
        <v>36</v>
      </c>
      <c r="D12" s="5"/>
      <c r="E12" s="5"/>
      <c r="F12" s="5"/>
      <c r="G12" s="5"/>
      <c r="H12" s="5"/>
      <c r="I12" s="6"/>
    </row>
    <row r="13" spans="2:9" ht="17.25">
      <c r="B13" s="12"/>
      <c r="C13" s="7" t="s">
        <v>12</v>
      </c>
      <c r="D13" s="7" t="s">
        <v>35</v>
      </c>
      <c r="E13" s="7"/>
      <c r="F13" s="7"/>
      <c r="G13" s="7"/>
      <c r="H13" s="7"/>
      <c r="I13" s="8"/>
    </row>
    <row r="14" spans="2:9" ht="17.25">
      <c r="B14" s="4"/>
      <c r="C14" s="4"/>
      <c r="D14" s="4"/>
      <c r="E14" s="4"/>
      <c r="F14" s="4"/>
      <c r="G14" s="4"/>
      <c r="H14" s="4"/>
      <c r="I14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MO-456</vt:lpstr>
      <vt:lpstr>BD-028</vt:lpstr>
      <vt:lpstr>MO-800</vt:lpstr>
      <vt:lpstr>MO-500</vt:lpstr>
      <vt:lpstr>MO-600</vt:lpstr>
      <vt:lpstr>工藤　業務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Kudo</dc:creator>
  <cp:lastModifiedBy>Kudo</cp:lastModifiedBy>
  <cp:lastPrinted>2019-11-28T05:48:15Z</cp:lastPrinted>
  <dcterms:created xsi:type="dcterms:W3CDTF">2019-11-05T06:23:38Z</dcterms:created>
  <dcterms:modified xsi:type="dcterms:W3CDTF">2019-12-02T00:26:23Z</dcterms:modified>
</cp:coreProperties>
</file>